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ewbegin\Documents\Personal\personalfinance\wp\wp001_vanguard_factor_investing_master\"/>
    </mc:Choice>
  </mc:AlternateContent>
  <bookViews>
    <workbookView xWindow="13140" yWindow="0" windowWidth="21030" windowHeight="9390" tabRatio="814" activeTab="5"/>
  </bookViews>
  <sheets>
    <sheet name="CTRLPanel&amp;Overview" sheetId="4" r:id="rId1"/>
    <sheet name="raw-VanguardETFList" sheetId="1" r:id="rId2"/>
    <sheet name="raw-FFFactorsData" sheetId="2" r:id="rId3"/>
    <sheet name="raw-FFFactorsDecimalData" sheetId="6" r:id="rId4"/>
    <sheet name="raw-PriceList" sheetId="3" r:id="rId5"/>
    <sheet name="raw-Return" sheetId="9" r:id="rId6"/>
    <sheet name="raw-ExcessReturn" sheetId="7" r:id="rId7"/>
    <sheet name="calc-Regression" sheetId="11" r:id="rId8"/>
    <sheet name="calc-Stats" sheetId="12" r:id="rId9"/>
    <sheet name="calc-CorrelMatrix" sheetId="14" r:id="rId10"/>
    <sheet name="calc-CovarMatrix" sheetId="15" r:id="rId11"/>
    <sheet name="calc-Weights" sheetId="16" r:id="rId12"/>
    <sheet name="calc-PortfolioVarCompos" sheetId="17" r:id="rId13"/>
    <sheet name="prod-GMVP" sheetId="18" r:id="rId14"/>
    <sheet name="prod-GMVPValues" sheetId="19" r:id="rId15"/>
  </sheets>
  <definedNames>
    <definedName name="solver_adj" localSheetId="13" hidden="1">'prod-GMVP'!$B$2:$B$48</definedName>
    <definedName name="solver_adj" localSheetId="14" hidden="1">'prod-GMVPValues'!$B$2:$B$48</definedName>
    <definedName name="solver_cvg" localSheetId="13" hidden="1">0.0001</definedName>
    <definedName name="solver_cvg" localSheetId="14" hidden="1">0.0001</definedName>
    <definedName name="solver_drv" localSheetId="13" hidden="1">1</definedName>
    <definedName name="solver_drv" localSheetId="14" hidden="1">1</definedName>
    <definedName name="solver_eng" localSheetId="7" hidden="1">1</definedName>
    <definedName name="solver_eng" localSheetId="13" hidden="1">1</definedName>
    <definedName name="solver_eng" localSheetId="14" hidden="1">1</definedName>
    <definedName name="solver_est" localSheetId="13" hidden="1">1</definedName>
    <definedName name="solver_est" localSheetId="14" hidden="1">1</definedName>
    <definedName name="solver_itr" localSheetId="13" hidden="1">2147483647</definedName>
    <definedName name="solver_itr" localSheetId="14" hidden="1">2147483647</definedName>
    <definedName name="solver_lhs1" localSheetId="13" hidden="1">'prod-GMVP'!$B$2:$B$48</definedName>
    <definedName name="solver_lhs1" localSheetId="14" hidden="1">'prod-GMVPValues'!$B$2:$B$48</definedName>
    <definedName name="solver_lhs2" localSheetId="13" hidden="1">'prod-GMVP'!$D$49</definedName>
    <definedName name="solver_lhs2" localSheetId="14" hidden="1">'prod-GMVPValues'!$D$49</definedName>
    <definedName name="solver_lhs3" localSheetId="13" hidden="1">'prod-GMVP'!$E$2:$E$48</definedName>
    <definedName name="solver_lhs3" localSheetId="14" hidden="1">'prod-GMVPValues'!$E$2:$E$48</definedName>
    <definedName name="solver_lhs4" localSheetId="13" hidden="1">'prod-GMVP'!$I$2</definedName>
    <definedName name="solver_lhs4" localSheetId="14" hidden="1">'prod-GMVPValues'!$I$2</definedName>
    <definedName name="solver_mip" localSheetId="13" hidden="1">2147483647</definedName>
    <definedName name="solver_mip" localSheetId="14" hidden="1">2147483647</definedName>
    <definedName name="solver_mni" localSheetId="13" hidden="1">30</definedName>
    <definedName name="solver_mni" localSheetId="14" hidden="1">30</definedName>
    <definedName name="solver_mrt" localSheetId="13" hidden="1">0.075</definedName>
    <definedName name="solver_mrt" localSheetId="14" hidden="1">0.075</definedName>
    <definedName name="solver_msl" localSheetId="13" hidden="1">2</definedName>
    <definedName name="solver_msl" localSheetId="14" hidden="1">2</definedName>
    <definedName name="solver_neg" localSheetId="7" hidden="1">1</definedName>
    <definedName name="solver_neg" localSheetId="13" hidden="1">1</definedName>
    <definedName name="solver_neg" localSheetId="14" hidden="1">1</definedName>
    <definedName name="solver_nod" localSheetId="13" hidden="1">2147483647</definedName>
    <definedName name="solver_nod" localSheetId="14" hidden="1">2147483647</definedName>
    <definedName name="solver_num" localSheetId="7" hidden="1">0</definedName>
    <definedName name="solver_num" localSheetId="13" hidden="1">4</definedName>
    <definedName name="solver_num" localSheetId="14" hidden="1">4</definedName>
    <definedName name="solver_nwt" localSheetId="13" hidden="1">1</definedName>
    <definedName name="solver_nwt" localSheetId="14" hidden="1">1</definedName>
    <definedName name="solver_opt" localSheetId="7" hidden="1">'calc-Regression'!$H$2</definedName>
    <definedName name="solver_opt" localSheetId="13" hidden="1">'prod-GMVP'!$I$8</definedName>
    <definedName name="solver_opt" localSheetId="14" hidden="1">'prod-GMVPValues'!$I$8</definedName>
    <definedName name="solver_pre" localSheetId="13" hidden="1">0.000001</definedName>
    <definedName name="solver_pre" localSheetId="14" hidden="1">0.000001</definedName>
    <definedName name="solver_rbv" localSheetId="13" hidden="1">1</definedName>
    <definedName name="solver_rbv" localSheetId="14" hidden="1">1</definedName>
    <definedName name="solver_rel1" localSheetId="13" hidden="1">4</definedName>
    <definedName name="solver_rel1" localSheetId="14" hidden="1">4</definedName>
    <definedName name="solver_rel2" localSheetId="13" hidden="1">2</definedName>
    <definedName name="solver_rel2" localSheetId="14" hidden="1">2</definedName>
    <definedName name="solver_rel3" localSheetId="13" hidden="1">1</definedName>
    <definedName name="solver_rel3" localSheetId="14" hidden="1">1</definedName>
    <definedName name="solver_rel4" localSheetId="13" hidden="1">2</definedName>
    <definedName name="solver_rel4" localSheetId="14" hidden="1">2</definedName>
    <definedName name="solver_rhs1" localSheetId="13" hidden="1">integer</definedName>
    <definedName name="solver_rhs1" localSheetId="14" hidden="1">integer</definedName>
    <definedName name="solver_rhs2" localSheetId="13" hidden="1">'prod-GMVP'!$I$20</definedName>
    <definedName name="solver_rhs2" localSheetId="14" hidden="1">'prod-GMVPValues'!$I$20</definedName>
    <definedName name="solver_rhs3" localSheetId="13" hidden="1">1</definedName>
    <definedName name="solver_rhs3" localSheetId="14" hidden="1">1</definedName>
    <definedName name="solver_rhs4" localSheetId="13" hidden="1">1</definedName>
    <definedName name="solver_rhs4" localSheetId="14" hidden="1">1</definedName>
    <definedName name="solver_rlx" localSheetId="13" hidden="1">2</definedName>
    <definedName name="solver_rlx" localSheetId="14" hidden="1">2</definedName>
    <definedName name="solver_rsd" localSheetId="13" hidden="1">0</definedName>
    <definedName name="solver_rsd" localSheetId="14" hidden="1">0</definedName>
    <definedName name="solver_scl" localSheetId="13" hidden="1">1</definedName>
    <definedName name="solver_scl" localSheetId="14" hidden="1">1</definedName>
    <definedName name="solver_sho" localSheetId="13" hidden="1">2</definedName>
    <definedName name="solver_sho" localSheetId="14" hidden="1">2</definedName>
    <definedName name="solver_ssz" localSheetId="13" hidden="1">100</definedName>
    <definedName name="solver_ssz" localSheetId="14" hidden="1">100</definedName>
    <definedName name="solver_tim" localSheetId="13" hidden="1">2147483647</definedName>
    <definedName name="solver_tim" localSheetId="14" hidden="1">2147483647</definedName>
    <definedName name="solver_tol" localSheetId="13" hidden="1">0.01</definedName>
    <definedName name="solver_tol" localSheetId="14" hidden="1">0.01</definedName>
    <definedName name="solver_typ" localSheetId="7" hidden="1">1</definedName>
    <definedName name="solver_typ" localSheetId="13" hidden="1">2</definedName>
    <definedName name="solver_typ" localSheetId="14" hidden="1">2</definedName>
    <definedName name="solver_val" localSheetId="7" hidden="1">0</definedName>
    <definedName name="solver_val" localSheetId="13" hidden="1">0.03404</definedName>
    <definedName name="solver_val" localSheetId="14" hidden="1">0.03404</definedName>
    <definedName name="solver_ver" localSheetId="7" hidden="1">3</definedName>
    <definedName name="solver_ver" localSheetId="13" hidden="1">3</definedName>
    <definedName name="solver_ver" localSheetId="14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1" l="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AV99" i="7"/>
  <c r="AU99" i="7"/>
  <c r="AT99" i="7"/>
  <c r="AS99" i="7"/>
  <c r="AR99" i="7"/>
  <c r="AQ99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B99" i="7"/>
  <c r="AV98" i="7"/>
  <c r="AU98" i="7"/>
  <c r="AT98" i="7"/>
  <c r="AS98" i="7"/>
  <c r="AR98" i="7"/>
  <c r="AQ98" i="7"/>
  <c r="AP98" i="7"/>
  <c r="AO98" i="7"/>
  <c r="AN98" i="7"/>
  <c r="AM98" i="7"/>
  <c r="AL98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B98" i="7"/>
  <c r="AV97" i="7"/>
  <c r="AU97" i="7"/>
  <c r="AT97" i="7"/>
  <c r="AS97" i="7"/>
  <c r="AR97" i="7"/>
  <c r="AQ97" i="7"/>
  <c r="AP97" i="7"/>
  <c r="AO97" i="7"/>
  <c r="AN97" i="7"/>
  <c r="AM97" i="7"/>
  <c r="AL97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B97" i="7"/>
  <c r="AV96" i="7"/>
  <c r="AU96" i="7"/>
  <c r="AT96" i="7"/>
  <c r="AS96" i="7"/>
  <c r="AR96" i="7"/>
  <c r="AQ96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B96" i="7"/>
  <c r="AV95" i="7"/>
  <c r="AU95" i="7"/>
  <c r="AT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B95" i="7"/>
  <c r="AV94" i="7"/>
  <c r="AU94" i="7"/>
  <c r="AT94" i="7"/>
  <c r="AS94" i="7"/>
  <c r="AR94" i="7"/>
  <c r="AQ94" i="7"/>
  <c r="AP94" i="7"/>
  <c r="AO94" i="7"/>
  <c r="AN94" i="7"/>
  <c r="AM94" i="7"/>
  <c r="AL94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B94" i="7"/>
  <c r="AV93" i="7"/>
  <c r="AU93" i="7"/>
  <c r="AT93" i="7"/>
  <c r="AS93" i="7"/>
  <c r="AR93" i="7"/>
  <c r="AQ93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B93" i="7"/>
  <c r="AV92" i="7"/>
  <c r="AU92" i="7"/>
  <c r="AT92" i="7"/>
  <c r="AS92" i="7"/>
  <c r="AR92" i="7"/>
  <c r="AQ92" i="7"/>
  <c r="AP92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B92" i="7"/>
  <c r="AV91" i="7"/>
  <c r="AU91" i="7"/>
  <c r="AT91" i="7"/>
  <c r="AS91" i="7"/>
  <c r="AR91" i="7"/>
  <c r="AQ91" i="7"/>
  <c r="AP91" i="7"/>
  <c r="AO91" i="7"/>
  <c r="AN91" i="7"/>
  <c r="AM91" i="7"/>
  <c r="AL91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AV90" i="7"/>
  <c r="AU90" i="7"/>
  <c r="AT90" i="7"/>
  <c r="AS90" i="7"/>
  <c r="AR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B90" i="7"/>
  <c r="AV89" i="7"/>
  <c r="AU89" i="7"/>
  <c r="AT89" i="7"/>
  <c r="AS89" i="7"/>
  <c r="AR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B89" i="7"/>
  <c r="AV88" i="7"/>
  <c r="AU88" i="7"/>
  <c r="AT88" i="7"/>
  <c r="AS88" i="7"/>
  <c r="AR88" i="7"/>
  <c r="AQ88" i="7"/>
  <c r="AP88" i="7"/>
  <c r="AO88" i="7"/>
  <c r="AN88" i="7"/>
  <c r="AM88" i="7"/>
  <c r="AL88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B88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B87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B86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B85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B84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B83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B82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B81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B80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B79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B78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B77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B76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B75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B74" i="7"/>
  <c r="AV73" i="7"/>
  <c r="AU73" i="7"/>
  <c r="AT73" i="7"/>
  <c r="AS73" i="7"/>
  <c r="AR73" i="7"/>
  <c r="AQ73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B72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B71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B70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B69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B68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B67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B66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B65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B64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B63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B62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B61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B60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B59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B57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B56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B54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B53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52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B51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50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B49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B35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H96" i="6"/>
  <c r="G96" i="6"/>
  <c r="F96" i="6"/>
  <c r="E96" i="6"/>
  <c r="D96" i="6"/>
  <c r="C96" i="6"/>
  <c r="H95" i="6"/>
  <c r="G95" i="6"/>
  <c r="F95" i="6"/>
  <c r="E95" i="6"/>
  <c r="D95" i="6"/>
  <c r="C95" i="6"/>
  <c r="H94" i="6"/>
  <c r="G94" i="6"/>
  <c r="F94" i="6"/>
  <c r="E94" i="6"/>
  <c r="D94" i="6"/>
  <c r="C94" i="6"/>
  <c r="H93" i="6"/>
  <c r="G93" i="6"/>
  <c r="F93" i="6"/>
  <c r="E93" i="6"/>
  <c r="D93" i="6"/>
  <c r="C93" i="6"/>
  <c r="H92" i="6"/>
  <c r="G92" i="6"/>
  <c r="F92" i="6"/>
  <c r="E92" i="6"/>
  <c r="D92" i="6"/>
  <c r="C92" i="6"/>
  <c r="H91" i="6"/>
  <c r="G91" i="6"/>
  <c r="F91" i="6"/>
  <c r="E91" i="6"/>
  <c r="D91" i="6"/>
  <c r="C91" i="6"/>
  <c r="H90" i="6"/>
  <c r="G90" i="6"/>
  <c r="F90" i="6"/>
  <c r="E90" i="6"/>
  <c r="D90" i="6"/>
  <c r="C90" i="6"/>
  <c r="H89" i="6"/>
  <c r="G89" i="6"/>
  <c r="F89" i="6"/>
  <c r="E89" i="6"/>
  <c r="D89" i="6"/>
  <c r="C89" i="6"/>
  <c r="H88" i="6"/>
  <c r="G88" i="6"/>
  <c r="F88" i="6"/>
  <c r="E88" i="6"/>
  <c r="D88" i="6"/>
  <c r="C88" i="6"/>
  <c r="H87" i="6"/>
  <c r="G87" i="6"/>
  <c r="F87" i="6"/>
  <c r="E87" i="6"/>
  <c r="D87" i="6"/>
  <c r="C87" i="6"/>
  <c r="H86" i="6"/>
  <c r="G86" i="6"/>
  <c r="F86" i="6"/>
  <c r="E86" i="6"/>
  <c r="D86" i="6"/>
  <c r="C86" i="6"/>
  <c r="H85" i="6"/>
  <c r="G85" i="6"/>
  <c r="F85" i="6"/>
  <c r="E85" i="6"/>
  <c r="D85" i="6"/>
  <c r="C85" i="6"/>
  <c r="H84" i="6"/>
  <c r="G84" i="6"/>
  <c r="F84" i="6"/>
  <c r="E84" i="6"/>
  <c r="D84" i="6"/>
  <c r="C84" i="6"/>
  <c r="H83" i="6"/>
  <c r="G83" i="6"/>
  <c r="F83" i="6"/>
  <c r="E83" i="6"/>
  <c r="D83" i="6"/>
  <c r="C83" i="6"/>
  <c r="H82" i="6"/>
  <c r="G82" i="6"/>
  <c r="F82" i="6"/>
  <c r="E82" i="6"/>
  <c r="D82" i="6"/>
  <c r="C82" i="6"/>
  <c r="H81" i="6"/>
  <c r="G81" i="6"/>
  <c r="F81" i="6"/>
  <c r="E81" i="6"/>
  <c r="D81" i="6"/>
  <c r="C81" i="6"/>
  <c r="H80" i="6"/>
  <c r="G80" i="6"/>
  <c r="F80" i="6"/>
  <c r="E80" i="6"/>
  <c r="D80" i="6"/>
  <c r="C80" i="6"/>
  <c r="H79" i="6"/>
  <c r="G79" i="6"/>
  <c r="F79" i="6"/>
  <c r="E79" i="6"/>
  <c r="D79" i="6"/>
  <c r="C79" i="6"/>
  <c r="H78" i="6"/>
  <c r="G78" i="6"/>
  <c r="F78" i="6"/>
  <c r="E78" i="6"/>
  <c r="D78" i="6"/>
  <c r="C78" i="6"/>
  <c r="H77" i="6"/>
  <c r="G77" i="6"/>
  <c r="F77" i="6"/>
  <c r="E77" i="6"/>
  <c r="D77" i="6"/>
  <c r="C77" i="6"/>
  <c r="H76" i="6"/>
  <c r="G76" i="6"/>
  <c r="F76" i="6"/>
  <c r="E76" i="6"/>
  <c r="D76" i="6"/>
  <c r="C76" i="6"/>
  <c r="H75" i="6"/>
  <c r="G75" i="6"/>
  <c r="F75" i="6"/>
  <c r="E75" i="6"/>
  <c r="D75" i="6"/>
  <c r="C75" i="6"/>
  <c r="H74" i="6"/>
  <c r="G74" i="6"/>
  <c r="F74" i="6"/>
  <c r="E74" i="6"/>
  <c r="D74" i="6"/>
  <c r="C74" i="6"/>
  <c r="H73" i="6"/>
  <c r="G73" i="6"/>
  <c r="F73" i="6"/>
  <c r="E73" i="6"/>
  <c r="D73" i="6"/>
  <c r="C73" i="6"/>
  <c r="H72" i="6"/>
  <c r="G72" i="6"/>
  <c r="F72" i="6"/>
  <c r="E72" i="6"/>
  <c r="D72" i="6"/>
  <c r="C72" i="6"/>
  <c r="H71" i="6"/>
  <c r="G71" i="6"/>
  <c r="F71" i="6"/>
  <c r="E71" i="6"/>
  <c r="D71" i="6"/>
  <c r="C71" i="6"/>
  <c r="H70" i="6"/>
  <c r="G70" i="6"/>
  <c r="F70" i="6"/>
  <c r="E70" i="6"/>
  <c r="D70" i="6"/>
  <c r="C70" i="6"/>
  <c r="H69" i="6"/>
  <c r="G69" i="6"/>
  <c r="F69" i="6"/>
  <c r="E69" i="6"/>
  <c r="D69" i="6"/>
  <c r="C69" i="6"/>
  <c r="H68" i="6"/>
  <c r="G68" i="6"/>
  <c r="F68" i="6"/>
  <c r="E68" i="6"/>
  <c r="D68" i="6"/>
  <c r="C68" i="6"/>
  <c r="H67" i="6"/>
  <c r="G67" i="6"/>
  <c r="F67" i="6"/>
  <c r="E67" i="6"/>
  <c r="D67" i="6"/>
  <c r="C67" i="6"/>
  <c r="H66" i="6"/>
  <c r="G66" i="6"/>
  <c r="F66" i="6"/>
  <c r="E66" i="6"/>
  <c r="D66" i="6"/>
  <c r="C66" i="6"/>
  <c r="H65" i="6"/>
  <c r="G65" i="6"/>
  <c r="F65" i="6"/>
  <c r="E65" i="6"/>
  <c r="D65" i="6"/>
  <c r="C65" i="6"/>
  <c r="H64" i="6"/>
  <c r="G64" i="6"/>
  <c r="F64" i="6"/>
  <c r="E64" i="6"/>
  <c r="D64" i="6"/>
  <c r="C64" i="6"/>
  <c r="H63" i="6"/>
  <c r="G63" i="6"/>
  <c r="F63" i="6"/>
  <c r="E63" i="6"/>
  <c r="D63" i="6"/>
  <c r="C63" i="6"/>
  <c r="H62" i="6"/>
  <c r="G62" i="6"/>
  <c r="F62" i="6"/>
  <c r="E62" i="6"/>
  <c r="D62" i="6"/>
  <c r="C62" i="6"/>
  <c r="H61" i="6"/>
  <c r="G61" i="6"/>
  <c r="F61" i="6"/>
  <c r="E61" i="6"/>
  <c r="D61" i="6"/>
  <c r="C61" i="6"/>
  <c r="H60" i="6"/>
  <c r="G60" i="6"/>
  <c r="F60" i="6"/>
  <c r="E60" i="6"/>
  <c r="D60" i="6"/>
  <c r="C60" i="6"/>
  <c r="H59" i="6"/>
  <c r="G59" i="6"/>
  <c r="F59" i="6"/>
  <c r="E59" i="6"/>
  <c r="D59" i="6"/>
  <c r="C59" i="6"/>
  <c r="H58" i="6"/>
  <c r="G58" i="6"/>
  <c r="F58" i="6"/>
  <c r="E58" i="6"/>
  <c r="D58" i="6"/>
  <c r="C58" i="6"/>
  <c r="H57" i="6"/>
  <c r="G57" i="6"/>
  <c r="F57" i="6"/>
  <c r="E57" i="6"/>
  <c r="D57" i="6"/>
  <c r="C57" i="6"/>
  <c r="H56" i="6"/>
  <c r="G56" i="6"/>
  <c r="F56" i="6"/>
  <c r="E56" i="6"/>
  <c r="D56" i="6"/>
  <c r="C56" i="6"/>
  <c r="H55" i="6"/>
  <c r="G55" i="6"/>
  <c r="F55" i="6"/>
  <c r="E55" i="6"/>
  <c r="D55" i="6"/>
  <c r="C55" i="6"/>
  <c r="H54" i="6"/>
  <c r="G54" i="6"/>
  <c r="F54" i="6"/>
  <c r="E54" i="6"/>
  <c r="D54" i="6"/>
  <c r="C54" i="6"/>
  <c r="H53" i="6"/>
  <c r="G53" i="6"/>
  <c r="F53" i="6"/>
  <c r="E53" i="6"/>
  <c r="D53" i="6"/>
  <c r="C53" i="6"/>
  <c r="H52" i="6"/>
  <c r="G52" i="6"/>
  <c r="F52" i="6"/>
  <c r="E52" i="6"/>
  <c r="D52" i="6"/>
  <c r="C52" i="6"/>
  <c r="H51" i="6"/>
  <c r="G51" i="6"/>
  <c r="F51" i="6"/>
  <c r="E51" i="6"/>
  <c r="D51" i="6"/>
  <c r="C51" i="6"/>
  <c r="H50" i="6"/>
  <c r="G50" i="6"/>
  <c r="F50" i="6"/>
  <c r="E50" i="6"/>
  <c r="D50" i="6"/>
  <c r="C50" i="6"/>
  <c r="H49" i="6"/>
  <c r="G49" i="6"/>
  <c r="F49" i="6"/>
  <c r="E49" i="6"/>
  <c r="D49" i="6"/>
  <c r="C49" i="6"/>
  <c r="H48" i="6"/>
  <c r="G48" i="6"/>
  <c r="F48" i="6"/>
  <c r="E48" i="6"/>
  <c r="D48" i="6"/>
  <c r="C48" i="6"/>
  <c r="H47" i="6"/>
  <c r="G47" i="6"/>
  <c r="F47" i="6"/>
  <c r="E47" i="6"/>
  <c r="D47" i="6"/>
  <c r="C47" i="6"/>
  <c r="H46" i="6"/>
  <c r="G46" i="6"/>
  <c r="F46" i="6"/>
  <c r="E46" i="6"/>
  <c r="D46" i="6"/>
  <c r="C46" i="6"/>
  <c r="H45" i="6"/>
  <c r="G45" i="6"/>
  <c r="F45" i="6"/>
  <c r="E45" i="6"/>
  <c r="D45" i="6"/>
  <c r="C45" i="6"/>
  <c r="H44" i="6"/>
  <c r="G44" i="6"/>
  <c r="F44" i="6"/>
  <c r="E44" i="6"/>
  <c r="D44" i="6"/>
  <c r="C44" i="6"/>
  <c r="H43" i="6"/>
  <c r="G43" i="6"/>
  <c r="F43" i="6"/>
  <c r="E43" i="6"/>
  <c r="D43" i="6"/>
  <c r="C43" i="6"/>
  <c r="H42" i="6"/>
  <c r="G42" i="6"/>
  <c r="F42" i="6"/>
  <c r="E42" i="6"/>
  <c r="D42" i="6"/>
  <c r="C42" i="6"/>
  <c r="H41" i="6"/>
  <c r="G41" i="6"/>
  <c r="F41" i="6"/>
  <c r="E41" i="6"/>
  <c r="D41" i="6"/>
  <c r="C41" i="6"/>
  <c r="H40" i="6"/>
  <c r="G40" i="6"/>
  <c r="F40" i="6"/>
  <c r="E40" i="6"/>
  <c r="D40" i="6"/>
  <c r="C40" i="6"/>
  <c r="H39" i="6"/>
  <c r="G39" i="6"/>
  <c r="F39" i="6"/>
  <c r="E39" i="6"/>
  <c r="D39" i="6"/>
  <c r="C39" i="6"/>
  <c r="H38" i="6"/>
  <c r="G38" i="6"/>
  <c r="F38" i="6"/>
  <c r="E38" i="6"/>
  <c r="D38" i="6"/>
  <c r="C38" i="6"/>
  <c r="H37" i="6"/>
  <c r="G37" i="6"/>
  <c r="F37" i="6"/>
  <c r="E37" i="6"/>
  <c r="D37" i="6"/>
  <c r="C37" i="6"/>
  <c r="H36" i="6"/>
  <c r="G36" i="6"/>
  <c r="F36" i="6"/>
  <c r="E36" i="6"/>
  <c r="D36" i="6"/>
  <c r="C36" i="6"/>
  <c r="H35" i="6"/>
  <c r="G35" i="6"/>
  <c r="F35" i="6"/>
  <c r="E35" i="6"/>
  <c r="D35" i="6"/>
  <c r="C35" i="6"/>
  <c r="H34" i="6"/>
  <c r="G34" i="6"/>
  <c r="F34" i="6"/>
  <c r="E34" i="6"/>
  <c r="D34" i="6"/>
  <c r="C34" i="6"/>
  <c r="H33" i="6"/>
  <c r="G33" i="6"/>
  <c r="F33" i="6"/>
  <c r="E33" i="6"/>
  <c r="D33" i="6"/>
  <c r="C33" i="6"/>
  <c r="H32" i="6"/>
  <c r="G32" i="6"/>
  <c r="F32" i="6"/>
  <c r="E32" i="6"/>
  <c r="D32" i="6"/>
  <c r="C32" i="6"/>
  <c r="H31" i="6"/>
  <c r="G31" i="6"/>
  <c r="F31" i="6"/>
  <c r="E31" i="6"/>
  <c r="D31" i="6"/>
  <c r="C31" i="6"/>
  <c r="H30" i="6"/>
  <c r="G30" i="6"/>
  <c r="F30" i="6"/>
  <c r="E30" i="6"/>
  <c r="D30" i="6"/>
  <c r="C30" i="6"/>
  <c r="H29" i="6"/>
  <c r="G29" i="6"/>
  <c r="F29" i="6"/>
  <c r="E29" i="6"/>
  <c r="D29" i="6"/>
  <c r="C29" i="6"/>
  <c r="H28" i="6"/>
  <c r="G28" i="6"/>
  <c r="F28" i="6"/>
  <c r="E28" i="6"/>
  <c r="D28" i="6"/>
  <c r="C28" i="6"/>
  <c r="H27" i="6"/>
  <c r="G27" i="6"/>
  <c r="F27" i="6"/>
  <c r="E27" i="6"/>
  <c r="D27" i="6"/>
  <c r="C27" i="6"/>
  <c r="H26" i="6"/>
  <c r="G26" i="6"/>
  <c r="F26" i="6"/>
  <c r="E26" i="6"/>
  <c r="D26" i="6"/>
  <c r="C26" i="6"/>
  <c r="H25" i="6"/>
  <c r="G25" i="6"/>
  <c r="F25" i="6"/>
  <c r="E25" i="6"/>
  <c r="D25" i="6"/>
  <c r="C25" i="6"/>
  <c r="H24" i="6"/>
  <c r="G24" i="6"/>
  <c r="F24" i="6"/>
  <c r="E24" i="6"/>
  <c r="D24" i="6"/>
  <c r="C24" i="6"/>
  <c r="H23" i="6"/>
  <c r="G23" i="6"/>
  <c r="F23" i="6"/>
  <c r="E23" i="6"/>
  <c r="D23" i="6"/>
  <c r="C23" i="6"/>
  <c r="H22" i="6"/>
  <c r="G22" i="6"/>
  <c r="F22" i="6"/>
  <c r="E22" i="6"/>
  <c r="D22" i="6"/>
  <c r="C22" i="6"/>
  <c r="H21" i="6"/>
  <c r="G21" i="6"/>
  <c r="F21" i="6"/>
  <c r="E21" i="6"/>
  <c r="D21" i="6"/>
  <c r="C21" i="6"/>
  <c r="H20" i="6"/>
  <c r="G20" i="6"/>
  <c r="F20" i="6"/>
  <c r="E20" i="6"/>
  <c r="D20" i="6"/>
  <c r="C20" i="6"/>
  <c r="H19" i="6"/>
  <c r="G19" i="6"/>
  <c r="F19" i="6"/>
  <c r="E19" i="6"/>
  <c r="D19" i="6"/>
  <c r="C19" i="6"/>
  <c r="H18" i="6"/>
  <c r="G18" i="6"/>
  <c r="F18" i="6"/>
  <c r="E18" i="6"/>
  <c r="D18" i="6"/>
  <c r="C18" i="6"/>
  <c r="H17" i="6"/>
  <c r="G17" i="6"/>
  <c r="F17" i="6"/>
  <c r="E17" i="6"/>
  <c r="D17" i="6"/>
  <c r="C17" i="6"/>
  <c r="H16" i="6"/>
  <c r="G16" i="6"/>
  <c r="F16" i="6"/>
  <c r="E16" i="6"/>
  <c r="D16" i="6"/>
  <c r="C16" i="6"/>
  <c r="H15" i="6"/>
  <c r="G15" i="6"/>
  <c r="F15" i="6"/>
  <c r="E15" i="6"/>
  <c r="D15" i="6"/>
  <c r="C15" i="6"/>
  <c r="H14" i="6"/>
  <c r="G14" i="6"/>
  <c r="F14" i="6"/>
  <c r="E14" i="6"/>
  <c r="D14" i="6"/>
  <c r="C14" i="6"/>
  <c r="H13" i="6"/>
  <c r="G13" i="6"/>
  <c r="F13" i="6"/>
  <c r="E13" i="6"/>
  <c r="D13" i="6"/>
  <c r="C13" i="6"/>
  <c r="H12" i="6"/>
  <c r="G12" i="6"/>
  <c r="F12" i="6"/>
  <c r="E12" i="6"/>
  <c r="D12" i="6"/>
  <c r="C12" i="6"/>
  <c r="H11" i="6"/>
  <c r="G11" i="6"/>
  <c r="F11" i="6"/>
  <c r="E11" i="6"/>
  <c r="D11" i="6"/>
  <c r="C11" i="6"/>
  <c r="H10" i="6"/>
  <c r="G10" i="6"/>
  <c r="F10" i="6"/>
  <c r="E10" i="6"/>
  <c r="D10" i="6"/>
  <c r="C10" i="6"/>
  <c r="H9" i="6"/>
  <c r="G9" i="6"/>
  <c r="F9" i="6"/>
  <c r="E9" i="6"/>
  <c r="D9" i="6"/>
  <c r="C9" i="6"/>
  <c r="H8" i="6"/>
  <c r="G8" i="6"/>
  <c r="F8" i="6"/>
  <c r="E8" i="6"/>
  <c r="D8" i="6"/>
  <c r="C8" i="6"/>
  <c r="H7" i="6"/>
  <c r="G7" i="6"/>
  <c r="F7" i="6"/>
  <c r="E7" i="6"/>
  <c r="D7" i="6"/>
  <c r="C7" i="6"/>
  <c r="H6" i="6"/>
  <c r="G6" i="6"/>
  <c r="F6" i="6"/>
  <c r="E6" i="6"/>
  <c r="D6" i="6"/>
  <c r="C6" i="6"/>
  <c r="H5" i="6"/>
  <c r="G5" i="6"/>
  <c r="F5" i="6"/>
  <c r="E5" i="6"/>
  <c r="D5" i="6"/>
  <c r="C5" i="6"/>
  <c r="H4" i="6"/>
  <c r="G4" i="6"/>
  <c r="F4" i="6"/>
  <c r="E4" i="6"/>
  <c r="D4" i="6"/>
  <c r="C4" i="6"/>
  <c r="H3" i="6"/>
  <c r="G3" i="6"/>
  <c r="F3" i="6"/>
  <c r="E3" i="6"/>
  <c r="D3" i="6"/>
  <c r="C3" i="6"/>
  <c r="H2" i="6"/>
  <c r="G2" i="6"/>
  <c r="F2" i="6"/>
  <c r="E2" i="6"/>
  <c r="D2" i="6"/>
  <c r="C2" i="6"/>
  <c r="A2" i="6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AQ32" i="9"/>
  <c r="AR32" i="9"/>
  <c r="AS32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AO33" i="9"/>
  <c r="AP33" i="9"/>
  <c r="AQ33" i="9"/>
  <c r="AR33" i="9"/>
  <c r="AS33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B40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AS56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AS57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AS58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AS59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AO61" i="9"/>
  <c r="AP61" i="9"/>
  <c r="AQ61" i="9"/>
  <c r="AR61" i="9"/>
  <c r="AS61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AO62" i="9"/>
  <c r="AP62" i="9"/>
  <c r="AQ62" i="9"/>
  <c r="AR62" i="9"/>
  <c r="AS62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AO63" i="9"/>
  <c r="AP63" i="9"/>
  <c r="AQ63" i="9"/>
  <c r="AR63" i="9"/>
  <c r="AS63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AO64" i="9"/>
  <c r="AP64" i="9"/>
  <c r="AQ64" i="9"/>
  <c r="AR64" i="9"/>
  <c r="AS64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AO65" i="9"/>
  <c r="AP65" i="9"/>
  <c r="AQ65" i="9"/>
  <c r="AR65" i="9"/>
  <c r="AS65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AO66" i="9"/>
  <c r="AP66" i="9"/>
  <c r="AQ66" i="9"/>
  <c r="AR66" i="9"/>
  <c r="AS66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AO67" i="9"/>
  <c r="AP67" i="9"/>
  <c r="AQ67" i="9"/>
  <c r="AR67" i="9"/>
  <c r="AS67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P69" i="9"/>
  <c r="AQ69" i="9"/>
  <c r="AR69" i="9"/>
  <c r="AS69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Q70" i="9"/>
  <c r="AR70" i="9"/>
  <c r="AS70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AR71" i="9"/>
  <c r="AS71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AS72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AO73" i="9"/>
  <c r="AP73" i="9"/>
  <c r="AQ73" i="9"/>
  <c r="AR73" i="9"/>
  <c r="AS73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AO74" i="9"/>
  <c r="AP74" i="9"/>
  <c r="AQ74" i="9"/>
  <c r="AR74" i="9"/>
  <c r="AS74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B76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AO76" i="9"/>
  <c r="AP76" i="9"/>
  <c r="AQ76" i="9"/>
  <c r="AR76" i="9"/>
  <c r="AS76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AO77" i="9"/>
  <c r="AP77" i="9"/>
  <c r="AQ77" i="9"/>
  <c r="AR77" i="9"/>
  <c r="AS77" i="9"/>
  <c r="B78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AO78" i="9"/>
  <c r="AP78" i="9"/>
  <c r="AQ78" i="9"/>
  <c r="AR78" i="9"/>
  <c r="AS78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AO79" i="9"/>
  <c r="AP79" i="9"/>
  <c r="AQ79" i="9"/>
  <c r="AR79" i="9"/>
  <c r="AS79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AO80" i="9"/>
  <c r="AP80" i="9"/>
  <c r="AQ80" i="9"/>
  <c r="AR80" i="9"/>
  <c r="AS80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AO81" i="9"/>
  <c r="AP81" i="9"/>
  <c r="AQ81" i="9"/>
  <c r="AR81" i="9"/>
  <c r="AS81" i="9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AO82" i="9"/>
  <c r="AP82" i="9"/>
  <c r="AQ82" i="9"/>
  <c r="AR82" i="9"/>
  <c r="AS82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AO83" i="9"/>
  <c r="AP83" i="9"/>
  <c r="AQ83" i="9"/>
  <c r="AR83" i="9"/>
  <c r="AS83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AO84" i="9"/>
  <c r="AP84" i="9"/>
  <c r="AQ84" i="9"/>
  <c r="AR84" i="9"/>
  <c r="AS84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AO85" i="9"/>
  <c r="AP85" i="9"/>
  <c r="AQ85" i="9"/>
  <c r="AR85" i="9"/>
  <c r="AS85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AO86" i="9"/>
  <c r="AP86" i="9"/>
  <c r="AQ86" i="9"/>
  <c r="AR86" i="9"/>
  <c r="AS86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AO88" i="9"/>
  <c r="AP88" i="9"/>
  <c r="AQ88" i="9"/>
  <c r="AR88" i="9"/>
  <c r="AS88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AO89" i="9"/>
  <c r="AP89" i="9"/>
  <c r="AQ89" i="9"/>
  <c r="AR89" i="9"/>
  <c r="AS89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AP90" i="9"/>
  <c r="AQ90" i="9"/>
  <c r="AR90" i="9"/>
  <c r="AS90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AO91" i="9"/>
  <c r="AP91" i="9"/>
  <c r="AQ91" i="9"/>
  <c r="AR91" i="9"/>
  <c r="AS91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AO92" i="9"/>
  <c r="AP92" i="9"/>
  <c r="AQ92" i="9"/>
  <c r="AR92" i="9"/>
  <c r="AS92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AO93" i="9"/>
  <c r="AP93" i="9"/>
  <c r="AQ93" i="9"/>
  <c r="AR93" i="9"/>
  <c r="AS93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AO94" i="9"/>
  <c r="AP94" i="9"/>
  <c r="AQ94" i="9"/>
  <c r="AR94" i="9"/>
  <c r="AS94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AO95" i="9"/>
  <c r="AP95" i="9"/>
  <c r="AQ95" i="9"/>
  <c r="AR95" i="9"/>
  <c r="AS95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AO96" i="9"/>
  <c r="AP96" i="9"/>
  <c r="AQ96" i="9"/>
  <c r="AR96" i="9"/>
  <c r="AS96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AO97" i="9"/>
  <c r="AP97" i="9"/>
  <c r="AQ97" i="9"/>
  <c r="AR97" i="9"/>
  <c r="AS97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AO98" i="9"/>
  <c r="AP98" i="9"/>
  <c r="AQ98" i="9"/>
  <c r="AR98" i="9"/>
  <c r="AS98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AO99" i="9"/>
  <c r="AP99" i="9"/>
  <c r="AQ99" i="9"/>
  <c r="AR99" i="9"/>
  <c r="AS99" i="9"/>
  <c r="F49" i="19" l="1"/>
  <c r="C49" i="19"/>
  <c r="B49" i="19"/>
  <c r="E48" i="19"/>
  <c r="G48" i="19" s="1"/>
  <c r="D48" i="19"/>
  <c r="D47" i="19"/>
  <c r="E47" i="19" s="1"/>
  <c r="G47" i="19" s="1"/>
  <c r="D46" i="19"/>
  <c r="E46" i="19" s="1"/>
  <c r="G46" i="19" s="1"/>
  <c r="D45" i="19"/>
  <c r="E45" i="19" s="1"/>
  <c r="G45" i="19" s="1"/>
  <c r="E44" i="19"/>
  <c r="G44" i="19" s="1"/>
  <c r="D44" i="19"/>
  <c r="D43" i="19"/>
  <c r="E43" i="19" s="1"/>
  <c r="G43" i="19" s="1"/>
  <c r="D42" i="19"/>
  <c r="E42" i="19" s="1"/>
  <c r="G42" i="19" s="1"/>
  <c r="D41" i="19"/>
  <c r="E41" i="19" s="1"/>
  <c r="G41" i="19" s="1"/>
  <c r="E40" i="19"/>
  <c r="G40" i="19" s="1"/>
  <c r="D40" i="19"/>
  <c r="D39" i="19"/>
  <c r="E39" i="19" s="1"/>
  <c r="G39" i="19" s="1"/>
  <c r="D38" i="19"/>
  <c r="E38" i="19" s="1"/>
  <c r="G38" i="19" s="1"/>
  <c r="D37" i="19"/>
  <c r="E37" i="19" s="1"/>
  <c r="G37" i="19" s="1"/>
  <c r="E36" i="19"/>
  <c r="G36" i="19" s="1"/>
  <c r="D36" i="19"/>
  <c r="D35" i="19"/>
  <c r="E35" i="19" s="1"/>
  <c r="G35" i="19" s="1"/>
  <c r="D34" i="19"/>
  <c r="E34" i="19" s="1"/>
  <c r="G34" i="19" s="1"/>
  <c r="D33" i="19"/>
  <c r="E33" i="19" s="1"/>
  <c r="G33" i="19" s="1"/>
  <c r="E32" i="19"/>
  <c r="G32" i="19" s="1"/>
  <c r="D32" i="19"/>
  <c r="D31" i="19"/>
  <c r="E31" i="19" s="1"/>
  <c r="G31" i="19" s="1"/>
  <c r="D30" i="19"/>
  <c r="E30" i="19" s="1"/>
  <c r="G30" i="19" s="1"/>
  <c r="D29" i="19"/>
  <c r="E29" i="19" s="1"/>
  <c r="G29" i="19" s="1"/>
  <c r="E28" i="19"/>
  <c r="G28" i="19" s="1"/>
  <c r="D28" i="19"/>
  <c r="D27" i="19"/>
  <c r="E27" i="19" s="1"/>
  <c r="G27" i="19" s="1"/>
  <c r="D26" i="19"/>
  <c r="E26" i="19" s="1"/>
  <c r="G26" i="19" s="1"/>
  <c r="D25" i="19"/>
  <c r="E25" i="19" s="1"/>
  <c r="G25" i="19" s="1"/>
  <c r="E24" i="19"/>
  <c r="G24" i="19" s="1"/>
  <c r="D24" i="19"/>
  <c r="D23" i="19"/>
  <c r="E23" i="19" s="1"/>
  <c r="G23" i="19" s="1"/>
  <c r="D22" i="19"/>
  <c r="E22" i="19" s="1"/>
  <c r="G22" i="19" s="1"/>
  <c r="D21" i="19"/>
  <c r="E21" i="19" s="1"/>
  <c r="G21" i="19" s="1"/>
  <c r="E20" i="19"/>
  <c r="G20" i="19" s="1"/>
  <c r="D20" i="19"/>
  <c r="D19" i="19"/>
  <c r="E19" i="19" s="1"/>
  <c r="G19" i="19" s="1"/>
  <c r="D18" i="19"/>
  <c r="E18" i="19" s="1"/>
  <c r="G18" i="19" s="1"/>
  <c r="D17" i="19"/>
  <c r="E17" i="19" s="1"/>
  <c r="G17" i="19" s="1"/>
  <c r="D16" i="19"/>
  <c r="E16" i="19" s="1"/>
  <c r="G16" i="19" s="1"/>
  <c r="E15" i="19"/>
  <c r="G15" i="19" s="1"/>
  <c r="D15" i="19"/>
  <c r="D14" i="19"/>
  <c r="E14" i="19" s="1"/>
  <c r="G14" i="19" s="1"/>
  <c r="D13" i="19"/>
  <c r="E13" i="19" s="1"/>
  <c r="G13" i="19" s="1"/>
  <c r="D12" i="19"/>
  <c r="E12" i="19" s="1"/>
  <c r="G12" i="19" s="1"/>
  <c r="D11" i="19"/>
  <c r="E11" i="19" s="1"/>
  <c r="G11" i="19" s="1"/>
  <c r="D10" i="19"/>
  <c r="E10" i="19" s="1"/>
  <c r="G10" i="19" s="1"/>
  <c r="D9" i="19"/>
  <c r="E9" i="19" s="1"/>
  <c r="G9" i="19" s="1"/>
  <c r="D8" i="19"/>
  <c r="E8" i="19" s="1"/>
  <c r="G8" i="19" s="1"/>
  <c r="D7" i="19"/>
  <c r="E7" i="19" s="1"/>
  <c r="G7" i="19" s="1"/>
  <c r="D6" i="19"/>
  <c r="E6" i="19" s="1"/>
  <c r="G6" i="19" s="1"/>
  <c r="E5" i="19"/>
  <c r="G5" i="19" s="1"/>
  <c r="D5" i="19"/>
  <c r="M4" i="19"/>
  <c r="M5" i="19" s="1"/>
  <c r="M6" i="19" s="1"/>
  <c r="M7" i="19" s="1"/>
  <c r="M8" i="19" s="1"/>
  <c r="M9" i="19" s="1"/>
  <c r="M10" i="19" s="1"/>
  <c r="M11" i="19" s="1"/>
  <c r="E4" i="19"/>
  <c r="G4" i="19" s="1"/>
  <c r="D4" i="19"/>
  <c r="D3" i="19"/>
  <c r="E3" i="19" s="1"/>
  <c r="G3" i="19" s="1"/>
  <c r="D2" i="19"/>
  <c r="E2" i="19" s="1"/>
  <c r="C49" i="18"/>
  <c r="F49" i="18"/>
  <c r="B49" i="18"/>
  <c r="D3" i="18"/>
  <c r="E3" i="18" s="1"/>
  <c r="D4" i="18"/>
  <c r="E4" i="18" s="1"/>
  <c r="D5" i="18"/>
  <c r="E5" i="18" s="1"/>
  <c r="D6" i="18"/>
  <c r="E6" i="18" s="1"/>
  <c r="D7" i="18"/>
  <c r="E7" i="18" s="1"/>
  <c r="D8" i="18"/>
  <c r="E8" i="18" s="1"/>
  <c r="D9" i="18"/>
  <c r="E9" i="18" s="1"/>
  <c r="D10" i="18"/>
  <c r="E10" i="18" s="1"/>
  <c r="D11" i="18"/>
  <c r="E11" i="18" s="1"/>
  <c r="D12" i="18"/>
  <c r="E12" i="18" s="1"/>
  <c r="D13" i="18"/>
  <c r="E13" i="18" s="1"/>
  <c r="D14" i="18"/>
  <c r="E14" i="18" s="1"/>
  <c r="D15" i="18"/>
  <c r="E15" i="18" s="1"/>
  <c r="D16" i="18"/>
  <c r="E16" i="18" s="1"/>
  <c r="D17" i="18"/>
  <c r="E17" i="18" s="1"/>
  <c r="D18" i="18"/>
  <c r="E18" i="18" s="1"/>
  <c r="D19" i="18"/>
  <c r="E19" i="18" s="1"/>
  <c r="D20" i="18"/>
  <c r="E20" i="18" s="1"/>
  <c r="D21" i="18"/>
  <c r="E21" i="18" s="1"/>
  <c r="D22" i="18"/>
  <c r="E22" i="18" s="1"/>
  <c r="D23" i="18"/>
  <c r="E23" i="18" s="1"/>
  <c r="D24" i="18"/>
  <c r="E24" i="18" s="1"/>
  <c r="D25" i="18"/>
  <c r="E25" i="18" s="1"/>
  <c r="D26" i="18"/>
  <c r="E26" i="18" s="1"/>
  <c r="D27" i="18"/>
  <c r="E27" i="18" s="1"/>
  <c r="D28" i="18"/>
  <c r="E28" i="18" s="1"/>
  <c r="D29" i="18"/>
  <c r="E29" i="18" s="1"/>
  <c r="D30" i="18"/>
  <c r="E30" i="18" s="1"/>
  <c r="D31" i="18"/>
  <c r="E31" i="18" s="1"/>
  <c r="D32" i="18"/>
  <c r="E32" i="18" s="1"/>
  <c r="D33" i="18"/>
  <c r="E33" i="18" s="1"/>
  <c r="D34" i="18"/>
  <c r="E34" i="18" s="1"/>
  <c r="D35" i="18"/>
  <c r="E35" i="18" s="1"/>
  <c r="D36" i="18"/>
  <c r="E36" i="18" s="1"/>
  <c r="D37" i="18"/>
  <c r="E37" i="18" s="1"/>
  <c r="D38" i="18"/>
  <c r="E38" i="18" s="1"/>
  <c r="D39" i="18"/>
  <c r="E39" i="18" s="1"/>
  <c r="D40" i="18"/>
  <c r="E40" i="18" s="1"/>
  <c r="D41" i="18"/>
  <c r="E41" i="18" s="1"/>
  <c r="D42" i="18"/>
  <c r="E42" i="18" s="1"/>
  <c r="D43" i="18"/>
  <c r="E43" i="18" s="1"/>
  <c r="D44" i="18"/>
  <c r="E44" i="18" s="1"/>
  <c r="D45" i="18"/>
  <c r="E45" i="18" s="1"/>
  <c r="D46" i="18"/>
  <c r="E46" i="18" s="1"/>
  <c r="D47" i="18"/>
  <c r="E47" i="18" s="1"/>
  <c r="D48" i="18"/>
  <c r="E48" i="18" s="1"/>
  <c r="I2" i="19" l="1"/>
  <c r="G2" i="19"/>
  <c r="E49" i="19"/>
  <c r="D49" i="19"/>
  <c r="AW3" i="14"/>
  <c r="AW4" i="14"/>
  <c r="AW5" i="14"/>
  <c r="AW6" i="14"/>
  <c r="AW7" i="14"/>
  <c r="AW8" i="14"/>
  <c r="AW9" i="14"/>
  <c r="AW10" i="14"/>
  <c r="AW11" i="14"/>
  <c r="AW12" i="14"/>
  <c r="AW13" i="14"/>
  <c r="AW14" i="14"/>
  <c r="AW15" i="14"/>
  <c r="AW16" i="14"/>
  <c r="AW17" i="14"/>
  <c r="AW18" i="14"/>
  <c r="AW19" i="14"/>
  <c r="AW20" i="14"/>
  <c r="AW21" i="14"/>
  <c r="AW22" i="14"/>
  <c r="AW23" i="14"/>
  <c r="AW24" i="14"/>
  <c r="AW25" i="14"/>
  <c r="AW26" i="14"/>
  <c r="AW27" i="14"/>
  <c r="AW28" i="14"/>
  <c r="AW29" i="14"/>
  <c r="AW30" i="14"/>
  <c r="AW31" i="14"/>
  <c r="AW32" i="14"/>
  <c r="AW33" i="14"/>
  <c r="AW34" i="14"/>
  <c r="AW35" i="14"/>
  <c r="AW36" i="14"/>
  <c r="AW37" i="14"/>
  <c r="AW38" i="14"/>
  <c r="AW39" i="14"/>
  <c r="AW40" i="14"/>
  <c r="AW41" i="14"/>
  <c r="AW42" i="14"/>
  <c r="AW43" i="14"/>
  <c r="AW44" i="14"/>
  <c r="AW45" i="14"/>
  <c r="AW46" i="14"/>
  <c r="AW47" i="14"/>
  <c r="AW48" i="14"/>
  <c r="AW2" i="14"/>
  <c r="M4" i="18"/>
  <c r="M5" i="18" s="1"/>
  <c r="M6" i="18" s="1"/>
  <c r="M7" i="18" s="1"/>
  <c r="M8" i="18" s="1"/>
  <c r="M9" i="18" s="1"/>
  <c r="M10" i="18" s="1"/>
  <c r="M11" i="18" s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G49" i="19" l="1"/>
  <c r="I11" i="19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B3" i="12"/>
  <c r="BB118" i="11"/>
  <c r="BA118" i="11"/>
  <c r="AZ118" i="11"/>
  <c r="AY118" i="11"/>
  <c r="AX118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AA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BB104" i="11"/>
  <c r="BA104" i="11"/>
  <c r="AZ104" i="11"/>
  <c r="AY104" i="11"/>
  <c r="AX104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BB97" i="11"/>
  <c r="BA97" i="11"/>
  <c r="AZ97" i="11"/>
  <c r="AY97" i="11"/>
  <c r="AX97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AK4" i="12"/>
  <c r="AG4" i="12"/>
  <c r="AC4" i="12"/>
  <c r="Y4" i="12"/>
  <c r="Q4" i="12"/>
  <c r="M4" i="12"/>
  <c r="H112" i="11"/>
  <c r="I4" i="12" l="1"/>
  <c r="AO4" i="12"/>
  <c r="AS4" i="12"/>
  <c r="AW4" i="12"/>
  <c r="E4" i="12"/>
  <c r="U4" i="12"/>
  <c r="F4" i="12"/>
  <c r="J4" i="12"/>
  <c r="N4" i="12"/>
  <c r="R4" i="12"/>
  <c r="B11" i="12"/>
  <c r="Z4" i="12"/>
  <c r="AD4" i="12"/>
  <c r="AH4" i="12"/>
  <c r="AL4" i="12"/>
  <c r="AP4" i="12"/>
  <c r="AT4" i="12"/>
  <c r="C4" i="12"/>
  <c r="G4" i="12"/>
  <c r="K4" i="12"/>
  <c r="O4" i="12"/>
  <c r="S4" i="12"/>
  <c r="W4" i="12"/>
  <c r="AA4" i="12"/>
  <c r="AE4" i="12"/>
  <c r="AI4" i="12"/>
  <c r="AM4" i="12"/>
  <c r="AQ4" i="12"/>
  <c r="AU4" i="12"/>
  <c r="D4" i="12"/>
  <c r="H4" i="12"/>
  <c r="L4" i="12"/>
  <c r="P4" i="12"/>
  <c r="T4" i="12"/>
  <c r="X4" i="12"/>
  <c r="AB4" i="12"/>
  <c r="AF4" i="12"/>
  <c r="AJ4" i="12"/>
  <c r="AN4" i="12"/>
  <c r="AR4" i="12"/>
  <c r="AV4" i="12"/>
  <c r="C9" i="12"/>
  <c r="AT9" i="12"/>
  <c r="AP9" i="12"/>
  <c r="AP22" i="12" s="1"/>
  <c r="AP23" i="12" s="1"/>
  <c r="AL9" i="12"/>
  <c r="AH9" i="12"/>
  <c r="AH22" i="12" s="1"/>
  <c r="AH23" i="12" s="1"/>
  <c r="AD9" i="12"/>
  <c r="Z9" i="12"/>
  <c r="Z22" i="12" s="1"/>
  <c r="Z23" i="12" s="1"/>
  <c r="V9" i="12"/>
  <c r="R9" i="12"/>
  <c r="R22" i="12" s="1"/>
  <c r="R23" i="12" s="1"/>
  <c r="N9" i="12"/>
  <c r="J9" i="12"/>
  <c r="F9" i="12"/>
  <c r="C11" i="12"/>
  <c r="AT11" i="12"/>
  <c r="AP11" i="12"/>
  <c r="AL11" i="12"/>
  <c r="AH11" i="12"/>
  <c r="AD11" i="12"/>
  <c r="Z11" i="12"/>
  <c r="V11" i="12"/>
  <c r="R11" i="12"/>
  <c r="N11" i="12"/>
  <c r="J11" i="12"/>
  <c r="F11" i="12"/>
  <c r="V4" i="12"/>
  <c r="AW9" i="12"/>
  <c r="AS9" i="12"/>
  <c r="AS22" i="12" s="1"/>
  <c r="AS23" i="12" s="1"/>
  <c r="AO9" i="12"/>
  <c r="AO22" i="12" s="1"/>
  <c r="AO23" i="12" s="1"/>
  <c r="AK9" i="12"/>
  <c r="AK22" i="12" s="1"/>
  <c r="AK23" i="12" s="1"/>
  <c r="AG9" i="12"/>
  <c r="AC9" i="12"/>
  <c r="AC22" i="12" s="1"/>
  <c r="AC23" i="12" s="1"/>
  <c r="Y9" i="12"/>
  <c r="Y22" i="12" s="1"/>
  <c r="Y23" i="12" s="1"/>
  <c r="U9" i="12"/>
  <c r="U22" i="12" s="1"/>
  <c r="U23" i="12" s="1"/>
  <c r="Q9" i="12"/>
  <c r="Q22" i="12" s="1"/>
  <c r="Q23" i="12" s="1"/>
  <c r="M9" i="12"/>
  <c r="M22" i="12" s="1"/>
  <c r="M23" i="12" s="1"/>
  <c r="I9" i="12"/>
  <c r="I22" i="12" s="1"/>
  <c r="I23" i="12" s="1"/>
  <c r="E9" i="12"/>
  <c r="AW11" i="12"/>
  <c r="AS11" i="12"/>
  <c r="AO11" i="12"/>
  <c r="AK11" i="12"/>
  <c r="AG11" i="12"/>
  <c r="AC11" i="12"/>
  <c r="Y11" i="12"/>
  <c r="U11" i="12"/>
  <c r="Q11" i="12"/>
  <c r="M11" i="12"/>
  <c r="I11" i="12"/>
  <c r="E11" i="12"/>
  <c r="B8" i="12"/>
  <c r="B15" i="12" s="1"/>
  <c r="AV9" i="12"/>
  <c r="AR9" i="12"/>
  <c r="AN9" i="12"/>
  <c r="AJ9" i="12"/>
  <c r="AF9" i="12"/>
  <c r="AB9" i="12"/>
  <c r="X9" i="12"/>
  <c r="T9" i="12"/>
  <c r="P9" i="12"/>
  <c r="L9" i="12"/>
  <c r="H9" i="12"/>
  <c r="D9" i="12"/>
  <c r="AV11" i="12"/>
  <c r="AR11" i="12"/>
  <c r="AN11" i="12"/>
  <c r="AJ11" i="12"/>
  <c r="AF11" i="12"/>
  <c r="AB11" i="12"/>
  <c r="X11" i="12"/>
  <c r="T11" i="12"/>
  <c r="P11" i="12"/>
  <c r="L11" i="12"/>
  <c r="H11" i="12"/>
  <c r="D11" i="12"/>
  <c r="B9" i="12"/>
  <c r="B16" i="12" s="1"/>
  <c r="AU9" i="12"/>
  <c r="AU22" i="12" s="1"/>
  <c r="AU23" i="12" s="1"/>
  <c r="AQ9" i="12"/>
  <c r="AM9" i="12"/>
  <c r="AI9" i="12"/>
  <c r="AE9" i="12"/>
  <c r="AE22" i="12" s="1"/>
  <c r="AE23" i="12" s="1"/>
  <c r="AA9" i="12"/>
  <c r="W9" i="12"/>
  <c r="S9" i="12"/>
  <c r="O9" i="12"/>
  <c r="O22" i="12" s="1"/>
  <c r="O23" i="12" s="1"/>
  <c r="K9" i="12"/>
  <c r="G9" i="12"/>
  <c r="AU11" i="12"/>
  <c r="AQ11" i="12"/>
  <c r="AM11" i="12"/>
  <c r="AI11" i="12"/>
  <c r="AE11" i="12"/>
  <c r="AA11" i="12"/>
  <c r="W11" i="12"/>
  <c r="S11" i="12"/>
  <c r="O11" i="12"/>
  <c r="K11" i="12"/>
  <c r="G11" i="12"/>
  <c r="AN22" i="12" l="1"/>
  <c r="AN23" i="12" s="1"/>
  <c r="F22" i="12"/>
  <c r="F23" i="12" s="1"/>
  <c r="X22" i="12"/>
  <c r="X23" i="12" s="1"/>
  <c r="H22" i="12"/>
  <c r="H23" i="12" s="1"/>
  <c r="E22" i="12"/>
  <c r="E23" i="12" s="1"/>
  <c r="AP16" i="12"/>
  <c r="AC16" i="12"/>
  <c r="J22" i="12"/>
  <c r="J23" i="12" s="1"/>
  <c r="AA16" i="12"/>
  <c r="N22" i="12"/>
  <c r="N23" i="12" s="1"/>
  <c r="AD22" i="12"/>
  <c r="AD23" i="12" s="1"/>
  <c r="AT22" i="12"/>
  <c r="AT23" i="12" s="1"/>
  <c r="AN16" i="12"/>
  <c r="AL22" i="12"/>
  <c r="AL23" i="12" s="1"/>
  <c r="S22" i="12"/>
  <c r="S23" i="12" s="1"/>
  <c r="AI22" i="12"/>
  <c r="AI23" i="12" s="1"/>
  <c r="T22" i="12"/>
  <c r="T23" i="12" s="1"/>
  <c r="H16" i="12"/>
  <c r="P16" i="12"/>
  <c r="AF16" i="12"/>
  <c r="AV16" i="12"/>
  <c r="R16" i="12"/>
  <c r="U16" i="12"/>
  <c r="Z16" i="12"/>
  <c r="AI16" i="12"/>
  <c r="AK16" i="12"/>
  <c r="AS16" i="12"/>
  <c r="X16" i="12"/>
  <c r="J16" i="12"/>
  <c r="AD16" i="12"/>
  <c r="M16" i="12"/>
  <c r="K16" i="12"/>
  <c r="AQ16" i="12"/>
  <c r="K22" i="12"/>
  <c r="K23" i="12" s="1"/>
  <c r="AA22" i="12"/>
  <c r="AA23" i="12" s="1"/>
  <c r="AQ22" i="12"/>
  <c r="AQ23" i="12" s="1"/>
  <c r="AT16" i="12"/>
  <c r="N16" i="12"/>
  <c r="AH16" i="12"/>
  <c r="Q16" i="12"/>
  <c r="S16" i="12"/>
  <c r="E16" i="12"/>
  <c r="L22" i="12"/>
  <c r="L23" i="12" s="1"/>
  <c r="AB22" i="12"/>
  <c r="AB23" i="12" s="1"/>
  <c r="AR22" i="12"/>
  <c r="AR23" i="12" s="1"/>
  <c r="V16" i="12"/>
  <c r="AE16" i="12"/>
  <c r="AR16" i="12"/>
  <c r="Y16" i="12"/>
  <c r="I16" i="12"/>
  <c r="O16" i="12"/>
  <c r="P22" i="12"/>
  <c r="P23" i="12" s="1"/>
  <c r="AF22" i="12"/>
  <c r="AF23" i="12" s="1"/>
  <c r="AV22" i="12"/>
  <c r="AV23" i="12" s="1"/>
  <c r="L16" i="12"/>
  <c r="F16" i="12"/>
  <c r="AL16" i="12"/>
  <c r="AO16" i="12"/>
  <c r="G16" i="12"/>
  <c r="W16" i="12"/>
  <c r="AB16" i="12"/>
  <c r="AU16" i="12"/>
  <c r="V22" i="12"/>
  <c r="V23" i="12" s="1"/>
  <c r="AM16" i="12"/>
  <c r="D16" i="12"/>
  <c r="AJ16" i="12"/>
  <c r="AG16" i="12"/>
  <c r="AW16" i="12"/>
  <c r="AJ22" i="12"/>
  <c r="AJ23" i="12" s="1"/>
  <c r="AW22" i="12"/>
  <c r="AW23" i="12" s="1"/>
  <c r="C16" i="12"/>
  <c r="D22" i="12"/>
  <c r="D23" i="12" s="1"/>
  <c r="AM22" i="12"/>
  <c r="AM23" i="12" s="1"/>
  <c r="W22" i="12"/>
  <c r="W23" i="12" s="1"/>
  <c r="C22" i="12"/>
  <c r="C23" i="12" s="1"/>
  <c r="AG22" i="12"/>
  <c r="AG23" i="12" s="1"/>
  <c r="G22" i="12"/>
  <c r="G23" i="12" s="1"/>
  <c r="T16" i="12"/>
  <c r="AZ95" i="11" l="1"/>
  <c r="AV95" i="11"/>
  <c r="AY95" i="11"/>
  <c r="AU95" i="11"/>
  <c r="BB95" i="11"/>
  <c r="AT95" i="11"/>
  <c r="BA95" i="11"/>
  <c r="AS95" i="11"/>
  <c r="AX95" i="11"/>
  <c r="AW95" i="11"/>
  <c r="AO95" i="11"/>
  <c r="AK95" i="11"/>
  <c r="AG95" i="11"/>
  <c r="AC95" i="11"/>
  <c r="Y95" i="11"/>
  <c r="U95" i="11"/>
  <c r="Q95" i="11"/>
  <c r="M95" i="11"/>
  <c r="I95" i="11"/>
  <c r="AR95" i="11"/>
  <c r="AN95" i="11"/>
  <c r="AJ95" i="11"/>
  <c r="AF95" i="11"/>
  <c r="AB95" i="11"/>
  <c r="X95" i="11"/>
  <c r="T95" i="11"/>
  <c r="P95" i="11"/>
  <c r="L95" i="11"/>
  <c r="AQ95" i="11"/>
  <c r="AM95" i="11"/>
  <c r="AI95" i="11"/>
  <c r="AE95" i="11"/>
  <c r="AA95" i="11"/>
  <c r="W95" i="11"/>
  <c r="S95" i="11"/>
  <c r="O95" i="11"/>
  <c r="K95" i="11"/>
  <c r="AL95" i="11"/>
  <c r="V95" i="11"/>
  <c r="AH95" i="11"/>
  <c r="R95" i="11"/>
  <c r="AD95" i="11"/>
  <c r="N95" i="11"/>
  <c r="J95" i="11"/>
  <c r="AP95" i="11"/>
  <c r="Z95" i="11"/>
  <c r="AZ93" i="11"/>
  <c r="AV93" i="11"/>
  <c r="AY93" i="11"/>
  <c r="AU93" i="11"/>
  <c r="AX93" i="11"/>
  <c r="AW93" i="11"/>
  <c r="BB93" i="11"/>
  <c r="AT93" i="11"/>
  <c r="BA93" i="11"/>
  <c r="AS93" i="11"/>
  <c r="AQ93" i="11"/>
  <c r="AM93" i="11"/>
  <c r="AI93" i="11"/>
  <c r="AE93" i="11"/>
  <c r="AA93" i="11"/>
  <c r="W93" i="11"/>
  <c r="S93" i="11"/>
  <c r="O93" i="11"/>
  <c r="K93" i="11"/>
  <c r="AP93" i="11"/>
  <c r="AL93" i="11"/>
  <c r="AH93" i="11"/>
  <c r="AD93" i="11"/>
  <c r="Z93" i="11"/>
  <c r="V93" i="11"/>
  <c r="R93" i="11"/>
  <c r="N93" i="11"/>
  <c r="J93" i="11"/>
  <c r="AO93" i="11"/>
  <c r="AK93" i="11"/>
  <c r="AG93" i="11"/>
  <c r="AC93" i="11"/>
  <c r="Y93" i="11"/>
  <c r="U93" i="11"/>
  <c r="Q93" i="11"/>
  <c r="M93" i="11"/>
  <c r="I93" i="11"/>
  <c r="AF93" i="11"/>
  <c r="P93" i="11"/>
  <c r="AR93" i="11"/>
  <c r="AB93" i="11"/>
  <c r="L93" i="11"/>
  <c r="AN93" i="11"/>
  <c r="X93" i="11"/>
  <c r="T93" i="11"/>
  <c r="AJ93" i="11"/>
  <c r="AZ91" i="11"/>
  <c r="AV91" i="11"/>
  <c r="AY91" i="11"/>
  <c r="AU91" i="11"/>
  <c r="BB91" i="11"/>
  <c r="AT91" i="11"/>
  <c r="BA91" i="11"/>
  <c r="AS91" i="11"/>
  <c r="AX91" i="11"/>
  <c r="AW91" i="11"/>
  <c r="AR91" i="11"/>
  <c r="AN91" i="11"/>
  <c r="AJ91" i="11"/>
  <c r="AF91" i="11"/>
  <c r="AB91" i="11"/>
  <c r="X91" i="11"/>
  <c r="T91" i="11"/>
  <c r="P91" i="11"/>
  <c r="L91" i="11"/>
  <c r="AQ91" i="11"/>
  <c r="AM91" i="11"/>
  <c r="AI91" i="11"/>
  <c r="AE91" i="11"/>
  <c r="AA91" i="11"/>
  <c r="W91" i="11"/>
  <c r="S91" i="11"/>
  <c r="O91" i="11"/>
  <c r="K91" i="11"/>
  <c r="AP91" i="11"/>
  <c r="AL91" i="11"/>
  <c r="AH91" i="11"/>
  <c r="AD91" i="11"/>
  <c r="Z91" i="11"/>
  <c r="V91" i="11"/>
  <c r="R91" i="11"/>
  <c r="N91" i="11"/>
  <c r="J91" i="11"/>
  <c r="AG91" i="11"/>
  <c r="Q91" i="11"/>
  <c r="AC91" i="11"/>
  <c r="M91" i="11"/>
  <c r="AO91" i="11"/>
  <c r="Y91" i="11"/>
  <c r="I91" i="11"/>
  <c r="AK91" i="11"/>
  <c r="U91" i="11"/>
  <c r="AZ89" i="11"/>
  <c r="AV89" i="11"/>
  <c r="AY89" i="11"/>
  <c r="AU89" i="11"/>
  <c r="AX89" i="11"/>
  <c r="AW89" i="11"/>
  <c r="BB89" i="11"/>
  <c r="AT89" i="11"/>
  <c r="BA89" i="11"/>
  <c r="AS89" i="11"/>
  <c r="AP89" i="11"/>
  <c r="AL89" i="11"/>
  <c r="AH89" i="11"/>
  <c r="AD89" i="11"/>
  <c r="Z89" i="11"/>
  <c r="V89" i="11"/>
  <c r="R89" i="11"/>
  <c r="N89" i="11"/>
  <c r="J89" i="11"/>
  <c r="AO89" i="11"/>
  <c r="AK89" i="11"/>
  <c r="AG89" i="11"/>
  <c r="AC89" i="11"/>
  <c r="Y89" i="11"/>
  <c r="U89" i="11"/>
  <c r="Q89" i="11"/>
  <c r="M89" i="11"/>
  <c r="I89" i="11"/>
  <c r="AR89" i="11"/>
  <c r="AN89" i="11"/>
  <c r="AJ89" i="11"/>
  <c r="AF89" i="11"/>
  <c r="AB89" i="11"/>
  <c r="X89" i="11"/>
  <c r="T89" i="11"/>
  <c r="P89" i="11"/>
  <c r="L89" i="11"/>
  <c r="AQ89" i="11"/>
  <c r="AA89" i="11"/>
  <c r="K89" i="11"/>
  <c r="AM89" i="11"/>
  <c r="W89" i="11"/>
  <c r="AI89" i="11"/>
  <c r="S89" i="11"/>
  <c r="AE89" i="11"/>
  <c r="O89" i="11"/>
  <c r="AZ87" i="11"/>
  <c r="AV87" i="11"/>
  <c r="AY87" i="11"/>
  <c r="AU87" i="11"/>
  <c r="BB87" i="11"/>
  <c r="AT87" i="11"/>
  <c r="BA87" i="11"/>
  <c r="AS87" i="11"/>
  <c r="AX87" i="11"/>
  <c r="AW87" i="11"/>
  <c r="AR87" i="11"/>
  <c r="AN87" i="11"/>
  <c r="AJ87" i="11"/>
  <c r="AF87" i="11"/>
  <c r="AB87" i="11"/>
  <c r="X87" i="11"/>
  <c r="T87" i="11"/>
  <c r="P87" i="11"/>
  <c r="L87" i="11"/>
  <c r="AQ87" i="11"/>
  <c r="AM87" i="11"/>
  <c r="AI87" i="11"/>
  <c r="AE87" i="11"/>
  <c r="AA87" i="11"/>
  <c r="W87" i="11"/>
  <c r="S87" i="11"/>
  <c r="O87" i="11"/>
  <c r="K87" i="11"/>
  <c r="AP87" i="11"/>
  <c r="AL87" i="11"/>
  <c r="AH87" i="11"/>
  <c r="AD87" i="11"/>
  <c r="Z87" i="11"/>
  <c r="V87" i="11"/>
  <c r="R87" i="11"/>
  <c r="N87" i="11"/>
  <c r="J87" i="11"/>
  <c r="AK87" i="11"/>
  <c r="U87" i="11"/>
  <c r="AG87" i="11"/>
  <c r="Q87" i="11"/>
  <c r="AC87" i="11"/>
  <c r="M87" i="11"/>
  <c r="AO87" i="11"/>
  <c r="Y87" i="11"/>
  <c r="I87" i="11"/>
  <c r="AZ85" i="11"/>
  <c r="AV85" i="11"/>
  <c r="AY85" i="11"/>
  <c r="AU85" i="11"/>
  <c r="AX85" i="11"/>
  <c r="AW85" i="11"/>
  <c r="BB85" i="11"/>
  <c r="AT85" i="11"/>
  <c r="AS85" i="11"/>
  <c r="AP85" i="11"/>
  <c r="AL85" i="11"/>
  <c r="AH85" i="11"/>
  <c r="AD85" i="11"/>
  <c r="Z85" i="11"/>
  <c r="V85" i="11"/>
  <c r="R85" i="11"/>
  <c r="N85" i="11"/>
  <c r="J85" i="11"/>
  <c r="BA85" i="11"/>
  <c r="AO85" i="11"/>
  <c r="AK85" i="11"/>
  <c r="AG85" i="11"/>
  <c r="AC85" i="11"/>
  <c r="Y85" i="11"/>
  <c r="U85" i="11"/>
  <c r="Q85" i="11"/>
  <c r="M85" i="11"/>
  <c r="I85" i="11"/>
  <c r="AM85" i="11"/>
  <c r="AE85" i="11"/>
  <c r="W85" i="11"/>
  <c r="O85" i="11"/>
  <c r="AR85" i="11"/>
  <c r="AJ85" i="11"/>
  <c r="AB85" i="11"/>
  <c r="T85" i="11"/>
  <c r="L85" i="11"/>
  <c r="AQ85" i="11"/>
  <c r="AI85" i="11"/>
  <c r="AA85" i="11"/>
  <c r="S85" i="11"/>
  <c r="K85" i="11"/>
  <c r="AN85" i="11"/>
  <c r="AF85" i="11"/>
  <c r="X85" i="11"/>
  <c r="P85" i="11"/>
  <c r="AZ83" i="11"/>
  <c r="BB83" i="11"/>
  <c r="AW83" i="11"/>
  <c r="AS83" i="11"/>
  <c r="BA83" i="11"/>
  <c r="AV83" i="11"/>
  <c r="AY83" i="11"/>
  <c r="AU83" i="11"/>
  <c r="AX83" i="11"/>
  <c r="AT83" i="11"/>
  <c r="AR83" i="11"/>
  <c r="AN83" i="11"/>
  <c r="AJ83" i="11"/>
  <c r="AF83" i="11"/>
  <c r="AB83" i="11"/>
  <c r="X83" i="11"/>
  <c r="T83" i="11"/>
  <c r="P83" i="11"/>
  <c r="L83" i="11"/>
  <c r="AQ83" i="11"/>
  <c r="AM83" i="11"/>
  <c r="AI83" i="11"/>
  <c r="AE83" i="11"/>
  <c r="AA83" i="11"/>
  <c r="W83" i="11"/>
  <c r="S83" i="11"/>
  <c r="O83" i="11"/>
  <c r="K83" i="11"/>
  <c r="AO83" i="11"/>
  <c r="AG83" i="11"/>
  <c r="Y83" i="11"/>
  <c r="Q83" i="11"/>
  <c r="I83" i="11"/>
  <c r="AL83" i="11"/>
  <c r="AD83" i="11"/>
  <c r="V83" i="11"/>
  <c r="N83" i="11"/>
  <c r="AK83" i="11"/>
  <c r="AC83" i="11"/>
  <c r="U83" i="11"/>
  <c r="M83" i="11"/>
  <c r="R83" i="11"/>
  <c r="AP83" i="11"/>
  <c r="J83" i="11"/>
  <c r="AH83" i="11"/>
  <c r="Z83" i="11"/>
  <c r="BA81" i="11"/>
  <c r="AW81" i="11"/>
  <c r="AS81" i="11"/>
  <c r="AZ81" i="11"/>
  <c r="AV81" i="11"/>
  <c r="AY81" i="11"/>
  <c r="AU81" i="11"/>
  <c r="AT81" i="11"/>
  <c r="BB81" i="11"/>
  <c r="AX81" i="11"/>
  <c r="AP81" i="11"/>
  <c r="AL81" i="11"/>
  <c r="AH81" i="11"/>
  <c r="AD81" i="11"/>
  <c r="Z81" i="11"/>
  <c r="V81" i="11"/>
  <c r="R81" i="11"/>
  <c r="N81" i="11"/>
  <c r="J81" i="11"/>
  <c r="AO81" i="11"/>
  <c r="AK81" i="11"/>
  <c r="AG81" i="11"/>
  <c r="AC81" i="11"/>
  <c r="Y81" i="11"/>
  <c r="U81" i="11"/>
  <c r="Q81" i="11"/>
  <c r="M81" i="11"/>
  <c r="I81" i="11"/>
  <c r="AQ81" i="11"/>
  <c r="AI81" i="11"/>
  <c r="AA81" i="11"/>
  <c r="S81" i="11"/>
  <c r="K81" i="11"/>
  <c r="AN81" i="11"/>
  <c r="AF81" i="11"/>
  <c r="X81" i="11"/>
  <c r="P81" i="11"/>
  <c r="AM81" i="11"/>
  <c r="AE81" i="11"/>
  <c r="W81" i="11"/>
  <c r="O81" i="11"/>
  <c r="AB81" i="11"/>
  <c r="T81" i="11"/>
  <c r="AR81" i="11"/>
  <c r="L81" i="11"/>
  <c r="AJ81" i="11"/>
  <c r="BA79" i="11"/>
  <c r="AW79" i="11"/>
  <c r="AS79" i="11"/>
  <c r="AZ79" i="11"/>
  <c r="AV79" i="11"/>
  <c r="AY79" i="11"/>
  <c r="AU79" i="11"/>
  <c r="AX79" i="11"/>
  <c r="AT79" i="11"/>
  <c r="BB79" i="11"/>
  <c r="AR79" i="11"/>
  <c r="AN79" i="11"/>
  <c r="AJ79" i="11"/>
  <c r="AF79" i="11"/>
  <c r="AB79" i="11"/>
  <c r="X79" i="11"/>
  <c r="T79" i="11"/>
  <c r="P79" i="11"/>
  <c r="L79" i="11"/>
  <c r="AQ79" i="11"/>
  <c r="AM79" i="11"/>
  <c r="AI79" i="11"/>
  <c r="AE79" i="11"/>
  <c r="AA79" i="11"/>
  <c r="W79" i="11"/>
  <c r="S79" i="11"/>
  <c r="O79" i="11"/>
  <c r="K79" i="11"/>
  <c r="AK79" i="11"/>
  <c r="AC79" i="11"/>
  <c r="U79" i="11"/>
  <c r="M79" i="11"/>
  <c r="AP79" i="11"/>
  <c r="AH79" i="11"/>
  <c r="Z79" i="11"/>
  <c r="R79" i="11"/>
  <c r="J79" i="11"/>
  <c r="AO79" i="11"/>
  <c r="AG79" i="11"/>
  <c r="Y79" i="11"/>
  <c r="Q79" i="11"/>
  <c r="I79" i="11"/>
  <c r="AL79" i="11"/>
  <c r="AD79" i="11"/>
  <c r="V79" i="11"/>
  <c r="N79" i="11"/>
  <c r="BA77" i="11"/>
  <c r="AW77" i="11"/>
  <c r="AS77" i="11"/>
  <c r="AZ77" i="11"/>
  <c r="AV77" i="11"/>
  <c r="AY77" i="11"/>
  <c r="AU77" i="11"/>
  <c r="BB77" i="11"/>
  <c r="AX77" i="11"/>
  <c r="AT77" i="11"/>
  <c r="AO77" i="11"/>
  <c r="AK77" i="11"/>
  <c r="AG77" i="11"/>
  <c r="AC77" i="11"/>
  <c r="Y77" i="11"/>
  <c r="U77" i="11"/>
  <c r="Q77" i="11"/>
  <c r="M77" i="11"/>
  <c r="I77" i="11"/>
  <c r="AR77" i="11"/>
  <c r="AN77" i="11"/>
  <c r="AJ77" i="11"/>
  <c r="AF77" i="11"/>
  <c r="AB77" i="11"/>
  <c r="X77" i="11"/>
  <c r="T77" i="11"/>
  <c r="P77" i="11"/>
  <c r="L77" i="11"/>
  <c r="AQ77" i="11"/>
  <c r="AM77" i="11"/>
  <c r="AI77" i="11"/>
  <c r="AE77" i="11"/>
  <c r="AA77" i="11"/>
  <c r="W77" i="11"/>
  <c r="S77" i="11"/>
  <c r="O77" i="11"/>
  <c r="K77" i="11"/>
  <c r="AL77" i="11"/>
  <c r="V77" i="11"/>
  <c r="AH77" i="11"/>
  <c r="R77" i="11"/>
  <c r="AD77" i="11"/>
  <c r="N77" i="11"/>
  <c r="AP77" i="11"/>
  <c r="Z77" i="11"/>
  <c r="J77" i="11"/>
  <c r="BA75" i="11"/>
  <c r="AW75" i="11"/>
  <c r="AS75" i="11"/>
  <c r="AZ75" i="11"/>
  <c r="AV75" i="11"/>
  <c r="AY75" i="11"/>
  <c r="AU75" i="11"/>
  <c r="BB75" i="11"/>
  <c r="AX75" i="11"/>
  <c r="AT75" i="11"/>
  <c r="AQ75" i="11"/>
  <c r="AM75" i="11"/>
  <c r="AI75" i="11"/>
  <c r="AE75" i="11"/>
  <c r="AA75" i="11"/>
  <c r="W75" i="11"/>
  <c r="S75" i="11"/>
  <c r="O75" i="11"/>
  <c r="K75" i="11"/>
  <c r="AP75" i="11"/>
  <c r="AL75" i="11"/>
  <c r="AH75" i="11"/>
  <c r="AD75" i="11"/>
  <c r="Z75" i="11"/>
  <c r="V75" i="11"/>
  <c r="R75" i="11"/>
  <c r="N75" i="11"/>
  <c r="J75" i="11"/>
  <c r="AO75" i="11"/>
  <c r="AK75" i="11"/>
  <c r="AG75" i="11"/>
  <c r="AC75" i="11"/>
  <c r="Y75" i="11"/>
  <c r="U75" i="11"/>
  <c r="Q75" i="11"/>
  <c r="M75" i="11"/>
  <c r="I75" i="11"/>
  <c r="AF75" i="11"/>
  <c r="P75" i="11"/>
  <c r="AR75" i="11"/>
  <c r="AB75" i="11"/>
  <c r="L75" i="11"/>
  <c r="AN75" i="11"/>
  <c r="X75" i="11"/>
  <c r="AJ75" i="11"/>
  <c r="T75" i="11"/>
  <c r="BA73" i="11"/>
  <c r="AW73" i="11"/>
  <c r="AS73" i="11"/>
  <c r="AZ73" i="11"/>
  <c r="AV73" i="11"/>
  <c r="AY73" i="11"/>
  <c r="AU73" i="11"/>
  <c r="AT73" i="11"/>
  <c r="BB73" i="11"/>
  <c r="AX73" i="11"/>
  <c r="AO73" i="11"/>
  <c r="AK73" i="11"/>
  <c r="AG73" i="11"/>
  <c r="AC73" i="11"/>
  <c r="Y73" i="11"/>
  <c r="U73" i="11"/>
  <c r="Q73" i="11"/>
  <c r="M73" i="11"/>
  <c r="I73" i="11"/>
  <c r="AR73" i="11"/>
  <c r="AN73" i="11"/>
  <c r="AJ73" i="11"/>
  <c r="AF73" i="11"/>
  <c r="AB73" i="11"/>
  <c r="X73" i="11"/>
  <c r="T73" i="11"/>
  <c r="P73" i="11"/>
  <c r="L73" i="11"/>
  <c r="AQ73" i="11"/>
  <c r="AM73" i="11"/>
  <c r="AI73" i="11"/>
  <c r="AE73" i="11"/>
  <c r="AA73" i="11"/>
  <c r="W73" i="11"/>
  <c r="S73" i="11"/>
  <c r="O73" i="11"/>
  <c r="K73" i="11"/>
  <c r="AP73" i="11"/>
  <c r="Z73" i="11"/>
  <c r="J73" i="11"/>
  <c r="AL73" i="11"/>
  <c r="V73" i="11"/>
  <c r="AH73" i="11"/>
  <c r="R73" i="11"/>
  <c r="N73" i="11"/>
  <c r="AD73" i="11"/>
  <c r="BA71" i="11"/>
  <c r="AW71" i="11"/>
  <c r="AS71" i="11"/>
  <c r="AZ71" i="11"/>
  <c r="AV71" i="11"/>
  <c r="AY71" i="11"/>
  <c r="AU71" i="11"/>
  <c r="AX71" i="11"/>
  <c r="AT71" i="11"/>
  <c r="AQ71" i="11"/>
  <c r="AM71" i="11"/>
  <c r="AI71" i="11"/>
  <c r="AE71" i="11"/>
  <c r="AA71" i="11"/>
  <c r="W71" i="11"/>
  <c r="S71" i="11"/>
  <c r="O71" i="11"/>
  <c r="K71" i="11"/>
  <c r="BB71" i="11"/>
  <c r="AP71" i="11"/>
  <c r="AL71" i="11"/>
  <c r="AH71" i="11"/>
  <c r="AD71" i="11"/>
  <c r="Z71" i="11"/>
  <c r="V71" i="11"/>
  <c r="R71" i="11"/>
  <c r="N71" i="11"/>
  <c r="J71" i="11"/>
  <c r="AO71" i="11"/>
  <c r="AK71" i="11"/>
  <c r="AG71" i="11"/>
  <c r="AC71" i="11"/>
  <c r="Y71" i="11"/>
  <c r="U71" i="11"/>
  <c r="Q71" i="11"/>
  <c r="M71" i="11"/>
  <c r="I71" i="11"/>
  <c r="AJ71" i="11"/>
  <c r="T71" i="11"/>
  <c r="AF71" i="11"/>
  <c r="P71" i="11"/>
  <c r="AR71" i="11"/>
  <c r="AB71" i="11"/>
  <c r="L71" i="11"/>
  <c r="X71" i="11"/>
  <c r="AN71" i="11"/>
  <c r="AZ69" i="11"/>
  <c r="AV69" i="11"/>
  <c r="AY69" i="11"/>
  <c r="AU69" i="11"/>
  <c r="AX69" i="11"/>
  <c r="AW69" i="11"/>
  <c r="BB69" i="11"/>
  <c r="AT69" i="11"/>
  <c r="BA69" i="11"/>
  <c r="AS69" i="11"/>
  <c r="AO69" i="11"/>
  <c r="AK69" i="11"/>
  <c r="AG69" i="11"/>
  <c r="AC69" i="11"/>
  <c r="Y69" i="11"/>
  <c r="U69" i="11"/>
  <c r="Q69" i="11"/>
  <c r="M69" i="11"/>
  <c r="I69" i="11"/>
  <c r="AR69" i="11"/>
  <c r="AN69" i="11"/>
  <c r="AJ69" i="11"/>
  <c r="AF69" i="11"/>
  <c r="AB69" i="11"/>
  <c r="X69" i="11"/>
  <c r="T69" i="11"/>
  <c r="P69" i="11"/>
  <c r="L69" i="11"/>
  <c r="AQ69" i="11"/>
  <c r="AM69" i="11"/>
  <c r="AI69" i="11"/>
  <c r="AE69" i="11"/>
  <c r="AA69" i="11"/>
  <c r="W69" i="11"/>
  <c r="S69" i="11"/>
  <c r="O69" i="11"/>
  <c r="K69" i="11"/>
  <c r="AD69" i="11"/>
  <c r="N69" i="11"/>
  <c r="AP69" i="11"/>
  <c r="Z69" i="11"/>
  <c r="J69" i="11"/>
  <c r="AL69" i="11"/>
  <c r="V69" i="11"/>
  <c r="AH69" i="11"/>
  <c r="R69" i="11"/>
  <c r="AZ67" i="11"/>
  <c r="AV67" i="11"/>
  <c r="AY67" i="11"/>
  <c r="AU67" i="11"/>
  <c r="BB67" i="11"/>
  <c r="AT67" i="11"/>
  <c r="BA67" i="11"/>
  <c r="AS67" i="11"/>
  <c r="AX67" i="11"/>
  <c r="AW67" i="11"/>
  <c r="AQ67" i="11"/>
  <c r="AM67" i="11"/>
  <c r="AI67" i="11"/>
  <c r="AE67" i="11"/>
  <c r="AA67" i="11"/>
  <c r="W67" i="11"/>
  <c r="S67" i="11"/>
  <c r="O67" i="11"/>
  <c r="K67" i="11"/>
  <c r="AP67" i="11"/>
  <c r="AL67" i="11"/>
  <c r="AH67" i="11"/>
  <c r="AD67" i="11"/>
  <c r="Z67" i="11"/>
  <c r="V67" i="11"/>
  <c r="R67" i="11"/>
  <c r="N67" i="11"/>
  <c r="J67" i="11"/>
  <c r="AO67" i="11"/>
  <c r="AK67" i="11"/>
  <c r="AG67" i="11"/>
  <c r="AC67" i="11"/>
  <c r="Y67" i="11"/>
  <c r="U67" i="11"/>
  <c r="Q67" i="11"/>
  <c r="M67" i="11"/>
  <c r="I67" i="11"/>
  <c r="AN67" i="11"/>
  <c r="X67" i="11"/>
  <c r="AJ67" i="11"/>
  <c r="T67" i="11"/>
  <c r="AF67" i="11"/>
  <c r="P67" i="11"/>
  <c r="AR67" i="11"/>
  <c r="AB67" i="11"/>
  <c r="L67" i="11"/>
  <c r="AZ65" i="11"/>
  <c r="AV65" i="11"/>
  <c r="AY65" i="11"/>
  <c r="AU65" i="11"/>
  <c r="AX65" i="11"/>
  <c r="AW65" i="11"/>
  <c r="BB65" i="11"/>
  <c r="AT65" i="11"/>
  <c r="BA65" i="11"/>
  <c r="AS65" i="11"/>
  <c r="AP65" i="11"/>
  <c r="AL65" i="11"/>
  <c r="AH65" i="11"/>
  <c r="AD65" i="11"/>
  <c r="Z65" i="11"/>
  <c r="V65" i="11"/>
  <c r="R65" i="11"/>
  <c r="N65" i="11"/>
  <c r="J65" i="11"/>
  <c r="AO65" i="11"/>
  <c r="AK65" i="11"/>
  <c r="AG65" i="11"/>
  <c r="AC65" i="11"/>
  <c r="Y65" i="11"/>
  <c r="U65" i="11"/>
  <c r="Q65" i="11"/>
  <c r="M65" i="11"/>
  <c r="I65" i="11"/>
  <c r="AR65" i="11"/>
  <c r="AN65" i="11"/>
  <c r="AJ65" i="11"/>
  <c r="AF65" i="11"/>
  <c r="AB65" i="11"/>
  <c r="X65" i="11"/>
  <c r="T65" i="11"/>
  <c r="P65" i="11"/>
  <c r="L65" i="11"/>
  <c r="AM65" i="11"/>
  <c r="W65" i="11"/>
  <c r="AI65" i="11"/>
  <c r="S65" i="11"/>
  <c r="AE65" i="11"/>
  <c r="O65" i="11"/>
  <c r="AQ65" i="11"/>
  <c r="AA65" i="11"/>
  <c r="K65" i="11"/>
  <c r="AZ63" i="11"/>
  <c r="BB63" i="11"/>
  <c r="AW63" i="11"/>
  <c r="AS63" i="11"/>
  <c r="BA63" i="11"/>
  <c r="AV63" i="11"/>
  <c r="AY63" i="11"/>
  <c r="AU63" i="11"/>
  <c r="AX63" i="11"/>
  <c r="AT63" i="11"/>
  <c r="AR63" i="11"/>
  <c r="AN63" i="11"/>
  <c r="AJ63" i="11"/>
  <c r="AF63" i="11"/>
  <c r="AB63" i="11"/>
  <c r="X63" i="11"/>
  <c r="T63" i="11"/>
  <c r="P63" i="11"/>
  <c r="L63" i="11"/>
  <c r="AQ63" i="11"/>
  <c r="AM63" i="11"/>
  <c r="AI63" i="11"/>
  <c r="AE63" i="11"/>
  <c r="AA63" i="11"/>
  <c r="W63" i="11"/>
  <c r="S63" i="11"/>
  <c r="O63" i="11"/>
  <c r="K63" i="11"/>
  <c r="AP63" i="11"/>
  <c r="AL63" i="11"/>
  <c r="AH63" i="11"/>
  <c r="AD63" i="11"/>
  <c r="Z63" i="11"/>
  <c r="V63" i="11"/>
  <c r="R63" i="11"/>
  <c r="N63" i="11"/>
  <c r="J63" i="11"/>
  <c r="AG63" i="11"/>
  <c r="Q63" i="11"/>
  <c r="AC63" i="11"/>
  <c r="M63" i="11"/>
  <c r="AO63" i="11"/>
  <c r="Y63" i="11"/>
  <c r="I63" i="11"/>
  <c r="AK63" i="11"/>
  <c r="U63" i="11"/>
  <c r="BA61" i="11"/>
  <c r="AW61" i="11"/>
  <c r="AS61" i="11"/>
  <c r="AZ61" i="11"/>
  <c r="AV61" i="11"/>
  <c r="AY61" i="11"/>
  <c r="AU61" i="11"/>
  <c r="BB61" i="11"/>
  <c r="AX61" i="11"/>
  <c r="AT61" i="11"/>
  <c r="AP61" i="11"/>
  <c r="AL61" i="11"/>
  <c r="AH61" i="11"/>
  <c r="AD61" i="11"/>
  <c r="Z61" i="11"/>
  <c r="V61" i="11"/>
  <c r="R61" i="11"/>
  <c r="N61" i="11"/>
  <c r="J61" i="11"/>
  <c r="AO61" i="11"/>
  <c r="AK61" i="11"/>
  <c r="AG61" i="11"/>
  <c r="AC61" i="11"/>
  <c r="Y61" i="11"/>
  <c r="U61" i="11"/>
  <c r="Q61" i="11"/>
  <c r="M61" i="11"/>
  <c r="I61" i="11"/>
  <c r="AR61" i="11"/>
  <c r="AN61" i="11"/>
  <c r="AJ61" i="11"/>
  <c r="AF61" i="11"/>
  <c r="AB61" i="11"/>
  <c r="X61" i="11"/>
  <c r="T61" i="11"/>
  <c r="P61" i="11"/>
  <c r="L61" i="11"/>
  <c r="AQ61" i="11"/>
  <c r="AA61" i="11"/>
  <c r="K61" i="11"/>
  <c r="AM61" i="11"/>
  <c r="W61" i="11"/>
  <c r="AI61" i="11"/>
  <c r="S61" i="11"/>
  <c r="O61" i="11"/>
  <c r="AE61" i="11"/>
  <c r="BA59" i="11"/>
  <c r="AW59" i="11"/>
  <c r="AS59" i="11"/>
  <c r="AZ59" i="11"/>
  <c r="AV59" i="11"/>
  <c r="AY59" i="11"/>
  <c r="AU59" i="11"/>
  <c r="AT59" i="11"/>
  <c r="BB59" i="11"/>
  <c r="AX59" i="11"/>
  <c r="AR59" i="11"/>
  <c r="AN59" i="11"/>
  <c r="AJ59" i="11"/>
  <c r="AF59" i="11"/>
  <c r="AB59" i="11"/>
  <c r="X59" i="11"/>
  <c r="T59" i="11"/>
  <c r="P59" i="11"/>
  <c r="L59" i="11"/>
  <c r="AQ59" i="11"/>
  <c r="AM59" i="11"/>
  <c r="AI59" i="11"/>
  <c r="AE59" i="11"/>
  <c r="AA59" i="11"/>
  <c r="W59" i="11"/>
  <c r="S59" i="11"/>
  <c r="O59" i="11"/>
  <c r="K59" i="11"/>
  <c r="AP59" i="11"/>
  <c r="AL59" i="11"/>
  <c r="AH59" i="11"/>
  <c r="AD59" i="11"/>
  <c r="Z59" i="11"/>
  <c r="V59" i="11"/>
  <c r="R59" i="11"/>
  <c r="N59" i="11"/>
  <c r="J59" i="11"/>
  <c r="AK59" i="11"/>
  <c r="U59" i="11"/>
  <c r="AG59" i="11"/>
  <c r="Q59" i="11"/>
  <c r="AC59" i="11"/>
  <c r="M59" i="11"/>
  <c r="Y59" i="11"/>
  <c r="I59" i="11"/>
  <c r="AO59" i="11"/>
  <c r="BA57" i="11"/>
  <c r="AW57" i="11"/>
  <c r="AS57" i="11"/>
  <c r="AZ57" i="11"/>
  <c r="AV57" i="11"/>
  <c r="AY57" i="11"/>
  <c r="AU57" i="11"/>
  <c r="AX57" i="11"/>
  <c r="AT57" i="11"/>
  <c r="BB57" i="11"/>
  <c r="AP57" i="11"/>
  <c r="AL57" i="11"/>
  <c r="AH57" i="11"/>
  <c r="AD57" i="11"/>
  <c r="Z57" i="11"/>
  <c r="V57" i="11"/>
  <c r="R57" i="11"/>
  <c r="N57" i="11"/>
  <c r="J57" i="11"/>
  <c r="AO57" i="11"/>
  <c r="AK57" i="11"/>
  <c r="AG57" i="11"/>
  <c r="AC57" i="11"/>
  <c r="Y57" i="11"/>
  <c r="U57" i="11"/>
  <c r="Q57" i="11"/>
  <c r="M57" i="11"/>
  <c r="I57" i="11"/>
  <c r="AR57" i="11"/>
  <c r="AN57" i="11"/>
  <c r="AJ57" i="11"/>
  <c r="AF57" i="11"/>
  <c r="AB57" i="11"/>
  <c r="X57" i="11"/>
  <c r="T57" i="11"/>
  <c r="P57" i="11"/>
  <c r="L57" i="11"/>
  <c r="AE57" i="11"/>
  <c r="O57" i="11"/>
  <c r="AQ57" i="11"/>
  <c r="AA57" i="11"/>
  <c r="K57" i="11"/>
  <c r="AM57" i="11"/>
  <c r="W57" i="11"/>
  <c r="AI57" i="11"/>
  <c r="S57" i="11"/>
  <c r="BA55" i="11"/>
  <c r="AW55" i="11"/>
  <c r="AS55" i="11"/>
  <c r="AZ55" i="11"/>
  <c r="AV55" i="11"/>
  <c r="AX55" i="11"/>
  <c r="AU55" i="11"/>
  <c r="BB55" i="11"/>
  <c r="AT55" i="11"/>
  <c r="AR55" i="11"/>
  <c r="AN55" i="11"/>
  <c r="AJ55" i="11"/>
  <c r="AF55" i="11"/>
  <c r="AB55" i="11"/>
  <c r="X55" i="11"/>
  <c r="T55" i="11"/>
  <c r="P55" i="11"/>
  <c r="L55" i="11"/>
  <c r="AY55" i="11"/>
  <c r="AQ55" i="11"/>
  <c r="AM55" i="11"/>
  <c r="AI55" i="11"/>
  <c r="AE55" i="11"/>
  <c r="AA55" i="11"/>
  <c r="W55" i="11"/>
  <c r="S55" i="11"/>
  <c r="O55" i="11"/>
  <c r="K55" i="11"/>
  <c r="AP55" i="11"/>
  <c r="AL55" i="11"/>
  <c r="AH55" i="11"/>
  <c r="AD55" i="11"/>
  <c r="Z55" i="11"/>
  <c r="V55" i="11"/>
  <c r="R55" i="11"/>
  <c r="N55" i="11"/>
  <c r="J55" i="11"/>
  <c r="AO55" i="11"/>
  <c r="Y55" i="11"/>
  <c r="I55" i="11"/>
  <c r="AK55" i="11"/>
  <c r="U55" i="11"/>
  <c r="AG55" i="11"/>
  <c r="Q55" i="11"/>
  <c r="AC55" i="11"/>
  <c r="M55" i="11"/>
  <c r="BA53" i="11"/>
  <c r="AW53" i="11"/>
  <c r="AS53" i="11"/>
  <c r="AZ53" i="11"/>
  <c r="AV53" i="11"/>
  <c r="BB53" i="11"/>
  <c r="AT53" i="11"/>
  <c r="AY53" i="11"/>
  <c r="AX53" i="11"/>
  <c r="AU53" i="11"/>
  <c r="AP53" i="11"/>
  <c r="AL53" i="11"/>
  <c r="AH53" i="11"/>
  <c r="AD53" i="11"/>
  <c r="Z53" i="11"/>
  <c r="V53" i="11"/>
  <c r="R53" i="11"/>
  <c r="N53" i="11"/>
  <c r="J53" i="11"/>
  <c r="AO53" i="11"/>
  <c r="AK53" i="11"/>
  <c r="AG53" i="11"/>
  <c r="AC53" i="11"/>
  <c r="Y53" i="11"/>
  <c r="U53" i="11"/>
  <c r="Q53" i="11"/>
  <c r="M53" i="11"/>
  <c r="I53" i="11"/>
  <c r="AR53" i="11"/>
  <c r="AN53" i="11"/>
  <c r="AJ53" i="11"/>
  <c r="AF53" i="11"/>
  <c r="AB53" i="11"/>
  <c r="X53" i="11"/>
  <c r="T53" i="11"/>
  <c r="P53" i="11"/>
  <c r="L53" i="11"/>
  <c r="AI53" i="11"/>
  <c r="S53" i="11"/>
  <c r="AE53" i="11"/>
  <c r="O53" i="11"/>
  <c r="AQ53" i="11"/>
  <c r="AA53" i="11"/>
  <c r="K53" i="11"/>
  <c r="AM53" i="11"/>
  <c r="W53" i="11"/>
  <c r="BA51" i="11"/>
  <c r="AW51" i="11"/>
  <c r="AS51" i="11"/>
  <c r="AZ51" i="11"/>
  <c r="AV51" i="11"/>
  <c r="AX51" i="11"/>
  <c r="AU51" i="11"/>
  <c r="BB51" i="11"/>
  <c r="AT51" i="11"/>
  <c r="AY51" i="11"/>
  <c r="AR51" i="11"/>
  <c r="AN51" i="11"/>
  <c r="AJ51" i="11"/>
  <c r="AF51" i="11"/>
  <c r="AB51" i="11"/>
  <c r="X51" i="11"/>
  <c r="T51" i="11"/>
  <c r="P51" i="11"/>
  <c r="L51" i="11"/>
  <c r="AQ51" i="11"/>
  <c r="AM51" i="11"/>
  <c r="AI51" i="11"/>
  <c r="AE51" i="11"/>
  <c r="AA51" i="11"/>
  <c r="W51" i="11"/>
  <c r="S51" i="11"/>
  <c r="O51" i="11"/>
  <c r="K51" i="11"/>
  <c r="AP51" i="11"/>
  <c r="AL51" i="11"/>
  <c r="AH51" i="11"/>
  <c r="AD51" i="11"/>
  <c r="Z51" i="11"/>
  <c r="V51" i="11"/>
  <c r="R51" i="11"/>
  <c r="N51" i="11"/>
  <c r="J51" i="11"/>
  <c r="AC51" i="11"/>
  <c r="M51" i="11"/>
  <c r="AO51" i="11"/>
  <c r="Y51" i="11"/>
  <c r="I51" i="11"/>
  <c r="AK51" i="11"/>
  <c r="U51" i="11"/>
  <c r="AG51" i="11"/>
  <c r="Q51" i="11"/>
  <c r="BA49" i="11"/>
  <c r="AW49" i="11"/>
  <c r="AS49" i="11"/>
  <c r="AZ49" i="11"/>
  <c r="AV49" i="11"/>
  <c r="BB49" i="11"/>
  <c r="AT49" i="11"/>
  <c r="AY49" i="11"/>
  <c r="AX49" i="11"/>
  <c r="AU49" i="11"/>
  <c r="AP49" i="11"/>
  <c r="AL49" i="11"/>
  <c r="AH49" i="11"/>
  <c r="AD49" i="11"/>
  <c r="Z49" i="11"/>
  <c r="V49" i="11"/>
  <c r="R49" i="11"/>
  <c r="N49" i="11"/>
  <c r="J49" i="11"/>
  <c r="AO49" i="11"/>
  <c r="AK49" i="11"/>
  <c r="AG49" i="11"/>
  <c r="AC49" i="11"/>
  <c r="Y49" i="11"/>
  <c r="U49" i="11"/>
  <c r="Q49" i="11"/>
  <c r="M49" i="11"/>
  <c r="I49" i="11"/>
  <c r="AR49" i="11"/>
  <c r="AN49" i="11"/>
  <c r="AJ49" i="11"/>
  <c r="AF49" i="11"/>
  <c r="AB49" i="11"/>
  <c r="X49" i="11"/>
  <c r="T49" i="11"/>
  <c r="P49" i="11"/>
  <c r="L49" i="11"/>
  <c r="AM49" i="11"/>
  <c r="W49" i="11"/>
  <c r="AI49" i="11"/>
  <c r="S49" i="11"/>
  <c r="AE49" i="11"/>
  <c r="O49" i="11"/>
  <c r="K49" i="11"/>
  <c r="AQ49" i="11"/>
  <c r="AA49" i="11"/>
  <c r="BA47" i="11"/>
  <c r="AW47" i="11"/>
  <c r="AS47" i="11"/>
  <c r="AZ47" i="11"/>
  <c r="AV47" i="11"/>
  <c r="AX47" i="11"/>
  <c r="AU47" i="11"/>
  <c r="BB47" i="11"/>
  <c r="AT47" i="11"/>
  <c r="AY47" i="11"/>
  <c r="AR47" i="11"/>
  <c r="AN47" i="11"/>
  <c r="AJ47" i="11"/>
  <c r="AF47" i="11"/>
  <c r="AB47" i="11"/>
  <c r="X47" i="11"/>
  <c r="T47" i="11"/>
  <c r="P47" i="11"/>
  <c r="L47" i="11"/>
  <c r="AQ47" i="11"/>
  <c r="AM47" i="11"/>
  <c r="AI47" i="11"/>
  <c r="AE47" i="11"/>
  <c r="AA47" i="11"/>
  <c r="W47" i="11"/>
  <c r="S47" i="11"/>
  <c r="O47" i="11"/>
  <c r="K47" i="11"/>
  <c r="AP47" i="11"/>
  <c r="AL47" i="11"/>
  <c r="AH47" i="11"/>
  <c r="AD47" i="11"/>
  <c r="Z47" i="11"/>
  <c r="V47" i="11"/>
  <c r="R47" i="11"/>
  <c r="N47" i="11"/>
  <c r="J47" i="11"/>
  <c r="AG47" i="11"/>
  <c r="Q47" i="11"/>
  <c r="AC47" i="11"/>
  <c r="M47" i="11"/>
  <c r="AO47" i="11"/>
  <c r="Y47" i="11"/>
  <c r="I47" i="11"/>
  <c r="U47" i="11"/>
  <c r="AK47" i="11"/>
  <c r="BA45" i="11"/>
  <c r="AW45" i="11"/>
  <c r="AS45" i="11"/>
  <c r="AZ45" i="11"/>
  <c r="AV45" i="11"/>
  <c r="BB45" i="11"/>
  <c r="AT45" i="11"/>
  <c r="AY45" i="11"/>
  <c r="AX45" i="11"/>
  <c r="AU45" i="11"/>
  <c r="AP45" i="11"/>
  <c r="AL45" i="11"/>
  <c r="AH45" i="11"/>
  <c r="AD45" i="11"/>
  <c r="Z45" i="11"/>
  <c r="V45" i="11"/>
  <c r="R45" i="11"/>
  <c r="N45" i="11"/>
  <c r="J45" i="11"/>
  <c r="AO45" i="11"/>
  <c r="AK45" i="11"/>
  <c r="AG45" i="11"/>
  <c r="AC45" i="11"/>
  <c r="Y45" i="11"/>
  <c r="U45" i="11"/>
  <c r="Q45" i="11"/>
  <c r="M45" i="11"/>
  <c r="I45" i="11"/>
  <c r="AR45" i="11"/>
  <c r="AN45" i="11"/>
  <c r="AJ45" i="11"/>
  <c r="AF45" i="11"/>
  <c r="AB45" i="11"/>
  <c r="X45" i="11"/>
  <c r="T45" i="11"/>
  <c r="P45" i="11"/>
  <c r="L45" i="11"/>
  <c r="AQ45" i="11"/>
  <c r="AA45" i="11"/>
  <c r="K45" i="11"/>
  <c r="AM45" i="11"/>
  <c r="W45" i="11"/>
  <c r="AI45" i="11"/>
  <c r="S45" i="11"/>
  <c r="AE45" i="11"/>
  <c r="O45" i="11"/>
  <c r="BA43" i="11"/>
  <c r="AW43" i="11"/>
  <c r="AS43" i="11"/>
  <c r="AZ43" i="11"/>
  <c r="AV43" i="11"/>
  <c r="AX43" i="11"/>
  <c r="AU43" i="11"/>
  <c r="BB43" i="11"/>
  <c r="AT43" i="11"/>
  <c r="AY43" i="11"/>
  <c r="AR43" i="11"/>
  <c r="AN43" i="11"/>
  <c r="AJ43" i="11"/>
  <c r="AF43" i="11"/>
  <c r="AB43" i="11"/>
  <c r="X43" i="11"/>
  <c r="T43" i="11"/>
  <c r="P43" i="11"/>
  <c r="L43" i="11"/>
  <c r="AQ43" i="11"/>
  <c r="AM43" i="11"/>
  <c r="AI43" i="11"/>
  <c r="AE43" i="11"/>
  <c r="AA43" i="11"/>
  <c r="W43" i="11"/>
  <c r="S43" i="11"/>
  <c r="O43" i="11"/>
  <c r="K43" i="11"/>
  <c r="AP43" i="11"/>
  <c r="AL43" i="11"/>
  <c r="AH43" i="11"/>
  <c r="AD43" i="11"/>
  <c r="Z43" i="11"/>
  <c r="V43" i="11"/>
  <c r="R43" i="11"/>
  <c r="N43" i="11"/>
  <c r="J43" i="11"/>
  <c r="AK43" i="11"/>
  <c r="U43" i="11"/>
  <c r="AG43" i="11"/>
  <c r="Q43" i="11"/>
  <c r="AC43" i="11"/>
  <c r="M43" i="11"/>
  <c r="AO43" i="11"/>
  <c r="Y43" i="11"/>
  <c r="I43" i="11"/>
  <c r="BA41" i="11"/>
  <c r="AW41" i="11"/>
  <c r="AS41" i="11"/>
  <c r="AZ41" i="11"/>
  <c r="AV41" i="11"/>
  <c r="BB41" i="11"/>
  <c r="AT41" i="11"/>
  <c r="AY41" i="11"/>
  <c r="AX41" i="11"/>
  <c r="AU41" i="11"/>
  <c r="AP41" i="11"/>
  <c r="AL41" i="11"/>
  <c r="AH41" i="11"/>
  <c r="AD41" i="11"/>
  <c r="Z41" i="11"/>
  <c r="V41" i="11"/>
  <c r="R41" i="11"/>
  <c r="N41" i="11"/>
  <c r="J41" i="11"/>
  <c r="AO41" i="11"/>
  <c r="AK41" i="11"/>
  <c r="AG41" i="11"/>
  <c r="AC41" i="11"/>
  <c r="Y41" i="11"/>
  <c r="U41" i="11"/>
  <c r="Q41" i="11"/>
  <c r="M41" i="11"/>
  <c r="I41" i="11"/>
  <c r="AR41" i="11"/>
  <c r="AN41" i="11"/>
  <c r="AJ41" i="11"/>
  <c r="AF41" i="11"/>
  <c r="AB41" i="11"/>
  <c r="X41" i="11"/>
  <c r="T41" i="11"/>
  <c r="P41" i="11"/>
  <c r="L41" i="11"/>
  <c r="AE41" i="11"/>
  <c r="O41" i="11"/>
  <c r="AQ41" i="11"/>
  <c r="AA41" i="11"/>
  <c r="K41" i="11"/>
  <c r="AM41" i="11"/>
  <c r="W41" i="11"/>
  <c r="AI41" i="11"/>
  <c r="S41" i="11"/>
  <c r="BA39" i="11"/>
  <c r="AZ39" i="11"/>
  <c r="AX39" i="11"/>
  <c r="AT39" i="11"/>
  <c r="AW39" i="11"/>
  <c r="AS39" i="11"/>
  <c r="BB39" i="11"/>
  <c r="AV39" i="11"/>
  <c r="AU39" i="11"/>
  <c r="AY39" i="11"/>
  <c r="AR39" i="11"/>
  <c r="AN39" i="11"/>
  <c r="AJ39" i="11"/>
  <c r="AF39" i="11"/>
  <c r="AB39" i="11"/>
  <c r="X39" i="11"/>
  <c r="T39" i="11"/>
  <c r="P39" i="11"/>
  <c r="L39" i="11"/>
  <c r="AQ39" i="11"/>
  <c r="AM39" i="11"/>
  <c r="AI39" i="11"/>
  <c r="AE39" i="11"/>
  <c r="AA39" i="11"/>
  <c r="W39" i="11"/>
  <c r="S39" i="11"/>
  <c r="O39" i="11"/>
  <c r="K39" i="11"/>
  <c r="AP39" i="11"/>
  <c r="AL39" i="11"/>
  <c r="AH39" i="11"/>
  <c r="AD39" i="11"/>
  <c r="Z39" i="11"/>
  <c r="V39" i="11"/>
  <c r="R39" i="11"/>
  <c r="N39" i="11"/>
  <c r="J39" i="11"/>
  <c r="AO39" i="11"/>
  <c r="Y39" i="11"/>
  <c r="I39" i="11"/>
  <c r="AK39" i="11"/>
  <c r="U39" i="11"/>
  <c r="AG39" i="11"/>
  <c r="Q39" i="11"/>
  <c r="AC39" i="11"/>
  <c r="M39" i="11"/>
  <c r="BB37" i="11"/>
  <c r="AX37" i="11"/>
  <c r="AT37" i="11"/>
  <c r="BA37" i="11"/>
  <c r="AW37" i="11"/>
  <c r="AS37" i="11"/>
  <c r="AZ37" i="11"/>
  <c r="AV37" i="11"/>
  <c r="AY37" i="11"/>
  <c r="AU37" i="11"/>
  <c r="AP37" i="11"/>
  <c r="AL37" i="11"/>
  <c r="AH37" i="11"/>
  <c r="AD37" i="11"/>
  <c r="Z37" i="11"/>
  <c r="V37" i="11"/>
  <c r="R37" i="11"/>
  <c r="N37" i="11"/>
  <c r="J37" i="11"/>
  <c r="AO37" i="11"/>
  <c r="AK37" i="11"/>
  <c r="AG37" i="11"/>
  <c r="AC37" i="11"/>
  <c r="Y37" i="11"/>
  <c r="U37" i="11"/>
  <c r="Q37" i="11"/>
  <c r="M37" i="11"/>
  <c r="I37" i="11"/>
  <c r="AR37" i="11"/>
  <c r="AN37" i="11"/>
  <c r="AJ37" i="11"/>
  <c r="AF37" i="11"/>
  <c r="AB37" i="11"/>
  <c r="X37" i="11"/>
  <c r="T37" i="11"/>
  <c r="P37" i="11"/>
  <c r="L37" i="11"/>
  <c r="AI37" i="11"/>
  <c r="S37" i="11"/>
  <c r="AE37" i="11"/>
  <c r="O37" i="11"/>
  <c r="AQ37" i="11"/>
  <c r="AA37" i="11"/>
  <c r="K37" i="11"/>
  <c r="AM37" i="11"/>
  <c r="W37" i="11"/>
  <c r="BB35" i="11"/>
  <c r="AX35" i="11"/>
  <c r="AT35" i="11"/>
  <c r="BA35" i="11"/>
  <c r="AW35" i="11"/>
  <c r="AS35" i="11"/>
  <c r="AZ35" i="11"/>
  <c r="AV35" i="11"/>
  <c r="AY35" i="11"/>
  <c r="AU35" i="11"/>
  <c r="AR35" i="11"/>
  <c r="AN35" i="11"/>
  <c r="AJ35" i="11"/>
  <c r="AF35" i="11"/>
  <c r="AB35" i="11"/>
  <c r="X35" i="11"/>
  <c r="T35" i="11"/>
  <c r="P35" i="11"/>
  <c r="L35" i="11"/>
  <c r="AQ35" i="11"/>
  <c r="AM35" i="11"/>
  <c r="AI35" i="11"/>
  <c r="AE35" i="11"/>
  <c r="AA35" i="11"/>
  <c r="W35" i="11"/>
  <c r="S35" i="11"/>
  <c r="O35" i="11"/>
  <c r="K35" i="11"/>
  <c r="AP35" i="11"/>
  <c r="AL35" i="11"/>
  <c r="AH35" i="11"/>
  <c r="AD35" i="11"/>
  <c r="Z35" i="11"/>
  <c r="V35" i="11"/>
  <c r="R35" i="11"/>
  <c r="N35" i="11"/>
  <c r="J35" i="11"/>
  <c r="AC35" i="11"/>
  <c r="M35" i="11"/>
  <c r="AO35" i="11"/>
  <c r="Y35" i="11"/>
  <c r="I35" i="11"/>
  <c r="AK35" i="11"/>
  <c r="U35" i="11"/>
  <c r="Q35" i="11"/>
  <c r="AG35" i="11"/>
  <c r="BB33" i="11"/>
  <c r="AX33" i="11"/>
  <c r="AT33" i="11"/>
  <c r="BA33" i="11"/>
  <c r="AW33" i="11"/>
  <c r="AS33" i="11"/>
  <c r="AZ33" i="11"/>
  <c r="AV33" i="11"/>
  <c r="AY33" i="11"/>
  <c r="AU33" i="11"/>
  <c r="AR33" i="11"/>
  <c r="AN33" i="11"/>
  <c r="AJ33" i="11"/>
  <c r="AF33" i="11"/>
  <c r="AB33" i="11"/>
  <c r="X33" i="11"/>
  <c r="T33" i="11"/>
  <c r="P33" i="11"/>
  <c r="L33" i="11"/>
  <c r="AQ33" i="11"/>
  <c r="AM33" i="11"/>
  <c r="AI33" i="11"/>
  <c r="AE33" i="11"/>
  <c r="AA33" i="11"/>
  <c r="W33" i="11"/>
  <c r="S33" i="11"/>
  <c r="O33" i="11"/>
  <c r="K33" i="11"/>
  <c r="AP33" i="11"/>
  <c r="AL33" i="11"/>
  <c r="AH33" i="11"/>
  <c r="AD33" i="11"/>
  <c r="Z33" i="11"/>
  <c r="V33" i="11"/>
  <c r="R33" i="11"/>
  <c r="N33" i="11"/>
  <c r="J33" i="11"/>
  <c r="AO33" i="11"/>
  <c r="Y33" i="11"/>
  <c r="I33" i="11"/>
  <c r="AK33" i="11"/>
  <c r="U33" i="11"/>
  <c r="AG33" i="11"/>
  <c r="Q33" i="11"/>
  <c r="AC33" i="11"/>
  <c r="M33" i="11"/>
  <c r="BB31" i="11"/>
  <c r="AX31" i="11"/>
  <c r="AT31" i="11"/>
  <c r="BA31" i="11"/>
  <c r="AW31" i="11"/>
  <c r="AS31" i="11"/>
  <c r="AZ31" i="11"/>
  <c r="AV31" i="11"/>
  <c r="AU31" i="11"/>
  <c r="AY31" i="11"/>
  <c r="AP31" i="11"/>
  <c r="AL31" i="11"/>
  <c r="AH31" i="11"/>
  <c r="AD31" i="11"/>
  <c r="Z31" i="11"/>
  <c r="V31" i="11"/>
  <c r="R31" i="11"/>
  <c r="N31" i="11"/>
  <c r="J31" i="11"/>
  <c r="AO31" i="11"/>
  <c r="AK31" i="11"/>
  <c r="AG31" i="11"/>
  <c r="AC31" i="11"/>
  <c r="Y31" i="11"/>
  <c r="U31" i="11"/>
  <c r="Q31" i="11"/>
  <c r="M31" i="11"/>
  <c r="I31" i="11"/>
  <c r="AR31" i="11"/>
  <c r="AN31" i="11"/>
  <c r="AJ31" i="11"/>
  <c r="AF31" i="11"/>
  <c r="AB31" i="11"/>
  <c r="X31" i="11"/>
  <c r="T31" i="11"/>
  <c r="P31" i="11"/>
  <c r="L31" i="11"/>
  <c r="AI31" i="11"/>
  <c r="S31" i="11"/>
  <c r="AE31" i="11"/>
  <c r="O31" i="11"/>
  <c r="AQ31" i="11"/>
  <c r="AA31" i="11"/>
  <c r="K31" i="11"/>
  <c r="AM31" i="11"/>
  <c r="W31" i="11"/>
  <c r="BB29" i="11"/>
  <c r="AX29" i="11"/>
  <c r="AT29" i="11"/>
  <c r="BA29" i="11"/>
  <c r="AW29" i="11"/>
  <c r="AS29" i="11"/>
  <c r="AZ29" i="11"/>
  <c r="AV29" i="11"/>
  <c r="AY29" i="11"/>
  <c r="AU29" i="11"/>
  <c r="AR29" i="11"/>
  <c r="AN29" i="11"/>
  <c r="AJ29" i="11"/>
  <c r="AF29" i="11"/>
  <c r="AB29" i="11"/>
  <c r="X29" i="11"/>
  <c r="T29" i="11"/>
  <c r="P29" i="11"/>
  <c r="L29" i="11"/>
  <c r="AQ29" i="11"/>
  <c r="AM29" i="11"/>
  <c r="AI29" i="11"/>
  <c r="AE29" i="11"/>
  <c r="AA29" i="11"/>
  <c r="W29" i="11"/>
  <c r="S29" i="11"/>
  <c r="O29" i="11"/>
  <c r="K29" i="11"/>
  <c r="AP29" i="11"/>
  <c r="AL29" i="11"/>
  <c r="AH29" i="11"/>
  <c r="AD29" i="11"/>
  <c r="Z29" i="11"/>
  <c r="V29" i="11"/>
  <c r="R29" i="11"/>
  <c r="N29" i="11"/>
  <c r="J29" i="11"/>
  <c r="AC29" i="11"/>
  <c r="M29" i="11"/>
  <c r="AO29" i="11"/>
  <c r="Y29" i="11"/>
  <c r="I29" i="11"/>
  <c r="AK29" i="11"/>
  <c r="U29" i="11"/>
  <c r="AG29" i="11"/>
  <c r="Q29" i="11"/>
  <c r="BB27" i="11"/>
  <c r="AX27" i="11"/>
  <c r="AT27" i="11"/>
  <c r="BA27" i="11"/>
  <c r="AW27" i="11"/>
  <c r="AS27" i="11"/>
  <c r="AZ27" i="11"/>
  <c r="AV27" i="11"/>
  <c r="AY27" i="11"/>
  <c r="AU27" i="11"/>
  <c r="AP27" i="11"/>
  <c r="AL27" i="11"/>
  <c r="AH27" i="11"/>
  <c r="AD27" i="11"/>
  <c r="Z27" i="11"/>
  <c r="V27" i="11"/>
  <c r="R27" i="11"/>
  <c r="N27" i="11"/>
  <c r="J27" i="11"/>
  <c r="AO27" i="11"/>
  <c r="AK27" i="11"/>
  <c r="AG27" i="11"/>
  <c r="AC27" i="11"/>
  <c r="Y27" i="11"/>
  <c r="U27" i="11"/>
  <c r="Q27" i="11"/>
  <c r="M27" i="11"/>
  <c r="I27" i="11"/>
  <c r="AR27" i="11"/>
  <c r="AN27" i="11"/>
  <c r="AJ27" i="11"/>
  <c r="AF27" i="11"/>
  <c r="AB27" i="11"/>
  <c r="X27" i="11"/>
  <c r="T27" i="11"/>
  <c r="P27" i="11"/>
  <c r="L27" i="11"/>
  <c r="AM27" i="11"/>
  <c r="W27" i="11"/>
  <c r="AI27" i="11"/>
  <c r="S27" i="11"/>
  <c r="AE27" i="11"/>
  <c r="O27" i="11"/>
  <c r="AQ27" i="11"/>
  <c r="AA27" i="11"/>
  <c r="K27" i="11"/>
  <c r="BB25" i="11"/>
  <c r="AX25" i="11"/>
  <c r="AT25" i="11"/>
  <c r="BA25" i="11"/>
  <c r="AW25" i="11"/>
  <c r="AS25" i="11"/>
  <c r="AZ25" i="11"/>
  <c r="AV25" i="11"/>
  <c r="AY25" i="11"/>
  <c r="AU25" i="11"/>
  <c r="AR25" i="11"/>
  <c r="AN25" i="11"/>
  <c r="AJ25" i="11"/>
  <c r="AF25" i="11"/>
  <c r="AB25" i="11"/>
  <c r="X25" i="11"/>
  <c r="T25" i="11"/>
  <c r="P25" i="11"/>
  <c r="L25" i="11"/>
  <c r="AQ25" i="11"/>
  <c r="AM25" i="11"/>
  <c r="AI25" i="11"/>
  <c r="AE25" i="11"/>
  <c r="AA25" i="11"/>
  <c r="W25" i="11"/>
  <c r="S25" i="11"/>
  <c r="O25" i="11"/>
  <c r="K25" i="11"/>
  <c r="AP25" i="11"/>
  <c r="AL25" i="11"/>
  <c r="AH25" i="11"/>
  <c r="AD25" i="11"/>
  <c r="Z25" i="11"/>
  <c r="V25" i="11"/>
  <c r="R25" i="11"/>
  <c r="N25" i="11"/>
  <c r="J25" i="11"/>
  <c r="AG25" i="11"/>
  <c r="Q25" i="11"/>
  <c r="AC25" i="11"/>
  <c r="M25" i="11"/>
  <c r="AO25" i="11"/>
  <c r="Y25" i="11"/>
  <c r="I25" i="11"/>
  <c r="AK25" i="11"/>
  <c r="U25" i="11"/>
  <c r="BB23" i="11"/>
  <c r="AX23" i="11"/>
  <c r="AT23" i="11"/>
  <c r="BA23" i="11"/>
  <c r="AW23" i="11"/>
  <c r="AS23" i="11"/>
  <c r="AZ23" i="11"/>
  <c r="AV23" i="11"/>
  <c r="AU23" i="11"/>
  <c r="AY23" i="11"/>
  <c r="AP23" i="11"/>
  <c r="AL23" i="11"/>
  <c r="AH23" i="11"/>
  <c r="AD23" i="11"/>
  <c r="Z23" i="11"/>
  <c r="V23" i="11"/>
  <c r="R23" i="11"/>
  <c r="N23" i="11"/>
  <c r="J23" i="11"/>
  <c r="AO23" i="11"/>
  <c r="AK23" i="11"/>
  <c r="AG23" i="11"/>
  <c r="AC23" i="11"/>
  <c r="Y23" i="11"/>
  <c r="U23" i="11"/>
  <c r="Q23" i="11"/>
  <c r="M23" i="11"/>
  <c r="I23" i="11"/>
  <c r="AR23" i="11"/>
  <c r="AN23" i="11"/>
  <c r="AJ23" i="11"/>
  <c r="AF23" i="11"/>
  <c r="AB23" i="11"/>
  <c r="X23" i="11"/>
  <c r="T23" i="11"/>
  <c r="P23" i="11"/>
  <c r="L23" i="11"/>
  <c r="AQ23" i="11"/>
  <c r="AA23" i="11"/>
  <c r="K23" i="11"/>
  <c r="AM23" i="11"/>
  <c r="W23" i="11"/>
  <c r="AI23" i="11"/>
  <c r="S23" i="11"/>
  <c r="O23" i="11"/>
  <c r="AE23" i="11"/>
  <c r="BB21" i="11"/>
  <c r="AX21" i="11"/>
  <c r="AT21" i="11"/>
  <c r="BA21" i="11"/>
  <c r="AW21" i="11"/>
  <c r="AS21" i="11"/>
  <c r="AZ21" i="11"/>
  <c r="AV21" i="11"/>
  <c r="AY21" i="11"/>
  <c r="AU21" i="11"/>
  <c r="AR21" i="11"/>
  <c r="AN21" i="11"/>
  <c r="AJ21" i="11"/>
  <c r="AF21" i="11"/>
  <c r="AB21" i="11"/>
  <c r="X21" i="11"/>
  <c r="T21" i="11"/>
  <c r="P21" i="11"/>
  <c r="L21" i="11"/>
  <c r="AQ21" i="11"/>
  <c r="AM21" i="11"/>
  <c r="AI21" i="11"/>
  <c r="AE21" i="11"/>
  <c r="AA21" i="11"/>
  <c r="W21" i="11"/>
  <c r="S21" i="11"/>
  <c r="O21" i="11"/>
  <c r="K21" i="11"/>
  <c r="AP21" i="11"/>
  <c r="AL21" i="11"/>
  <c r="AH21" i="11"/>
  <c r="AD21" i="11"/>
  <c r="Z21" i="11"/>
  <c r="V21" i="11"/>
  <c r="R21" i="11"/>
  <c r="N21" i="11"/>
  <c r="J21" i="11"/>
  <c r="AK21" i="11"/>
  <c r="U21" i="11"/>
  <c r="AG21" i="11"/>
  <c r="Q21" i="11"/>
  <c r="AC21" i="11"/>
  <c r="M21" i="11"/>
  <c r="Y21" i="11"/>
  <c r="I21" i="11"/>
  <c r="AO21" i="11"/>
  <c r="BB19" i="11"/>
  <c r="AX19" i="11"/>
  <c r="AT19" i="11"/>
  <c r="BA19" i="11"/>
  <c r="AW19" i="11"/>
  <c r="AS19" i="11"/>
  <c r="AZ19" i="11"/>
  <c r="AV19" i="11"/>
  <c r="AY19" i="11"/>
  <c r="AU19" i="11"/>
  <c r="AP19" i="11"/>
  <c r="AL19" i="11"/>
  <c r="AH19" i="11"/>
  <c r="AD19" i="11"/>
  <c r="Z19" i="11"/>
  <c r="V19" i="11"/>
  <c r="R19" i="11"/>
  <c r="N19" i="11"/>
  <c r="J19" i="11"/>
  <c r="AO19" i="11"/>
  <c r="AK19" i="11"/>
  <c r="AG19" i="11"/>
  <c r="AC19" i="11"/>
  <c r="Y19" i="11"/>
  <c r="U19" i="11"/>
  <c r="Q19" i="11"/>
  <c r="M19" i="11"/>
  <c r="I19" i="11"/>
  <c r="AR19" i="11"/>
  <c r="AN19" i="11"/>
  <c r="AJ19" i="11"/>
  <c r="AF19" i="11"/>
  <c r="AB19" i="11"/>
  <c r="X19" i="11"/>
  <c r="T19" i="11"/>
  <c r="P19" i="11"/>
  <c r="L19" i="11"/>
  <c r="AE19" i="11"/>
  <c r="O19" i="11"/>
  <c r="AQ19" i="11"/>
  <c r="AA19" i="11"/>
  <c r="K19" i="11"/>
  <c r="AM19" i="11"/>
  <c r="W19" i="11"/>
  <c r="AI19" i="11"/>
  <c r="S19" i="11"/>
  <c r="BB17" i="11"/>
  <c r="AX17" i="11"/>
  <c r="AT17" i="11"/>
  <c r="BA17" i="11"/>
  <c r="AW17" i="11"/>
  <c r="AS17" i="11"/>
  <c r="AZ17" i="11"/>
  <c r="AV17" i="11"/>
  <c r="AY17" i="11"/>
  <c r="AU17" i="11"/>
  <c r="AR17" i="11"/>
  <c r="AN17" i="11"/>
  <c r="AJ17" i="11"/>
  <c r="AF17" i="11"/>
  <c r="AB17" i="11"/>
  <c r="X17" i="11"/>
  <c r="T17" i="11"/>
  <c r="P17" i="11"/>
  <c r="L17" i="11"/>
  <c r="AQ17" i="11"/>
  <c r="AM17" i="11"/>
  <c r="AI17" i="11"/>
  <c r="AE17" i="11"/>
  <c r="AA17" i="11"/>
  <c r="W17" i="11"/>
  <c r="S17" i="11"/>
  <c r="O17" i="11"/>
  <c r="K17" i="11"/>
  <c r="AP17" i="11"/>
  <c r="AL17" i="11"/>
  <c r="AH17" i="11"/>
  <c r="AD17" i="11"/>
  <c r="Z17" i="11"/>
  <c r="V17" i="11"/>
  <c r="R17" i="11"/>
  <c r="N17" i="11"/>
  <c r="J17" i="11"/>
  <c r="AO17" i="11"/>
  <c r="Y17" i="11"/>
  <c r="I17" i="11"/>
  <c r="AK17" i="11"/>
  <c r="U17" i="11"/>
  <c r="AG17" i="11"/>
  <c r="Q17" i="11"/>
  <c r="AC17" i="11"/>
  <c r="M17" i="11"/>
  <c r="BB15" i="11"/>
  <c r="AX15" i="11"/>
  <c r="AT15" i="11"/>
  <c r="BA15" i="11"/>
  <c r="AW15" i="11"/>
  <c r="AS15" i="11"/>
  <c r="AZ15" i="11"/>
  <c r="AV15" i="11"/>
  <c r="AU15" i="11"/>
  <c r="AY15" i="11"/>
  <c r="AP15" i="11"/>
  <c r="AL15" i="11"/>
  <c r="AH15" i="11"/>
  <c r="AD15" i="11"/>
  <c r="Z15" i="11"/>
  <c r="V15" i="11"/>
  <c r="R15" i="11"/>
  <c r="N15" i="11"/>
  <c r="J15" i="11"/>
  <c r="AO15" i="11"/>
  <c r="AK15" i="11"/>
  <c r="AG15" i="11"/>
  <c r="AC15" i="11"/>
  <c r="Y15" i="11"/>
  <c r="U15" i="11"/>
  <c r="Q15" i="11"/>
  <c r="M15" i="11"/>
  <c r="I15" i="11"/>
  <c r="AR15" i="11"/>
  <c r="AN15" i="11"/>
  <c r="AJ15" i="11"/>
  <c r="AF15" i="11"/>
  <c r="AB15" i="11"/>
  <c r="X15" i="11"/>
  <c r="T15" i="11"/>
  <c r="P15" i="11"/>
  <c r="L15" i="11"/>
  <c r="AI15" i="11"/>
  <c r="S15" i="11"/>
  <c r="AE15" i="11"/>
  <c r="O15" i="11"/>
  <c r="AQ15" i="11"/>
  <c r="AA15" i="11"/>
  <c r="K15" i="11"/>
  <c r="AM15" i="11"/>
  <c r="W15" i="11"/>
  <c r="BB13" i="11"/>
  <c r="AX13" i="11"/>
  <c r="AT13" i="11"/>
  <c r="BA13" i="11"/>
  <c r="AW13" i="11"/>
  <c r="AS13" i="11"/>
  <c r="AZ13" i="11"/>
  <c r="AV13" i="11"/>
  <c r="AY13" i="11"/>
  <c r="AU13" i="11"/>
  <c r="AR13" i="11"/>
  <c r="AN13" i="11"/>
  <c r="AJ13" i="11"/>
  <c r="AF13" i="11"/>
  <c r="AB13" i="11"/>
  <c r="X13" i="11"/>
  <c r="T13" i="11"/>
  <c r="P13" i="11"/>
  <c r="L13" i="11"/>
  <c r="AQ13" i="11"/>
  <c r="AM13" i="11"/>
  <c r="AI13" i="11"/>
  <c r="AE13" i="11"/>
  <c r="AA13" i="11"/>
  <c r="W13" i="11"/>
  <c r="S13" i="11"/>
  <c r="O13" i="11"/>
  <c r="K13" i="11"/>
  <c r="AP13" i="11"/>
  <c r="AL13" i="11"/>
  <c r="AH13" i="11"/>
  <c r="AD13" i="11"/>
  <c r="Z13" i="11"/>
  <c r="V13" i="11"/>
  <c r="R13" i="11"/>
  <c r="N13" i="11"/>
  <c r="J13" i="11"/>
  <c r="AC13" i="11"/>
  <c r="M13" i="11"/>
  <c r="AO13" i="11"/>
  <c r="Y13" i="11"/>
  <c r="I13" i="11"/>
  <c r="AK13" i="11"/>
  <c r="U13" i="11"/>
  <c r="AG13" i="11"/>
  <c r="Q13" i="11"/>
  <c r="BB11" i="11"/>
  <c r="AX11" i="11"/>
  <c r="AT11" i="11"/>
  <c r="BA11" i="11"/>
  <c r="AW11" i="11"/>
  <c r="AS11" i="11"/>
  <c r="AZ11" i="11"/>
  <c r="AV11" i="11"/>
  <c r="AY11" i="11"/>
  <c r="AU11" i="11"/>
  <c r="AP11" i="11"/>
  <c r="AL11" i="11"/>
  <c r="AH11" i="11"/>
  <c r="AD11" i="11"/>
  <c r="Z11" i="11"/>
  <c r="V11" i="11"/>
  <c r="R11" i="11"/>
  <c r="N11" i="11"/>
  <c r="J11" i="11"/>
  <c r="AO11" i="11"/>
  <c r="AK11" i="11"/>
  <c r="AG11" i="11"/>
  <c r="AC11" i="11"/>
  <c r="Y11" i="11"/>
  <c r="U11" i="11"/>
  <c r="Q11" i="11"/>
  <c r="M11" i="11"/>
  <c r="I11" i="11"/>
  <c r="AR11" i="11"/>
  <c r="AN11" i="11"/>
  <c r="AJ11" i="11"/>
  <c r="AF11" i="11"/>
  <c r="AB11" i="11"/>
  <c r="X11" i="11"/>
  <c r="T11" i="11"/>
  <c r="P11" i="11"/>
  <c r="L11" i="11"/>
  <c r="AM11" i="11"/>
  <c r="W11" i="11"/>
  <c r="AI11" i="11"/>
  <c r="S11" i="11"/>
  <c r="AE11" i="11"/>
  <c r="O11" i="11"/>
  <c r="K11" i="11"/>
  <c r="AQ11" i="11"/>
  <c r="AA11" i="11"/>
  <c r="BB9" i="11"/>
  <c r="AX9" i="11"/>
  <c r="AT9" i="11"/>
  <c r="BA9" i="11"/>
  <c r="AW9" i="11"/>
  <c r="AS9" i="11"/>
  <c r="AZ9" i="11"/>
  <c r="AV9" i="11"/>
  <c r="AY9" i="11"/>
  <c r="AR9" i="11"/>
  <c r="AN9" i="11"/>
  <c r="AJ9" i="11"/>
  <c r="AF9" i="11"/>
  <c r="AB9" i="11"/>
  <c r="X9" i="11"/>
  <c r="T9" i="11"/>
  <c r="P9" i="11"/>
  <c r="L9" i="11"/>
  <c r="AQ9" i="11"/>
  <c r="AM9" i="11"/>
  <c r="AI9" i="11"/>
  <c r="AE9" i="11"/>
  <c r="AA9" i="11"/>
  <c r="W9" i="11"/>
  <c r="S9" i="11"/>
  <c r="O9" i="11"/>
  <c r="K9" i="11"/>
  <c r="AU9" i="11"/>
  <c r="AP9" i="11"/>
  <c r="AL9" i="11"/>
  <c r="AH9" i="11"/>
  <c r="AD9" i="11"/>
  <c r="Z9" i="11"/>
  <c r="V9" i="11"/>
  <c r="R9" i="11"/>
  <c r="N9" i="11"/>
  <c r="J9" i="11"/>
  <c r="AG9" i="11"/>
  <c r="Q9" i="11"/>
  <c r="AC9" i="11"/>
  <c r="M9" i="11"/>
  <c r="AO9" i="11"/>
  <c r="Y9" i="11"/>
  <c r="I9" i="11"/>
  <c r="U9" i="11"/>
  <c r="AK9" i="11"/>
  <c r="BB7" i="11"/>
  <c r="AX7" i="11"/>
  <c r="AT7" i="11"/>
  <c r="BA7" i="11"/>
  <c r="AW7" i="11"/>
  <c r="AS7" i="11"/>
  <c r="AZ7" i="11"/>
  <c r="AV7" i="11"/>
  <c r="AU7" i="11"/>
  <c r="AY7" i="11"/>
  <c r="AP7" i="11"/>
  <c r="AL7" i="11"/>
  <c r="AH7" i="11"/>
  <c r="AD7" i="11"/>
  <c r="Z7" i="11"/>
  <c r="V7" i="11"/>
  <c r="R7" i="11"/>
  <c r="N7" i="11"/>
  <c r="J7" i="11"/>
  <c r="AO7" i="11"/>
  <c r="AK7" i="11"/>
  <c r="AG7" i="11"/>
  <c r="AC7" i="11"/>
  <c r="Y7" i="11"/>
  <c r="U7" i="11"/>
  <c r="Q7" i="11"/>
  <c r="M7" i="11"/>
  <c r="I7" i="11"/>
  <c r="AR7" i="11"/>
  <c r="AN7" i="11"/>
  <c r="AJ7" i="11"/>
  <c r="AF7" i="11"/>
  <c r="AB7" i="11"/>
  <c r="X7" i="11"/>
  <c r="T7" i="11"/>
  <c r="P7" i="11"/>
  <c r="L7" i="11"/>
  <c r="AQ7" i="11"/>
  <c r="AA7" i="11"/>
  <c r="K7" i="11"/>
  <c r="AM7" i="11"/>
  <c r="W7" i="11"/>
  <c r="AI7" i="11"/>
  <c r="S7" i="11"/>
  <c r="AE7" i="11"/>
  <c r="O7" i="11"/>
  <c r="BB5" i="11"/>
  <c r="AX5" i="11"/>
  <c r="AT5" i="11"/>
  <c r="BA5" i="11"/>
  <c r="AW5" i="11"/>
  <c r="AS5" i="11"/>
  <c r="AZ5" i="11"/>
  <c r="AV5" i="11"/>
  <c r="AY5" i="11"/>
  <c r="AU5" i="11"/>
  <c r="AR5" i="11"/>
  <c r="AN5" i="11"/>
  <c r="AJ5" i="11"/>
  <c r="AF5" i="11"/>
  <c r="AB5" i="11"/>
  <c r="X5" i="11"/>
  <c r="T5" i="11"/>
  <c r="P5" i="11"/>
  <c r="L5" i="11"/>
  <c r="AQ5" i="11"/>
  <c r="AM5" i="11"/>
  <c r="AI5" i="11"/>
  <c r="AE5" i="11"/>
  <c r="AA5" i="11"/>
  <c r="W5" i="11"/>
  <c r="S5" i="11"/>
  <c r="O5" i="11"/>
  <c r="K5" i="11"/>
  <c r="AP5" i="11"/>
  <c r="AL5" i="11"/>
  <c r="AH5" i="11"/>
  <c r="AD5" i="11"/>
  <c r="Z5" i="11"/>
  <c r="V5" i="11"/>
  <c r="R5" i="11"/>
  <c r="N5" i="11"/>
  <c r="J5" i="11"/>
  <c r="AK5" i="11"/>
  <c r="U5" i="11"/>
  <c r="AG5" i="11"/>
  <c r="Q5" i="11"/>
  <c r="AC5" i="11"/>
  <c r="M5" i="11"/>
  <c r="AO5" i="11"/>
  <c r="Y5" i="11"/>
  <c r="I5" i="11"/>
  <c r="BB3" i="11"/>
  <c r="AX3" i="11"/>
  <c r="AT3" i="11"/>
  <c r="BA3" i="11"/>
  <c r="AW3" i="11"/>
  <c r="AS3" i="11"/>
  <c r="AZ3" i="11"/>
  <c r="AV3" i="11"/>
  <c r="AY3" i="11"/>
  <c r="AU3" i="11"/>
  <c r="AP3" i="11"/>
  <c r="AL3" i="11"/>
  <c r="AH3" i="11"/>
  <c r="AD3" i="11"/>
  <c r="Z3" i="11"/>
  <c r="V3" i="11"/>
  <c r="R3" i="11"/>
  <c r="N3" i="11"/>
  <c r="J3" i="11"/>
  <c r="AO3" i="11"/>
  <c r="AK3" i="11"/>
  <c r="AG3" i="11"/>
  <c r="AC3" i="11"/>
  <c r="Y3" i="11"/>
  <c r="U3" i="11"/>
  <c r="Q3" i="11"/>
  <c r="M3" i="11"/>
  <c r="I3" i="11"/>
  <c r="AR3" i="11"/>
  <c r="AN3" i="11"/>
  <c r="AJ3" i="11"/>
  <c r="AF3" i="11"/>
  <c r="AB3" i="11"/>
  <c r="X3" i="11"/>
  <c r="T3" i="11"/>
  <c r="P3" i="11"/>
  <c r="L3" i="11"/>
  <c r="AE3" i="11"/>
  <c r="O3" i="11"/>
  <c r="AQ3" i="11"/>
  <c r="AA3" i="11"/>
  <c r="K3" i="11"/>
  <c r="AM3" i="11"/>
  <c r="W3" i="11"/>
  <c r="AI3" i="11"/>
  <c r="S3" i="11"/>
  <c r="AZ2" i="11"/>
  <c r="AV2" i="11"/>
  <c r="AY2" i="11"/>
  <c r="AU2" i="11"/>
  <c r="BB2" i="11"/>
  <c r="AX2" i="11"/>
  <c r="AT2" i="11"/>
  <c r="AW2" i="11"/>
  <c r="AS2" i="11"/>
  <c r="BA2" i="11"/>
  <c r="AQ2" i="11"/>
  <c r="AM2" i="11"/>
  <c r="AI2" i="11"/>
  <c r="AE2" i="11"/>
  <c r="AA2" i="11"/>
  <c r="W2" i="11"/>
  <c r="S2" i="11"/>
  <c r="O2" i="11"/>
  <c r="K2" i="11"/>
  <c r="C2" i="12"/>
  <c r="G2" i="12"/>
  <c r="K2" i="12"/>
  <c r="O2" i="12"/>
  <c r="S2" i="12"/>
  <c r="W2" i="12"/>
  <c r="AA2" i="12"/>
  <c r="AE2" i="12"/>
  <c r="AI2" i="12"/>
  <c r="AM2" i="12"/>
  <c r="AQ2" i="12"/>
  <c r="AU2" i="12"/>
  <c r="AP2" i="11"/>
  <c r="AL2" i="11"/>
  <c r="AH2" i="11"/>
  <c r="AD2" i="11"/>
  <c r="Z2" i="11"/>
  <c r="V2" i="11"/>
  <c r="R2" i="11"/>
  <c r="N2" i="11"/>
  <c r="J2" i="11"/>
  <c r="D2" i="12"/>
  <c r="H2" i="12"/>
  <c r="L2" i="12"/>
  <c r="P2" i="12"/>
  <c r="T2" i="12"/>
  <c r="X2" i="12"/>
  <c r="AB2" i="12"/>
  <c r="AF2" i="12"/>
  <c r="AJ2" i="12"/>
  <c r="AN2" i="12"/>
  <c r="AR2" i="12"/>
  <c r="AV2" i="12"/>
  <c r="AO2" i="11"/>
  <c r="AK2" i="11"/>
  <c r="AG2" i="11"/>
  <c r="AC2" i="11"/>
  <c r="Y2" i="11"/>
  <c r="U2" i="11"/>
  <c r="Q2" i="11"/>
  <c r="M2" i="11"/>
  <c r="I2" i="11"/>
  <c r="E2" i="12"/>
  <c r="I2" i="12"/>
  <c r="M2" i="12"/>
  <c r="Q2" i="12"/>
  <c r="U2" i="12"/>
  <c r="Y2" i="12"/>
  <c r="AC2" i="12"/>
  <c r="AG2" i="12"/>
  <c r="AK2" i="12"/>
  <c r="AO2" i="12"/>
  <c r="AS2" i="12"/>
  <c r="AW2" i="12"/>
  <c r="AJ2" i="11"/>
  <c r="T2" i="11"/>
  <c r="F2" i="12"/>
  <c r="V2" i="12"/>
  <c r="AL2" i="12"/>
  <c r="AF2" i="11"/>
  <c r="P2" i="11"/>
  <c r="J2" i="12"/>
  <c r="Z2" i="12"/>
  <c r="AP2" i="12"/>
  <c r="AR2" i="11"/>
  <c r="AB2" i="11"/>
  <c r="L2" i="11"/>
  <c r="N2" i="12"/>
  <c r="AD2" i="12"/>
  <c r="AT2" i="12"/>
  <c r="X2" i="11"/>
  <c r="B2" i="12"/>
  <c r="R2" i="12"/>
  <c r="AN2" i="11"/>
  <c r="AH2" i="12"/>
  <c r="B116" i="11"/>
  <c r="BB96" i="11"/>
  <c r="AX96" i="11"/>
  <c r="AT96" i="11"/>
  <c r="BA96" i="11"/>
  <c r="AW96" i="11"/>
  <c r="AS96" i="11"/>
  <c r="AZ96" i="11"/>
  <c r="AY96" i="11"/>
  <c r="AV96" i="11"/>
  <c r="AU96" i="11"/>
  <c r="AR96" i="11"/>
  <c r="AN96" i="11"/>
  <c r="AJ96" i="11"/>
  <c r="AF96" i="11"/>
  <c r="AB96" i="11"/>
  <c r="X96" i="11"/>
  <c r="T96" i="11"/>
  <c r="P96" i="11"/>
  <c r="L96" i="11"/>
  <c r="AQ96" i="11"/>
  <c r="AM96" i="11"/>
  <c r="AI96" i="11"/>
  <c r="AE96" i="11"/>
  <c r="AA96" i="11"/>
  <c r="W96" i="11"/>
  <c r="S96" i="11"/>
  <c r="O96" i="11"/>
  <c r="K96" i="11"/>
  <c r="AP96" i="11"/>
  <c r="AL96" i="11"/>
  <c r="AH96" i="11"/>
  <c r="AD96" i="11"/>
  <c r="Z96" i="11"/>
  <c r="V96" i="11"/>
  <c r="R96" i="11"/>
  <c r="N96" i="11"/>
  <c r="J96" i="11"/>
  <c r="AG96" i="11"/>
  <c r="Q96" i="11"/>
  <c r="AC96" i="11"/>
  <c r="M96" i="11"/>
  <c r="AO96" i="11"/>
  <c r="Y96" i="11"/>
  <c r="I96" i="11"/>
  <c r="AK96" i="11"/>
  <c r="U96" i="11"/>
  <c r="BB94" i="11"/>
  <c r="AX94" i="11"/>
  <c r="AT94" i="11"/>
  <c r="BA94" i="11"/>
  <c r="AW94" i="11"/>
  <c r="AS94" i="11"/>
  <c r="AV94" i="11"/>
  <c r="AU94" i="11"/>
  <c r="AZ94" i="11"/>
  <c r="AY94" i="11"/>
  <c r="AP94" i="11"/>
  <c r="AL94" i="11"/>
  <c r="AH94" i="11"/>
  <c r="AD94" i="11"/>
  <c r="Z94" i="11"/>
  <c r="V94" i="11"/>
  <c r="R94" i="11"/>
  <c r="N94" i="11"/>
  <c r="J94" i="11"/>
  <c r="AO94" i="11"/>
  <c r="AK94" i="11"/>
  <c r="AG94" i="11"/>
  <c r="AC94" i="11"/>
  <c r="Y94" i="11"/>
  <c r="U94" i="11"/>
  <c r="Q94" i="11"/>
  <c r="M94" i="11"/>
  <c r="I94" i="11"/>
  <c r="AR94" i="11"/>
  <c r="AN94" i="11"/>
  <c r="AJ94" i="11"/>
  <c r="AF94" i="11"/>
  <c r="AB94" i="11"/>
  <c r="X94" i="11"/>
  <c r="T94" i="11"/>
  <c r="P94" i="11"/>
  <c r="L94" i="11"/>
  <c r="AQ94" i="11"/>
  <c r="AA94" i="11"/>
  <c r="K94" i="11"/>
  <c r="AM94" i="11"/>
  <c r="W94" i="11"/>
  <c r="AI94" i="11"/>
  <c r="S94" i="11"/>
  <c r="AE94" i="11"/>
  <c r="O94" i="11"/>
  <c r="BB92" i="11"/>
  <c r="AX92" i="11"/>
  <c r="AT92" i="11"/>
  <c r="BA92" i="11"/>
  <c r="AW92" i="11"/>
  <c r="AS92" i="11"/>
  <c r="AZ92" i="11"/>
  <c r="AY92" i="11"/>
  <c r="AV92" i="11"/>
  <c r="AR92" i="11"/>
  <c r="AN92" i="11"/>
  <c r="AJ92" i="11"/>
  <c r="AF92" i="11"/>
  <c r="AB92" i="11"/>
  <c r="X92" i="11"/>
  <c r="T92" i="11"/>
  <c r="AU92" i="11"/>
  <c r="AQ92" i="11"/>
  <c r="AM92" i="11"/>
  <c r="AI92" i="11"/>
  <c r="AE92" i="11"/>
  <c r="AA92" i="11"/>
  <c r="W92" i="11"/>
  <c r="S92" i="11"/>
  <c r="AP92" i="11"/>
  <c r="AL92" i="11"/>
  <c r="AH92" i="11"/>
  <c r="AD92" i="11"/>
  <c r="Z92" i="11"/>
  <c r="V92" i="11"/>
  <c r="AK92" i="11"/>
  <c r="U92" i="11"/>
  <c r="O92" i="11"/>
  <c r="K92" i="11"/>
  <c r="AG92" i="11"/>
  <c r="R92" i="11"/>
  <c r="N92" i="11"/>
  <c r="J92" i="11"/>
  <c r="AC92" i="11"/>
  <c r="Q92" i="11"/>
  <c r="M92" i="11"/>
  <c r="I92" i="11"/>
  <c r="L92" i="11"/>
  <c r="AO92" i="11"/>
  <c r="Y92" i="11"/>
  <c r="P92" i="11"/>
  <c r="BB90" i="11"/>
  <c r="AX90" i="11"/>
  <c r="AT90" i="11"/>
  <c r="BA90" i="11"/>
  <c r="AW90" i="11"/>
  <c r="AS90" i="11"/>
  <c r="AV90" i="11"/>
  <c r="AU90" i="11"/>
  <c r="AZ90" i="11"/>
  <c r="AY90" i="11"/>
  <c r="AO90" i="11"/>
  <c r="AK90" i="11"/>
  <c r="AG90" i="11"/>
  <c r="AC90" i="11"/>
  <c r="Y90" i="11"/>
  <c r="U90" i="11"/>
  <c r="Q90" i="11"/>
  <c r="M90" i="11"/>
  <c r="I90" i="11"/>
  <c r="AR90" i="11"/>
  <c r="AN90" i="11"/>
  <c r="AJ90" i="11"/>
  <c r="AF90" i="11"/>
  <c r="AB90" i="11"/>
  <c r="X90" i="11"/>
  <c r="T90" i="11"/>
  <c r="P90" i="11"/>
  <c r="L90" i="11"/>
  <c r="AQ90" i="11"/>
  <c r="AM90" i="11"/>
  <c r="AI90" i="11"/>
  <c r="AE90" i="11"/>
  <c r="AA90" i="11"/>
  <c r="W90" i="11"/>
  <c r="S90" i="11"/>
  <c r="O90" i="11"/>
  <c r="K90" i="11"/>
  <c r="AL90" i="11"/>
  <c r="V90" i="11"/>
  <c r="AH90" i="11"/>
  <c r="R90" i="11"/>
  <c r="AD90" i="11"/>
  <c r="N90" i="11"/>
  <c r="J90" i="11"/>
  <c r="AP90" i="11"/>
  <c r="Z90" i="11"/>
  <c r="BB88" i="11"/>
  <c r="AX88" i="11"/>
  <c r="AT88" i="11"/>
  <c r="BA88" i="11"/>
  <c r="AW88" i="11"/>
  <c r="AS88" i="11"/>
  <c r="AZ88" i="11"/>
  <c r="AY88" i="11"/>
  <c r="AV88" i="11"/>
  <c r="AU88" i="11"/>
  <c r="AQ88" i="11"/>
  <c r="AM88" i="11"/>
  <c r="AI88" i="11"/>
  <c r="AE88" i="11"/>
  <c r="AA88" i="11"/>
  <c r="W88" i="11"/>
  <c r="S88" i="11"/>
  <c r="O88" i="11"/>
  <c r="K88" i="11"/>
  <c r="AP88" i="11"/>
  <c r="AL88" i="11"/>
  <c r="AH88" i="11"/>
  <c r="AD88" i="11"/>
  <c r="Z88" i="11"/>
  <c r="V88" i="11"/>
  <c r="R88" i="11"/>
  <c r="N88" i="11"/>
  <c r="J88" i="11"/>
  <c r="AO88" i="11"/>
  <c r="AK88" i="11"/>
  <c r="AG88" i="11"/>
  <c r="AC88" i="11"/>
  <c r="Y88" i="11"/>
  <c r="U88" i="11"/>
  <c r="Q88" i="11"/>
  <c r="M88" i="11"/>
  <c r="I88" i="11"/>
  <c r="AF88" i="11"/>
  <c r="P88" i="11"/>
  <c r="AR88" i="11"/>
  <c r="AB88" i="11"/>
  <c r="L88" i="11"/>
  <c r="AN88" i="11"/>
  <c r="X88" i="11"/>
  <c r="T88" i="11"/>
  <c r="AJ88" i="11"/>
  <c r="BB86" i="11"/>
  <c r="AX86" i="11"/>
  <c r="AT86" i="11"/>
  <c r="BA86" i="11"/>
  <c r="AW86" i="11"/>
  <c r="AS86" i="11"/>
  <c r="AV86" i="11"/>
  <c r="AU86" i="11"/>
  <c r="AZ86" i="11"/>
  <c r="AY86" i="11"/>
  <c r="AO86" i="11"/>
  <c r="AK86" i="11"/>
  <c r="AG86" i="11"/>
  <c r="AC86" i="11"/>
  <c r="Y86" i="11"/>
  <c r="U86" i="11"/>
  <c r="Q86" i="11"/>
  <c r="M86" i="11"/>
  <c r="I86" i="11"/>
  <c r="AR86" i="11"/>
  <c r="AN86" i="11"/>
  <c r="AJ86" i="11"/>
  <c r="AF86" i="11"/>
  <c r="AB86" i="11"/>
  <c r="X86" i="11"/>
  <c r="T86" i="11"/>
  <c r="P86" i="11"/>
  <c r="L86" i="11"/>
  <c r="AQ86" i="11"/>
  <c r="AP86" i="11"/>
  <c r="AH86" i="11"/>
  <c r="Z86" i="11"/>
  <c r="R86" i="11"/>
  <c r="J86" i="11"/>
  <c r="AM86" i="11"/>
  <c r="AE86" i="11"/>
  <c r="W86" i="11"/>
  <c r="O86" i="11"/>
  <c r="AL86" i="11"/>
  <c r="AD86" i="11"/>
  <c r="V86" i="11"/>
  <c r="N86" i="11"/>
  <c r="AI86" i="11"/>
  <c r="AA86" i="11"/>
  <c r="S86" i="11"/>
  <c r="K86" i="11"/>
  <c r="BB84" i="11"/>
  <c r="AX84" i="11"/>
  <c r="AT84" i="11"/>
  <c r="BA84" i="11"/>
  <c r="AW84" i="11"/>
  <c r="AS84" i="11"/>
  <c r="AZ84" i="11"/>
  <c r="AY84" i="11"/>
  <c r="AV84" i="11"/>
  <c r="AU84" i="11"/>
  <c r="AQ84" i="11"/>
  <c r="AM84" i="11"/>
  <c r="AI84" i="11"/>
  <c r="AE84" i="11"/>
  <c r="AA84" i="11"/>
  <c r="W84" i="11"/>
  <c r="S84" i="11"/>
  <c r="O84" i="11"/>
  <c r="K84" i="11"/>
  <c r="AP84" i="11"/>
  <c r="AL84" i="11"/>
  <c r="AH84" i="11"/>
  <c r="AD84" i="11"/>
  <c r="Z84" i="11"/>
  <c r="V84" i="11"/>
  <c r="R84" i="11"/>
  <c r="N84" i="11"/>
  <c r="J84" i="11"/>
  <c r="AR84" i="11"/>
  <c r="AJ84" i="11"/>
  <c r="AB84" i="11"/>
  <c r="T84" i="11"/>
  <c r="L84" i="11"/>
  <c r="AO84" i="11"/>
  <c r="AG84" i="11"/>
  <c r="Y84" i="11"/>
  <c r="Q84" i="11"/>
  <c r="I84" i="11"/>
  <c r="AN84" i="11"/>
  <c r="AF84" i="11"/>
  <c r="X84" i="11"/>
  <c r="P84" i="11"/>
  <c r="M84" i="11"/>
  <c r="AK84" i="11"/>
  <c r="AC84" i="11"/>
  <c r="U84" i="11"/>
  <c r="AY82" i="11"/>
  <c r="AU82" i="11"/>
  <c r="BB82" i="11"/>
  <c r="AX82" i="11"/>
  <c r="AT82" i="11"/>
  <c r="BA82" i="11"/>
  <c r="AW82" i="11"/>
  <c r="AS82" i="11"/>
  <c r="AZ82" i="11"/>
  <c r="AV82" i="11"/>
  <c r="AO82" i="11"/>
  <c r="AK82" i="11"/>
  <c r="AG82" i="11"/>
  <c r="AC82" i="11"/>
  <c r="Y82" i="11"/>
  <c r="U82" i="11"/>
  <c r="Q82" i="11"/>
  <c r="M82" i="11"/>
  <c r="I82" i="11"/>
  <c r="AR82" i="11"/>
  <c r="AN82" i="11"/>
  <c r="AJ82" i="11"/>
  <c r="AF82" i="11"/>
  <c r="AB82" i="11"/>
  <c r="X82" i="11"/>
  <c r="T82" i="11"/>
  <c r="P82" i="11"/>
  <c r="L82" i="11"/>
  <c r="AL82" i="11"/>
  <c r="AD82" i="11"/>
  <c r="V82" i="11"/>
  <c r="N82" i="11"/>
  <c r="AQ82" i="11"/>
  <c r="AI82" i="11"/>
  <c r="AA82" i="11"/>
  <c r="S82" i="11"/>
  <c r="K82" i="11"/>
  <c r="AP82" i="11"/>
  <c r="AH82" i="11"/>
  <c r="Z82" i="11"/>
  <c r="R82" i="11"/>
  <c r="J82" i="11"/>
  <c r="W82" i="11"/>
  <c r="O82" i="11"/>
  <c r="AM82" i="11"/>
  <c r="AE82" i="11"/>
  <c r="AY80" i="11"/>
  <c r="AU80" i="11"/>
  <c r="BB80" i="11"/>
  <c r="AX80" i="11"/>
  <c r="AT80" i="11"/>
  <c r="BA80" i="11"/>
  <c r="AW80" i="11"/>
  <c r="AS80" i="11"/>
  <c r="AZ80" i="11"/>
  <c r="AV80" i="11"/>
  <c r="AQ80" i="11"/>
  <c r="AM80" i="11"/>
  <c r="AI80" i="11"/>
  <c r="AE80" i="11"/>
  <c r="AA80" i="11"/>
  <c r="W80" i="11"/>
  <c r="S80" i="11"/>
  <c r="O80" i="11"/>
  <c r="K80" i="11"/>
  <c r="AP80" i="11"/>
  <c r="AL80" i="11"/>
  <c r="AH80" i="11"/>
  <c r="AD80" i="11"/>
  <c r="Z80" i="11"/>
  <c r="V80" i="11"/>
  <c r="R80" i="11"/>
  <c r="N80" i="11"/>
  <c r="J80" i="11"/>
  <c r="AN80" i="11"/>
  <c r="AF80" i="11"/>
  <c r="X80" i="11"/>
  <c r="P80" i="11"/>
  <c r="AK80" i="11"/>
  <c r="AC80" i="11"/>
  <c r="U80" i="11"/>
  <c r="M80" i="11"/>
  <c r="AR80" i="11"/>
  <c r="AJ80" i="11"/>
  <c r="AB80" i="11"/>
  <c r="T80" i="11"/>
  <c r="L80" i="11"/>
  <c r="AG80" i="11"/>
  <c r="Y80" i="11"/>
  <c r="Q80" i="11"/>
  <c r="AO80" i="11"/>
  <c r="I80" i="11"/>
  <c r="AY78" i="11"/>
  <c r="AU78" i="11"/>
  <c r="BB78" i="11"/>
  <c r="AX78" i="11"/>
  <c r="AT78" i="11"/>
  <c r="BA78" i="11"/>
  <c r="AW78" i="11"/>
  <c r="AS78" i="11"/>
  <c r="AZ78" i="11"/>
  <c r="AO78" i="11"/>
  <c r="AK78" i="11"/>
  <c r="AG78" i="11"/>
  <c r="AC78" i="11"/>
  <c r="Y78" i="11"/>
  <c r="AR78" i="11"/>
  <c r="AN78" i="11"/>
  <c r="AJ78" i="11"/>
  <c r="AF78" i="11"/>
  <c r="AB78" i="11"/>
  <c r="X78" i="11"/>
  <c r="AV78" i="11"/>
  <c r="AP78" i="11"/>
  <c r="AH78" i="11"/>
  <c r="Z78" i="11"/>
  <c r="T78" i="11"/>
  <c r="P78" i="11"/>
  <c r="L78" i="11"/>
  <c r="AM78" i="11"/>
  <c r="AE78" i="11"/>
  <c r="W78" i="11"/>
  <c r="S78" i="11"/>
  <c r="O78" i="11"/>
  <c r="K78" i="11"/>
  <c r="AL78" i="11"/>
  <c r="AD78" i="11"/>
  <c r="V78" i="11"/>
  <c r="R78" i="11"/>
  <c r="N78" i="11"/>
  <c r="J78" i="11"/>
  <c r="AQ78" i="11"/>
  <c r="Q78" i="11"/>
  <c r="AI78" i="11"/>
  <c r="M78" i="11"/>
  <c r="AA78" i="11"/>
  <c r="I78" i="11"/>
  <c r="U78" i="11"/>
  <c r="AY76" i="11"/>
  <c r="AU76" i="11"/>
  <c r="BB76" i="11"/>
  <c r="AX76" i="11"/>
  <c r="AT76" i="11"/>
  <c r="BA76" i="11"/>
  <c r="AW76" i="11"/>
  <c r="AS76" i="11"/>
  <c r="AV76" i="11"/>
  <c r="AZ76" i="11"/>
  <c r="AP76" i="11"/>
  <c r="AL76" i="11"/>
  <c r="AH76" i="11"/>
  <c r="AD76" i="11"/>
  <c r="Z76" i="11"/>
  <c r="V76" i="11"/>
  <c r="R76" i="11"/>
  <c r="N76" i="11"/>
  <c r="J76" i="11"/>
  <c r="AO76" i="11"/>
  <c r="AK76" i="11"/>
  <c r="AG76" i="11"/>
  <c r="AC76" i="11"/>
  <c r="Y76" i="11"/>
  <c r="U76" i="11"/>
  <c r="Q76" i="11"/>
  <c r="M76" i="11"/>
  <c r="I76" i="11"/>
  <c r="AR76" i="11"/>
  <c r="AN76" i="11"/>
  <c r="AJ76" i="11"/>
  <c r="AF76" i="11"/>
  <c r="AB76" i="11"/>
  <c r="X76" i="11"/>
  <c r="T76" i="11"/>
  <c r="P76" i="11"/>
  <c r="L76" i="11"/>
  <c r="AQ76" i="11"/>
  <c r="AA76" i="11"/>
  <c r="K76" i="11"/>
  <c r="AM76" i="11"/>
  <c r="W76" i="11"/>
  <c r="AI76" i="11"/>
  <c r="S76" i="11"/>
  <c r="AE76" i="11"/>
  <c r="O76" i="11"/>
  <c r="AY74" i="11"/>
  <c r="AU74" i="11"/>
  <c r="BB74" i="11"/>
  <c r="AX74" i="11"/>
  <c r="AT74" i="11"/>
  <c r="BA74" i="11"/>
  <c r="AW74" i="11"/>
  <c r="AS74" i="11"/>
  <c r="AZ74" i="11"/>
  <c r="AV74" i="11"/>
  <c r="AR74" i="11"/>
  <c r="AN74" i="11"/>
  <c r="AJ74" i="11"/>
  <c r="AF74" i="11"/>
  <c r="AB74" i="11"/>
  <c r="X74" i="11"/>
  <c r="T74" i="11"/>
  <c r="P74" i="11"/>
  <c r="L74" i="11"/>
  <c r="AQ74" i="11"/>
  <c r="AM74" i="11"/>
  <c r="AI74" i="11"/>
  <c r="AE74" i="11"/>
  <c r="AA74" i="11"/>
  <c r="W74" i="11"/>
  <c r="S74" i="11"/>
  <c r="O74" i="11"/>
  <c r="K74" i="11"/>
  <c r="AP74" i="11"/>
  <c r="AL74" i="11"/>
  <c r="AH74" i="11"/>
  <c r="AD74" i="11"/>
  <c r="Z74" i="11"/>
  <c r="V74" i="11"/>
  <c r="R74" i="11"/>
  <c r="N74" i="11"/>
  <c r="J74" i="11"/>
  <c r="AK74" i="11"/>
  <c r="U74" i="11"/>
  <c r="AG74" i="11"/>
  <c r="Q74" i="11"/>
  <c r="AC74" i="11"/>
  <c r="M74" i="11"/>
  <c r="AO74" i="11"/>
  <c r="Y74" i="11"/>
  <c r="I74" i="11"/>
  <c r="AY72" i="11"/>
  <c r="AU72" i="11"/>
  <c r="BB72" i="11"/>
  <c r="AX72" i="11"/>
  <c r="AT72" i="11"/>
  <c r="BA72" i="11"/>
  <c r="AW72" i="11"/>
  <c r="AS72" i="11"/>
  <c r="AZ72" i="11"/>
  <c r="AV72" i="11"/>
  <c r="AP72" i="11"/>
  <c r="AL72" i="11"/>
  <c r="AH72" i="11"/>
  <c r="AD72" i="11"/>
  <c r="Z72" i="11"/>
  <c r="V72" i="11"/>
  <c r="R72" i="11"/>
  <c r="N72" i="11"/>
  <c r="J72" i="11"/>
  <c r="AO72" i="11"/>
  <c r="AK72" i="11"/>
  <c r="AG72" i="11"/>
  <c r="AC72" i="11"/>
  <c r="Y72" i="11"/>
  <c r="U72" i="11"/>
  <c r="Q72" i="11"/>
  <c r="M72" i="11"/>
  <c r="I72" i="11"/>
  <c r="AR72" i="11"/>
  <c r="AN72" i="11"/>
  <c r="AJ72" i="11"/>
  <c r="AF72" i="11"/>
  <c r="AB72" i="11"/>
  <c r="X72" i="11"/>
  <c r="T72" i="11"/>
  <c r="P72" i="11"/>
  <c r="L72" i="11"/>
  <c r="AE72" i="11"/>
  <c r="O72" i="11"/>
  <c r="AQ72" i="11"/>
  <c r="AA72" i="11"/>
  <c r="K72" i="11"/>
  <c r="AM72" i="11"/>
  <c r="W72" i="11"/>
  <c r="AI72" i="11"/>
  <c r="S72" i="11"/>
  <c r="BB70" i="11"/>
  <c r="AX70" i="11"/>
  <c r="AT70" i="11"/>
  <c r="BA70" i="11"/>
  <c r="AW70" i="11"/>
  <c r="AS70" i="11"/>
  <c r="AV70" i="11"/>
  <c r="AU70" i="11"/>
  <c r="AZ70" i="11"/>
  <c r="AY70" i="11"/>
  <c r="AR70" i="11"/>
  <c r="AN70" i="11"/>
  <c r="AJ70" i="11"/>
  <c r="AF70" i="11"/>
  <c r="AB70" i="11"/>
  <c r="X70" i="11"/>
  <c r="T70" i="11"/>
  <c r="P70" i="11"/>
  <c r="L70" i="11"/>
  <c r="AQ70" i="11"/>
  <c r="AM70" i="11"/>
  <c r="AI70" i="11"/>
  <c r="AE70" i="11"/>
  <c r="AA70" i="11"/>
  <c r="W70" i="11"/>
  <c r="S70" i="11"/>
  <c r="O70" i="11"/>
  <c r="K70" i="11"/>
  <c r="AP70" i="11"/>
  <c r="AL70" i="11"/>
  <c r="AH70" i="11"/>
  <c r="AD70" i="11"/>
  <c r="Z70" i="11"/>
  <c r="V70" i="11"/>
  <c r="R70" i="11"/>
  <c r="N70" i="11"/>
  <c r="J70" i="11"/>
  <c r="AO70" i="11"/>
  <c r="Y70" i="11"/>
  <c r="I70" i="11"/>
  <c r="AK70" i="11"/>
  <c r="U70" i="11"/>
  <c r="AG70" i="11"/>
  <c r="Q70" i="11"/>
  <c r="AC70" i="11"/>
  <c r="M70" i="11"/>
  <c r="BB68" i="11"/>
  <c r="AX68" i="11"/>
  <c r="AT68" i="11"/>
  <c r="BA68" i="11"/>
  <c r="AW68" i="11"/>
  <c r="AS68" i="11"/>
  <c r="AZ68" i="11"/>
  <c r="AY68" i="11"/>
  <c r="AV68" i="11"/>
  <c r="AU68" i="11"/>
  <c r="AP68" i="11"/>
  <c r="AL68" i="11"/>
  <c r="AH68" i="11"/>
  <c r="AD68" i="11"/>
  <c r="Z68" i="11"/>
  <c r="V68" i="11"/>
  <c r="R68" i="11"/>
  <c r="N68" i="11"/>
  <c r="J68" i="11"/>
  <c r="AO68" i="11"/>
  <c r="AK68" i="11"/>
  <c r="AG68" i="11"/>
  <c r="AC68" i="11"/>
  <c r="Y68" i="11"/>
  <c r="U68" i="11"/>
  <c r="Q68" i="11"/>
  <c r="M68" i="11"/>
  <c r="I68" i="11"/>
  <c r="AR68" i="11"/>
  <c r="AN68" i="11"/>
  <c r="AJ68" i="11"/>
  <c r="AF68" i="11"/>
  <c r="AB68" i="11"/>
  <c r="X68" i="11"/>
  <c r="T68" i="11"/>
  <c r="P68" i="11"/>
  <c r="L68" i="11"/>
  <c r="AI68" i="11"/>
  <c r="S68" i="11"/>
  <c r="AE68" i="11"/>
  <c r="O68" i="11"/>
  <c r="AQ68" i="11"/>
  <c r="AA68" i="11"/>
  <c r="K68" i="11"/>
  <c r="AM68" i="11"/>
  <c r="W68" i="11"/>
  <c r="BB66" i="11"/>
  <c r="AX66" i="11"/>
  <c r="AT66" i="11"/>
  <c r="BA66" i="11"/>
  <c r="AW66" i="11"/>
  <c r="AS66" i="11"/>
  <c r="AV66" i="11"/>
  <c r="AU66" i="11"/>
  <c r="AZ66" i="11"/>
  <c r="AY66" i="11"/>
  <c r="AR66" i="11"/>
  <c r="AN66" i="11"/>
  <c r="AP66" i="11"/>
  <c r="AL66" i="11"/>
  <c r="AK66" i="11"/>
  <c r="AG66" i="11"/>
  <c r="AC66" i="11"/>
  <c r="Y66" i="11"/>
  <c r="U66" i="11"/>
  <c r="Q66" i="11"/>
  <c r="M66" i="11"/>
  <c r="I66" i="11"/>
  <c r="AQ66" i="11"/>
  <c r="AJ66" i="11"/>
  <c r="AF66" i="11"/>
  <c r="AB66" i="11"/>
  <c r="X66" i="11"/>
  <c r="T66" i="11"/>
  <c r="P66" i="11"/>
  <c r="L66" i="11"/>
  <c r="AO66" i="11"/>
  <c r="AI66" i="11"/>
  <c r="AE66" i="11"/>
  <c r="AA66" i="11"/>
  <c r="W66" i="11"/>
  <c r="S66" i="11"/>
  <c r="O66" i="11"/>
  <c r="K66" i="11"/>
  <c r="AH66" i="11"/>
  <c r="R66" i="11"/>
  <c r="AD66" i="11"/>
  <c r="N66" i="11"/>
  <c r="Z66" i="11"/>
  <c r="J66" i="11"/>
  <c r="V66" i="11"/>
  <c r="AM66" i="11"/>
  <c r="BB64" i="11"/>
  <c r="AX64" i="11"/>
  <c r="AT64" i="11"/>
  <c r="BA64" i="11"/>
  <c r="AW64" i="11"/>
  <c r="AS64" i="11"/>
  <c r="AZ64" i="11"/>
  <c r="AY64" i="11"/>
  <c r="AV64" i="11"/>
  <c r="AU64" i="11"/>
  <c r="AQ64" i="11"/>
  <c r="AM64" i="11"/>
  <c r="AI64" i="11"/>
  <c r="AE64" i="11"/>
  <c r="AA64" i="11"/>
  <c r="W64" i="11"/>
  <c r="S64" i="11"/>
  <c r="O64" i="11"/>
  <c r="K64" i="11"/>
  <c r="AP64" i="11"/>
  <c r="AL64" i="11"/>
  <c r="AH64" i="11"/>
  <c r="AD64" i="11"/>
  <c r="Z64" i="11"/>
  <c r="V64" i="11"/>
  <c r="R64" i="11"/>
  <c r="N64" i="11"/>
  <c r="J64" i="11"/>
  <c r="AO64" i="11"/>
  <c r="AK64" i="11"/>
  <c r="AG64" i="11"/>
  <c r="AC64" i="11"/>
  <c r="Y64" i="11"/>
  <c r="U64" i="11"/>
  <c r="Q64" i="11"/>
  <c r="M64" i="11"/>
  <c r="I64" i="11"/>
  <c r="AR64" i="11"/>
  <c r="AB64" i="11"/>
  <c r="L64" i="11"/>
  <c r="AN64" i="11"/>
  <c r="X64" i="11"/>
  <c r="AJ64" i="11"/>
  <c r="T64" i="11"/>
  <c r="AF64" i="11"/>
  <c r="P64" i="11"/>
  <c r="AY62" i="11"/>
  <c r="AU62" i="11"/>
  <c r="BB62" i="11"/>
  <c r="AX62" i="11"/>
  <c r="AT62" i="11"/>
  <c r="BA62" i="11"/>
  <c r="AW62" i="11"/>
  <c r="AS62" i="11"/>
  <c r="AV62" i="11"/>
  <c r="AZ62" i="11"/>
  <c r="AO62" i="11"/>
  <c r="AK62" i="11"/>
  <c r="AG62" i="11"/>
  <c r="AC62" i="11"/>
  <c r="Y62" i="11"/>
  <c r="U62" i="11"/>
  <c r="Q62" i="11"/>
  <c r="M62" i="11"/>
  <c r="I62" i="11"/>
  <c r="AR62" i="11"/>
  <c r="AN62" i="11"/>
  <c r="AJ62" i="11"/>
  <c r="AF62" i="11"/>
  <c r="AB62" i="11"/>
  <c r="X62" i="11"/>
  <c r="T62" i="11"/>
  <c r="P62" i="11"/>
  <c r="L62" i="11"/>
  <c r="AQ62" i="11"/>
  <c r="AM62" i="11"/>
  <c r="AI62" i="11"/>
  <c r="AE62" i="11"/>
  <c r="AA62" i="11"/>
  <c r="W62" i="11"/>
  <c r="S62" i="11"/>
  <c r="O62" i="11"/>
  <c r="K62" i="11"/>
  <c r="AL62" i="11"/>
  <c r="V62" i="11"/>
  <c r="AH62" i="11"/>
  <c r="R62" i="11"/>
  <c r="AD62" i="11"/>
  <c r="N62" i="11"/>
  <c r="AP62" i="11"/>
  <c r="Z62" i="11"/>
  <c r="J62" i="11"/>
  <c r="AY60" i="11"/>
  <c r="AU60" i="11"/>
  <c r="BB60" i="11"/>
  <c r="AX60" i="11"/>
  <c r="AT60" i="11"/>
  <c r="BA60" i="11"/>
  <c r="AW60" i="11"/>
  <c r="AS60" i="11"/>
  <c r="AZ60" i="11"/>
  <c r="AV60" i="11"/>
  <c r="AQ60" i="11"/>
  <c r="AM60" i="11"/>
  <c r="AI60" i="11"/>
  <c r="AE60" i="11"/>
  <c r="AA60" i="11"/>
  <c r="W60" i="11"/>
  <c r="S60" i="11"/>
  <c r="O60" i="11"/>
  <c r="K60" i="11"/>
  <c r="AP60" i="11"/>
  <c r="AL60" i="11"/>
  <c r="AH60" i="11"/>
  <c r="AD60" i="11"/>
  <c r="Z60" i="11"/>
  <c r="V60" i="11"/>
  <c r="R60" i="11"/>
  <c r="N60" i="11"/>
  <c r="J60" i="11"/>
  <c r="AO60" i="11"/>
  <c r="AK60" i="11"/>
  <c r="AG60" i="11"/>
  <c r="AC60" i="11"/>
  <c r="Y60" i="11"/>
  <c r="U60" i="11"/>
  <c r="Q60" i="11"/>
  <c r="M60" i="11"/>
  <c r="I60" i="11"/>
  <c r="AF60" i="11"/>
  <c r="P60" i="11"/>
  <c r="AR60" i="11"/>
  <c r="AB60" i="11"/>
  <c r="L60" i="11"/>
  <c r="AN60" i="11"/>
  <c r="X60" i="11"/>
  <c r="AJ60" i="11"/>
  <c r="T60" i="11"/>
  <c r="AY58" i="11"/>
  <c r="AU58" i="11"/>
  <c r="BB58" i="11"/>
  <c r="AX58" i="11"/>
  <c r="AT58" i="11"/>
  <c r="BA58" i="11"/>
  <c r="AW58" i="11"/>
  <c r="AS58" i="11"/>
  <c r="AZ58" i="11"/>
  <c r="AV58" i="11"/>
  <c r="AO58" i="11"/>
  <c r="AK58" i="11"/>
  <c r="AG58" i="11"/>
  <c r="AC58" i="11"/>
  <c r="Y58" i="11"/>
  <c r="U58" i="11"/>
  <c r="Q58" i="11"/>
  <c r="M58" i="11"/>
  <c r="I58" i="11"/>
  <c r="AR58" i="11"/>
  <c r="AN58" i="11"/>
  <c r="AJ58" i="11"/>
  <c r="AF58" i="11"/>
  <c r="AB58" i="11"/>
  <c r="X58" i="11"/>
  <c r="T58" i="11"/>
  <c r="P58" i="11"/>
  <c r="L58" i="11"/>
  <c r="AQ58" i="11"/>
  <c r="AM58" i="11"/>
  <c r="AI58" i="11"/>
  <c r="AE58" i="11"/>
  <c r="AA58" i="11"/>
  <c r="W58" i="11"/>
  <c r="S58" i="11"/>
  <c r="O58" i="11"/>
  <c r="K58" i="11"/>
  <c r="AP58" i="11"/>
  <c r="Z58" i="11"/>
  <c r="J58" i="11"/>
  <c r="AL58" i="11"/>
  <c r="V58" i="11"/>
  <c r="AH58" i="11"/>
  <c r="R58" i="11"/>
  <c r="AD58" i="11"/>
  <c r="N58" i="11"/>
  <c r="AY56" i="11"/>
  <c r="AU56" i="11"/>
  <c r="BB56" i="11"/>
  <c r="AX56" i="11"/>
  <c r="AT56" i="11"/>
  <c r="BA56" i="11"/>
  <c r="AV56" i="11"/>
  <c r="AS56" i="11"/>
  <c r="AZ56" i="11"/>
  <c r="AW56" i="11"/>
  <c r="AQ56" i="11"/>
  <c r="AM56" i="11"/>
  <c r="AI56" i="11"/>
  <c r="AE56" i="11"/>
  <c r="AA56" i="11"/>
  <c r="W56" i="11"/>
  <c r="S56" i="11"/>
  <c r="O56" i="11"/>
  <c r="K56" i="11"/>
  <c r="AP56" i="11"/>
  <c r="AL56" i="11"/>
  <c r="AH56" i="11"/>
  <c r="AD56" i="11"/>
  <c r="Z56" i="11"/>
  <c r="V56" i="11"/>
  <c r="R56" i="11"/>
  <c r="N56" i="11"/>
  <c r="J56" i="11"/>
  <c r="AO56" i="11"/>
  <c r="AK56" i="11"/>
  <c r="AG56" i="11"/>
  <c r="AC56" i="11"/>
  <c r="Y56" i="11"/>
  <c r="U56" i="11"/>
  <c r="Q56" i="11"/>
  <c r="M56" i="11"/>
  <c r="I56" i="11"/>
  <c r="AJ56" i="11"/>
  <c r="T56" i="11"/>
  <c r="AF56" i="11"/>
  <c r="P56" i="11"/>
  <c r="AR56" i="11"/>
  <c r="AB56" i="11"/>
  <c r="L56" i="11"/>
  <c r="AN56" i="11"/>
  <c r="X56" i="11"/>
  <c r="AY54" i="11"/>
  <c r="AU54" i="11"/>
  <c r="BB54" i="11"/>
  <c r="AX54" i="11"/>
  <c r="AT54" i="11"/>
  <c r="AZ54" i="11"/>
  <c r="AW54" i="11"/>
  <c r="AV54" i="11"/>
  <c r="BA54" i="11"/>
  <c r="AS54" i="11"/>
  <c r="AO54" i="11"/>
  <c r="AK54" i="11"/>
  <c r="AG54" i="11"/>
  <c r="AC54" i="11"/>
  <c r="Y54" i="11"/>
  <c r="U54" i="11"/>
  <c r="Q54" i="11"/>
  <c r="M54" i="11"/>
  <c r="I54" i="11"/>
  <c r="AR54" i="11"/>
  <c r="AN54" i="11"/>
  <c r="AJ54" i="11"/>
  <c r="AF54" i="11"/>
  <c r="AB54" i="11"/>
  <c r="X54" i="11"/>
  <c r="T54" i="11"/>
  <c r="P54" i="11"/>
  <c r="L54" i="11"/>
  <c r="AQ54" i="11"/>
  <c r="AM54" i="11"/>
  <c r="AI54" i="11"/>
  <c r="AE54" i="11"/>
  <c r="AA54" i="11"/>
  <c r="W54" i="11"/>
  <c r="S54" i="11"/>
  <c r="O54" i="11"/>
  <c r="K54" i="11"/>
  <c r="AD54" i="11"/>
  <c r="N54" i="11"/>
  <c r="AP54" i="11"/>
  <c r="Z54" i="11"/>
  <c r="J54" i="11"/>
  <c r="AL54" i="11"/>
  <c r="V54" i="11"/>
  <c r="R54" i="11"/>
  <c r="AH54" i="11"/>
  <c r="AY52" i="11"/>
  <c r="AU52" i="11"/>
  <c r="BB52" i="11"/>
  <c r="AX52" i="11"/>
  <c r="AT52" i="11"/>
  <c r="AV52" i="11"/>
  <c r="BA52" i="11"/>
  <c r="AS52" i="11"/>
  <c r="AZ52" i="11"/>
  <c r="AW52" i="11"/>
  <c r="AQ52" i="11"/>
  <c r="AM52" i="11"/>
  <c r="AI52" i="11"/>
  <c r="AE52" i="11"/>
  <c r="AA52" i="11"/>
  <c r="W52" i="11"/>
  <c r="S52" i="11"/>
  <c r="O52" i="11"/>
  <c r="K52" i="11"/>
  <c r="AP52" i="11"/>
  <c r="AL52" i="11"/>
  <c r="AH52" i="11"/>
  <c r="AD52" i="11"/>
  <c r="Z52" i="11"/>
  <c r="V52" i="11"/>
  <c r="R52" i="11"/>
  <c r="N52" i="11"/>
  <c r="J52" i="11"/>
  <c r="AO52" i="11"/>
  <c r="AK52" i="11"/>
  <c r="AG52" i="11"/>
  <c r="AC52" i="11"/>
  <c r="Y52" i="11"/>
  <c r="U52" i="11"/>
  <c r="Q52" i="11"/>
  <c r="M52" i="11"/>
  <c r="I52" i="11"/>
  <c r="AN52" i="11"/>
  <c r="X52" i="11"/>
  <c r="AJ52" i="11"/>
  <c r="T52" i="11"/>
  <c r="AF52" i="11"/>
  <c r="P52" i="11"/>
  <c r="AB52" i="11"/>
  <c r="L52" i="11"/>
  <c r="AR52" i="11"/>
  <c r="AY50" i="11"/>
  <c r="AU50" i="11"/>
  <c r="BB50" i="11"/>
  <c r="AX50" i="11"/>
  <c r="AT50" i="11"/>
  <c r="AZ50" i="11"/>
  <c r="AW50" i="11"/>
  <c r="AV50" i="11"/>
  <c r="BA50" i="11"/>
  <c r="AS50" i="11"/>
  <c r="AO50" i="11"/>
  <c r="AK50" i="11"/>
  <c r="AG50" i="11"/>
  <c r="AC50" i="11"/>
  <c r="Y50" i="11"/>
  <c r="U50" i="11"/>
  <c r="Q50" i="11"/>
  <c r="M50" i="11"/>
  <c r="I50" i="11"/>
  <c r="AR50" i="11"/>
  <c r="AN50" i="11"/>
  <c r="AJ50" i="11"/>
  <c r="AF50" i="11"/>
  <c r="AB50" i="11"/>
  <c r="X50" i="11"/>
  <c r="T50" i="11"/>
  <c r="P50" i="11"/>
  <c r="L50" i="11"/>
  <c r="AQ50" i="11"/>
  <c r="AM50" i="11"/>
  <c r="AI50" i="11"/>
  <c r="AE50" i="11"/>
  <c r="AA50" i="11"/>
  <c r="W50" i="11"/>
  <c r="S50" i="11"/>
  <c r="O50" i="11"/>
  <c r="K50" i="11"/>
  <c r="AH50" i="11"/>
  <c r="R50" i="11"/>
  <c r="AD50" i="11"/>
  <c r="N50" i="11"/>
  <c r="AP50" i="11"/>
  <c r="Z50" i="11"/>
  <c r="J50" i="11"/>
  <c r="AL50" i="11"/>
  <c r="V50" i="11"/>
  <c r="AY48" i="11"/>
  <c r="AU48" i="11"/>
  <c r="BB48" i="11"/>
  <c r="AX48" i="11"/>
  <c r="AT48" i="11"/>
  <c r="AV48" i="11"/>
  <c r="BA48" i="11"/>
  <c r="AS48" i="11"/>
  <c r="AZ48" i="11"/>
  <c r="AW48" i="11"/>
  <c r="AQ48" i="11"/>
  <c r="AM48" i="11"/>
  <c r="AI48" i="11"/>
  <c r="AE48" i="11"/>
  <c r="AA48" i="11"/>
  <c r="W48" i="11"/>
  <c r="S48" i="11"/>
  <c r="O48" i="11"/>
  <c r="K48" i="11"/>
  <c r="AP48" i="11"/>
  <c r="AL48" i="11"/>
  <c r="AH48" i="11"/>
  <c r="AD48" i="11"/>
  <c r="Z48" i="11"/>
  <c r="V48" i="11"/>
  <c r="R48" i="11"/>
  <c r="N48" i="11"/>
  <c r="J48" i="11"/>
  <c r="AO48" i="11"/>
  <c r="AK48" i="11"/>
  <c r="AG48" i="11"/>
  <c r="AC48" i="11"/>
  <c r="Y48" i="11"/>
  <c r="U48" i="11"/>
  <c r="Q48" i="11"/>
  <c r="M48" i="11"/>
  <c r="I48" i="11"/>
  <c r="AR48" i="11"/>
  <c r="AB48" i="11"/>
  <c r="L48" i="11"/>
  <c r="AN48" i="11"/>
  <c r="X48" i="11"/>
  <c r="AJ48" i="11"/>
  <c r="T48" i="11"/>
  <c r="AF48" i="11"/>
  <c r="P48" i="11"/>
  <c r="AY46" i="11"/>
  <c r="AU46" i="11"/>
  <c r="BB46" i="11"/>
  <c r="AX46" i="11"/>
  <c r="AT46" i="11"/>
  <c r="AZ46" i="11"/>
  <c r="AW46" i="11"/>
  <c r="AV46" i="11"/>
  <c r="BA46" i="11"/>
  <c r="AS46" i="11"/>
  <c r="AO46" i="11"/>
  <c r="AK46" i="11"/>
  <c r="AG46" i="11"/>
  <c r="AC46" i="11"/>
  <c r="Y46" i="11"/>
  <c r="U46" i="11"/>
  <c r="Q46" i="11"/>
  <c r="M46" i="11"/>
  <c r="I46" i="11"/>
  <c r="AR46" i="11"/>
  <c r="AN46" i="11"/>
  <c r="AJ46" i="11"/>
  <c r="AF46" i="11"/>
  <c r="AB46" i="11"/>
  <c r="X46" i="11"/>
  <c r="T46" i="11"/>
  <c r="P46" i="11"/>
  <c r="L46" i="11"/>
  <c r="AQ46" i="11"/>
  <c r="AM46" i="11"/>
  <c r="AI46" i="11"/>
  <c r="AE46" i="11"/>
  <c r="AA46" i="11"/>
  <c r="W46" i="11"/>
  <c r="S46" i="11"/>
  <c r="O46" i="11"/>
  <c r="K46" i="11"/>
  <c r="AL46" i="11"/>
  <c r="V46" i="11"/>
  <c r="AH46" i="11"/>
  <c r="R46" i="11"/>
  <c r="AD46" i="11"/>
  <c r="N46" i="11"/>
  <c r="AP46" i="11"/>
  <c r="Z46" i="11"/>
  <c r="J46" i="11"/>
  <c r="AY44" i="11"/>
  <c r="AU44" i="11"/>
  <c r="BB44" i="11"/>
  <c r="AX44" i="11"/>
  <c r="AT44" i="11"/>
  <c r="AV44" i="11"/>
  <c r="BA44" i="11"/>
  <c r="AS44" i="11"/>
  <c r="AZ44" i="11"/>
  <c r="AW44" i="11"/>
  <c r="AQ44" i="11"/>
  <c r="AM44" i="11"/>
  <c r="AI44" i="11"/>
  <c r="AE44" i="11"/>
  <c r="AA44" i="11"/>
  <c r="W44" i="11"/>
  <c r="S44" i="11"/>
  <c r="O44" i="11"/>
  <c r="K44" i="11"/>
  <c r="AP44" i="11"/>
  <c r="AL44" i="11"/>
  <c r="AH44" i="11"/>
  <c r="AD44" i="11"/>
  <c r="Z44" i="11"/>
  <c r="V44" i="11"/>
  <c r="R44" i="11"/>
  <c r="N44" i="11"/>
  <c r="J44" i="11"/>
  <c r="AO44" i="11"/>
  <c r="AK44" i="11"/>
  <c r="AG44" i="11"/>
  <c r="AC44" i="11"/>
  <c r="Y44" i="11"/>
  <c r="U44" i="11"/>
  <c r="Q44" i="11"/>
  <c r="M44" i="11"/>
  <c r="I44" i="11"/>
  <c r="AF44" i="11"/>
  <c r="P44" i="11"/>
  <c r="AR44" i="11"/>
  <c r="AB44" i="11"/>
  <c r="L44" i="11"/>
  <c r="AN44" i="11"/>
  <c r="X44" i="11"/>
  <c r="AJ44" i="11"/>
  <c r="T44" i="11"/>
  <c r="AY42" i="11"/>
  <c r="AU42" i="11"/>
  <c r="BB42" i="11"/>
  <c r="AX42" i="11"/>
  <c r="AT42" i="11"/>
  <c r="AZ42" i="11"/>
  <c r="AW42" i="11"/>
  <c r="AV42" i="11"/>
  <c r="AS42" i="11"/>
  <c r="AO42" i="11"/>
  <c r="AK42" i="11"/>
  <c r="AG42" i="11"/>
  <c r="AC42" i="11"/>
  <c r="Y42" i="11"/>
  <c r="U42" i="11"/>
  <c r="Q42" i="11"/>
  <c r="M42" i="11"/>
  <c r="I42" i="11"/>
  <c r="AR42" i="11"/>
  <c r="AN42" i="11"/>
  <c r="AJ42" i="11"/>
  <c r="AF42" i="11"/>
  <c r="AB42" i="11"/>
  <c r="X42" i="11"/>
  <c r="T42" i="11"/>
  <c r="P42" i="11"/>
  <c r="L42" i="11"/>
  <c r="BA42" i="11"/>
  <c r="AQ42" i="11"/>
  <c r="AM42" i="11"/>
  <c r="AI42" i="11"/>
  <c r="AE42" i="11"/>
  <c r="AA42" i="11"/>
  <c r="W42" i="11"/>
  <c r="S42" i="11"/>
  <c r="O42" i="11"/>
  <c r="K42" i="11"/>
  <c r="AP42" i="11"/>
  <c r="Z42" i="11"/>
  <c r="J42" i="11"/>
  <c r="AL42" i="11"/>
  <c r="V42" i="11"/>
  <c r="AH42" i="11"/>
  <c r="R42" i="11"/>
  <c r="N42" i="11"/>
  <c r="AD42" i="11"/>
  <c r="AY40" i="11"/>
  <c r="AU40" i="11"/>
  <c r="BB40" i="11"/>
  <c r="AX40" i="11"/>
  <c r="AT40" i="11"/>
  <c r="AV40" i="11"/>
  <c r="BA40" i="11"/>
  <c r="AS40" i="11"/>
  <c r="AZ40" i="11"/>
  <c r="AW40" i="11"/>
  <c r="AQ40" i="11"/>
  <c r="AM40" i="11"/>
  <c r="AI40" i="11"/>
  <c r="AE40" i="11"/>
  <c r="AA40" i="11"/>
  <c r="W40" i="11"/>
  <c r="S40" i="11"/>
  <c r="O40" i="11"/>
  <c r="K40" i="11"/>
  <c r="AP40" i="11"/>
  <c r="AL40" i="11"/>
  <c r="AH40" i="11"/>
  <c r="AD40" i="11"/>
  <c r="Z40" i="11"/>
  <c r="V40" i="11"/>
  <c r="R40" i="11"/>
  <c r="N40" i="11"/>
  <c r="J40" i="11"/>
  <c r="AO40" i="11"/>
  <c r="AK40" i="11"/>
  <c r="AG40" i="11"/>
  <c r="AC40" i="11"/>
  <c r="Y40" i="11"/>
  <c r="U40" i="11"/>
  <c r="Q40" i="11"/>
  <c r="M40" i="11"/>
  <c r="I40" i="11"/>
  <c r="AJ40" i="11"/>
  <c r="T40" i="11"/>
  <c r="AF40" i="11"/>
  <c r="P40" i="11"/>
  <c r="AR40" i="11"/>
  <c r="AB40" i="11"/>
  <c r="L40" i="11"/>
  <c r="X40" i="11"/>
  <c r="AN40" i="11"/>
  <c r="AZ38" i="11"/>
  <c r="AV38" i="11"/>
  <c r="AY38" i="11"/>
  <c r="AU38" i="11"/>
  <c r="BB38" i="11"/>
  <c r="AX38" i="11"/>
  <c r="AT38" i="11"/>
  <c r="BA38" i="11"/>
  <c r="AW38" i="11"/>
  <c r="AS38" i="11"/>
  <c r="AO38" i="11"/>
  <c r="AK38" i="11"/>
  <c r="AG38" i="11"/>
  <c r="AC38" i="11"/>
  <c r="Y38" i="11"/>
  <c r="U38" i="11"/>
  <c r="Q38" i="11"/>
  <c r="M38" i="11"/>
  <c r="I38" i="11"/>
  <c r="AR38" i="11"/>
  <c r="AN38" i="11"/>
  <c r="AJ38" i="11"/>
  <c r="AF38" i="11"/>
  <c r="AB38" i="11"/>
  <c r="X38" i="11"/>
  <c r="T38" i="11"/>
  <c r="P38" i="11"/>
  <c r="L38" i="11"/>
  <c r="AQ38" i="11"/>
  <c r="AM38" i="11"/>
  <c r="AI38" i="11"/>
  <c r="AE38" i="11"/>
  <c r="AA38" i="11"/>
  <c r="W38" i="11"/>
  <c r="S38" i="11"/>
  <c r="O38" i="11"/>
  <c r="K38" i="11"/>
  <c r="AD38" i="11"/>
  <c r="N38" i="11"/>
  <c r="AP38" i="11"/>
  <c r="Z38" i="11"/>
  <c r="J38" i="11"/>
  <c r="AL38" i="11"/>
  <c r="V38" i="11"/>
  <c r="AH38" i="11"/>
  <c r="R38" i="11"/>
  <c r="AZ36" i="11"/>
  <c r="AV36" i="11"/>
  <c r="AY36" i="11"/>
  <c r="AU36" i="11"/>
  <c r="BB36" i="11"/>
  <c r="AX36" i="11"/>
  <c r="AT36" i="11"/>
  <c r="AS36" i="11"/>
  <c r="BA36" i="11"/>
  <c r="AW36" i="11"/>
  <c r="AQ36" i="11"/>
  <c r="AM36" i="11"/>
  <c r="AI36" i="11"/>
  <c r="AE36" i="11"/>
  <c r="AA36" i="11"/>
  <c r="W36" i="11"/>
  <c r="S36" i="11"/>
  <c r="O36" i="11"/>
  <c r="K36" i="11"/>
  <c r="AP36" i="11"/>
  <c r="AL36" i="11"/>
  <c r="AH36" i="11"/>
  <c r="AD36" i="11"/>
  <c r="Z36" i="11"/>
  <c r="V36" i="11"/>
  <c r="R36" i="11"/>
  <c r="N36" i="11"/>
  <c r="J36" i="11"/>
  <c r="AO36" i="11"/>
  <c r="AK36" i="11"/>
  <c r="AG36" i="11"/>
  <c r="AC36" i="11"/>
  <c r="Y36" i="11"/>
  <c r="U36" i="11"/>
  <c r="Q36" i="11"/>
  <c r="M36" i="11"/>
  <c r="I36" i="11"/>
  <c r="AN36" i="11"/>
  <c r="X36" i="11"/>
  <c r="AJ36" i="11"/>
  <c r="T36" i="11"/>
  <c r="AF36" i="11"/>
  <c r="P36" i="11"/>
  <c r="AR36" i="11"/>
  <c r="AB36" i="11"/>
  <c r="L36" i="11"/>
  <c r="AZ34" i="11"/>
  <c r="AV34" i="11"/>
  <c r="AY34" i="11"/>
  <c r="AU34" i="11"/>
  <c r="BB34" i="11"/>
  <c r="AX34" i="11"/>
  <c r="AT34" i="11"/>
  <c r="AW34" i="11"/>
  <c r="AS34" i="11"/>
  <c r="AO34" i="11"/>
  <c r="AK34" i="11"/>
  <c r="AG34" i="11"/>
  <c r="AC34" i="11"/>
  <c r="AR34" i="11"/>
  <c r="AN34" i="11"/>
  <c r="AJ34" i="11"/>
  <c r="AF34" i="11"/>
  <c r="AQ34" i="11"/>
  <c r="AM34" i="11"/>
  <c r="AI34" i="11"/>
  <c r="AH34" i="11"/>
  <c r="AA34" i="11"/>
  <c r="W34" i="11"/>
  <c r="S34" i="11"/>
  <c r="O34" i="11"/>
  <c r="K34" i="11"/>
  <c r="BA34" i="11"/>
  <c r="AE34" i="11"/>
  <c r="Z34" i="11"/>
  <c r="V34" i="11"/>
  <c r="R34" i="11"/>
  <c r="N34" i="11"/>
  <c r="J34" i="11"/>
  <c r="AP34" i="11"/>
  <c r="AD34" i="11"/>
  <c r="Y34" i="11"/>
  <c r="U34" i="11"/>
  <c r="Q34" i="11"/>
  <c r="M34" i="11"/>
  <c r="I34" i="11"/>
  <c r="T34" i="11"/>
  <c r="AL34" i="11"/>
  <c r="P34" i="11"/>
  <c r="AB34" i="11"/>
  <c r="L34" i="11"/>
  <c r="X34" i="11"/>
  <c r="AZ32" i="11"/>
  <c r="AV32" i="11"/>
  <c r="AY32" i="11"/>
  <c r="AU32" i="11"/>
  <c r="BB32" i="11"/>
  <c r="AX32" i="11"/>
  <c r="AT32" i="11"/>
  <c r="BA32" i="11"/>
  <c r="AW32" i="11"/>
  <c r="AS32" i="11"/>
  <c r="AO32" i="11"/>
  <c r="AK32" i="11"/>
  <c r="AG32" i="11"/>
  <c r="AC32" i="11"/>
  <c r="Y32" i="11"/>
  <c r="U32" i="11"/>
  <c r="Q32" i="11"/>
  <c r="M32" i="11"/>
  <c r="I32" i="11"/>
  <c r="AR32" i="11"/>
  <c r="AN32" i="11"/>
  <c r="AJ32" i="11"/>
  <c r="AF32" i="11"/>
  <c r="AB32" i="11"/>
  <c r="X32" i="11"/>
  <c r="T32" i="11"/>
  <c r="P32" i="11"/>
  <c r="L32" i="11"/>
  <c r="AQ32" i="11"/>
  <c r="AM32" i="11"/>
  <c r="AI32" i="11"/>
  <c r="AE32" i="11"/>
  <c r="AA32" i="11"/>
  <c r="W32" i="11"/>
  <c r="S32" i="11"/>
  <c r="O32" i="11"/>
  <c r="K32" i="11"/>
  <c r="AD32" i="11"/>
  <c r="N32" i="11"/>
  <c r="AP32" i="11"/>
  <c r="Z32" i="11"/>
  <c r="J32" i="11"/>
  <c r="AL32" i="11"/>
  <c r="V32" i="11"/>
  <c r="AH32" i="11"/>
  <c r="R32" i="11"/>
  <c r="AZ30" i="11"/>
  <c r="AV30" i="11"/>
  <c r="AY30" i="11"/>
  <c r="AU30" i="11"/>
  <c r="BB30" i="11"/>
  <c r="AX30" i="11"/>
  <c r="AT30" i="11"/>
  <c r="BA30" i="11"/>
  <c r="AW30" i="11"/>
  <c r="AS30" i="11"/>
  <c r="AQ30" i="11"/>
  <c r="AM30" i="11"/>
  <c r="AI30" i="11"/>
  <c r="AE30" i="11"/>
  <c r="AA30" i="11"/>
  <c r="W30" i="11"/>
  <c r="S30" i="11"/>
  <c r="O30" i="11"/>
  <c r="K30" i="11"/>
  <c r="AP30" i="11"/>
  <c r="AL30" i="11"/>
  <c r="AH30" i="11"/>
  <c r="AD30" i="11"/>
  <c r="Z30" i="11"/>
  <c r="V30" i="11"/>
  <c r="R30" i="11"/>
  <c r="N30" i="11"/>
  <c r="J30" i="11"/>
  <c r="AO30" i="11"/>
  <c r="AK30" i="11"/>
  <c r="AG30" i="11"/>
  <c r="AC30" i="11"/>
  <c r="Y30" i="11"/>
  <c r="U30" i="11"/>
  <c r="Q30" i="11"/>
  <c r="M30" i="11"/>
  <c r="I30" i="11"/>
  <c r="AN30" i="11"/>
  <c r="X30" i="11"/>
  <c r="AJ30" i="11"/>
  <c r="T30" i="11"/>
  <c r="AF30" i="11"/>
  <c r="P30" i="11"/>
  <c r="L30" i="11"/>
  <c r="AR30" i="11"/>
  <c r="AB30" i="11"/>
  <c r="AZ28" i="11"/>
  <c r="AV28" i="11"/>
  <c r="AY28" i="11"/>
  <c r="AU28" i="11"/>
  <c r="BB28" i="11"/>
  <c r="AX28" i="11"/>
  <c r="AT28" i="11"/>
  <c r="AS28" i="11"/>
  <c r="BA28" i="11"/>
  <c r="AW28" i="11"/>
  <c r="AO28" i="11"/>
  <c r="AK28" i="11"/>
  <c r="AG28" i="11"/>
  <c r="AC28" i="11"/>
  <c r="Y28" i="11"/>
  <c r="U28" i="11"/>
  <c r="Q28" i="11"/>
  <c r="M28" i="11"/>
  <c r="I28" i="11"/>
  <c r="AR28" i="11"/>
  <c r="AN28" i="11"/>
  <c r="AJ28" i="11"/>
  <c r="AF28" i="11"/>
  <c r="AB28" i="11"/>
  <c r="X28" i="11"/>
  <c r="T28" i="11"/>
  <c r="P28" i="11"/>
  <c r="L28" i="11"/>
  <c r="AQ28" i="11"/>
  <c r="AM28" i="11"/>
  <c r="AI28" i="11"/>
  <c r="AE28" i="11"/>
  <c r="AA28" i="11"/>
  <c r="W28" i="11"/>
  <c r="S28" i="11"/>
  <c r="O28" i="11"/>
  <c r="K28" i="11"/>
  <c r="AH28" i="11"/>
  <c r="R28" i="11"/>
  <c r="AD28" i="11"/>
  <c r="N28" i="11"/>
  <c r="AP28" i="11"/>
  <c r="Z28" i="11"/>
  <c r="J28" i="11"/>
  <c r="V28" i="11"/>
  <c r="AL28" i="11"/>
  <c r="AZ26" i="11"/>
  <c r="AV26" i="11"/>
  <c r="AY26" i="11"/>
  <c r="AU26" i="11"/>
  <c r="BB26" i="11"/>
  <c r="AX26" i="11"/>
  <c r="AT26" i="11"/>
  <c r="AW26" i="11"/>
  <c r="AS26" i="11"/>
  <c r="BA26" i="11"/>
  <c r="AQ26" i="11"/>
  <c r="AM26" i="11"/>
  <c r="AI26" i="11"/>
  <c r="AE26" i="11"/>
  <c r="AA26" i="11"/>
  <c r="W26" i="11"/>
  <c r="S26" i="11"/>
  <c r="O26" i="11"/>
  <c r="K26" i="11"/>
  <c r="AP26" i="11"/>
  <c r="AL26" i="11"/>
  <c r="AH26" i="11"/>
  <c r="AD26" i="11"/>
  <c r="Z26" i="11"/>
  <c r="V26" i="11"/>
  <c r="R26" i="11"/>
  <c r="N26" i="11"/>
  <c r="J26" i="11"/>
  <c r="AO26" i="11"/>
  <c r="AK26" i="11"/>
  <c r="AG26" i="11"/>
  <c r="AC26" i="11"/>
  <c r="Y26" i="11"/>
  <c r="U26" i="11"/>
  <c r="Q26" i="11"/>
  <c r="M26" i="11"/>
  <c r="I26" i="11"/>
  <c r="AR26" i="11"/>
  <c r="AB26" i="11"/>
  <c r="L26" i="11"/>
  <c r="AN26" i="11"/>
  <c r="X26" i="11"/>
  <c r="AJ26" i="11"/>
  <c r="T26" i="11"/>
  <c r="AF26" i="11"/>
  <c r="P26" i="11"/>
  <c r="AZ24" i="11"/>
  <c r="AV24" i="11"/>
  <c r="AY24" i="11"/>
  <c r="AU24" i="11"/>
  <c r="BB24" i="11"/>
  <c r="AX24" i="11"/>
  <c r="AT24" i="11"/>
  <c r="BA24" i="11"/>
  <c r="AW24" i="11"/>
  <c r="AS24" i="11"/>
  <c r="AO24" i="11"/>
  <c r="AK24" i="11"/>
  <c r="AG24" i="11"/>
  <c r="AC24" i="11"/>
  <c r="Y24" i="11"/>
  <c r="U24" i="11"/>
  <c r="Q24" i="11"/>
  <c r="M24" i="11"/>
  <c r="I24" i="11"/>
  <c r="AR24" i="11"/>
  <c r="AN24" i="11"/>
  <c r="AJ24" i="11"/>
  <c r="AF24" i="11"/>
  <c r="AB24" i="11"/>
  <c r="X24" i="11"/>
  <c r="T24" i="11"/>
  <c r="P24" i="11"/>
  <c r="L24" i="11"/>
  <c r="AQ24" i="11"/>
  <c r="AM24" i="11"/>
  <c r="AI24" i="11"/>
  <c r="AE24" i="11"/>
  <c r="AA24" i="11"/>
  <c r="W24" i="11"/>
  <c r="S24" i="11"/>
  <c r="O24" i="11"/>
  <c r="K24" i="11"/>
  <c r="AL24" i="11"/>
  <c r="V24" i="11"/>
  <c r="AH24" i="11"/>
  <c r="R24" i="11"/>
  <c r="AD24" i="11"/>
  <c r="N24" i="11"/>
  <c r="AP24" i="11"/>
  <c r="Z24" i="11"/>
  <c r="J24" i="11"/>
  <c r="AZ22" i="11"/>
  <c r="AV22" i="11"/>
  <c r="AY22" i="11"/>
  <c r="AU22" i="11"/>
  <c r="BB22" i="11"/>
  <c r="AX22" i="11"/>
  <c r="AT22" i="11"/>
  <c r="BA22" i="11"/>
  <c r="AW22" i="11"/>
  <c r="AS22" i="11"/>
  <c r="AQ22" i="11"/>
  <c r="AM22" i="11"/>
  <c r="AI22" i="11"/>
  <c r="AE22" i="11"/>
  <c r="AA22" i="11"/>
  <c r="W22" i="11"/>
  <c r="S22" i="11"/>
  <c r="O22" i="11"/>
  <c r="K22" i="11"/>
  <c r="AP22" i="11"/>
  <c r="AL22" i="11"/>
  <c r="AH22" i="11"/>
  <c r="AD22" i="11"/>
  <c r="Z22" i="11"/>
  <c r="V22" i="11"/>
  <c r="R22" i="11"/>
  <c r="N22" i="11"/>
  <c r="J22" i="11"/>
  <c r="AO22" i="11"/>
  <c r="AK22" i="11"/>
  <c r="AG22" i="11"/>
  <c r="AC22" i="11"/>
  <c r="Y22" i="11"/>
  <c r="U22" i="11"/>
  <c r="Q22" i="11"/>
  <c r="M22" i="11"/>
  <c r="I22" i="11"/>
  <c r="AF22" i="11"/>
  <c r="P22" i="11"/>
  <c r="AR22" i="11"/>
  <c r="AB22" i="11"/>
  <c r="L22" i="11"/>
  <c r="AN22" i="11"/>
  <c r="X22" i="11"/>
  <c r="AJ22" i="11"/>
  <c r="T22" i="11"/>
  <c r="AZ20" i="11"/>
  <c r="AV20" i="11"/>
  <c r="AY20" i="11"/>
  <c r="AU20" i="11"/>
  <c r="BB20" i="11"/>
  <c r="AX20" i="11"/>
  <c r="AT20" i="11"/>
  <c r="AS20" i="11"/>
  <c r="BA20" i="11"/>
  <c r="AW20" i="11"/>
  <c r="AO20" i="11"/>
  <c r="AK20" i="11"/>
  <c r="AG20" i="11"/>
  <c r="AC20" i="11"/>
  <c r="Y20" i="11"/>
  <c r="U20" i="11"/>
  <c r="Q20" i="11"/>
  <c r="M20" i="11"/>
  <c r="I20" i="11"/>
  <c r="AR20" i="11"/>
  <c r="AN20" i="11"/>
  <c r="AJ20" i="11"/>
  <c r="AF20" i="11"/>
  <c r="AB20" i="11"/>
  <c r="X20" i="11"/>
  <c r="T20" i="11"/>
  <c r="P20" i="11"/>
  <c r="L20" i="11"/>
  <c r="AQ20" i="11"/>
  <c r="AM20" i="11"/>
  <c r="AI20" i="11"/>
  <c r="AE20" i="11"/>
  <c r="AA20" i="11"/>
  <c r="W20" i="11"/>
  <c r="S20" i="11"/>
  <c r="O20" i="11"/>
  <c r="K20" i="11"/>
  <c r="AP20" i="11"/>
  <c r="Z20" i="11"/>
  <c r="J20" i="11"/>
  <c r="AL20" i="11"/>
  <c r="V20" i="11"/>
  <c r="AH20" i="11"/>
  <c r="R20" i="11"/>
  <c r="AD20" i="11"/>
  <c r="N20" i="11"/>
  <c r="AZ18" i="11"/>
  <c r="AV18" i="11"/>
  <c r="AY18" i="11"/>
  <c r="AU18" i="11"/>
  <c r="BB18" i="11"/>
  <c r="AX18" i="11"/>
  <c r="AT18" i="11"/>
  <c r="AW18" i="11"/>
  <c r="AS18" i="11"/>
  <c r="BA18" i="11"/>
  <c r="AQ18" i="11"/>
  <c r="AM18" i="11"/>
  <c r="AI18" i="11"/>
  <c r="AE18" i="11"/>
  <c r="AA18" i="11"/>
  <c r="W18" i="11"/>
  <c r="S18" i="11"/>
  <c r="O18" i="11"/>
  <c r="K18" i="11"/>
  <c r="AP18" i="11"/>
  <c r="AL18" i="11"/>
  <c r="AH18" i="11"/>
  <c r="AD18" i="11"/>
  <c r="Z18" i="11"/>
  <c r="V18" i="11"/>
  <c r="R18" i="11"/>
  <c r="N18" i="11"/>
  <c r="J18" i="11"/>
  <c r="AO18" i="11"/>
  <c r="AK18" i="11"/>
  <c r="AG18" i="11"/>
  <c r="AC18" i="11"/>
  <c r="Y18" i="11"/>
  <c r="U18" i="11"/>
  <c r="Q18" i="11"/>
  <c r="M18" i="11"/>
  <c r="I18" i="11"/>
  <c r="AJ18" i="11"/>
  <c r="T18" i="11"/>
  <c r="AF18" i="11"/>
  <c r="P18" i="11"/>
  <c r="AR18" i="11"/>
  <c r="AB18" i="11"/>
  <c r="L18" i="11"/>
  <c r="AN18" i="11"/>
  <c r="X18" i="11"/>
  <c r="AZ16" i="11"/>
  <c r="AV16" i="11"/>
  <c r="AY16" i="11"/>
  <c r="AU16" i="11"/>
  <c r="BB16" i="11"/>
  <c r="AX16" i="11"/>
  <c r="AT16" i="11"/>
  <c r="BA16" i="11"/>
  <c r="AW16" i="11"/>
  <c r="AS16" i="11"/>
  <c r="AO16" i="11"/>
  <c r="AK16" i="11"/>
  <c r="AG16" i="11"/>
  <c r="AC16" i="11"/>
  <c r="Y16" i="11"/>
  <c r="U16" i="11"/>
  <c r="Q16" i="11"/>
  <c r="M16" i="11"/>
  <c r="I16" i="11"/>
  <c r="AR16" i="11"/>
  <c r="AN16" i="11"/>
  <c r="AJ16" i="11"/>
  <c r="AF16" i="11"/>
  <c r="AB16" i="11"/>
  <c r="X16" i="11"/>
  <c r="T16" i="11"/>
  <c r="P16" i="11"/>
  <c r="L16" i="11"/>
  <c r="AQ16" i="11"/>
  <c r="AM16" i="11"/>
  <c r="AI16" i="11"/>
  <c r="AE16" i="11"/>
  <c r="AA16" i="11"/>
  <c r="W16" i="11"/>
  <c r="S16" i="11"/>
  <c r="O16" i="11"/>
  <c r="K16" i="11"/>
  <c r="AD16" i="11"/>
  <c r="N16" i="11"/>
  <c r="AP16" i="11"/>
  <c r="Z16" i="11"/>
  <c r="J16" i="11"/>
  <c r="AL16" i="11"/>
  <c r="V16" i="11"/>
  <c r="R16" i="11"/>
  <c r="AH16" i="11"/>
  <c r="AZ14" i="11"/>
  <c r="AV14" i="11"/>
  <c r="AY14" i="11"/>
  <c r="AU14" i="11"/>
  <c r="BB14" i="11"/>
  <c r="AX14" i="11"/>
  <c r="AT14" i="11"/>
  <c r="BA14" i="11"/>
  <c r="AW14" i="11"/>
  <c r="AS14" i="11"/>
  <c r="AQ14" i="11"/>
  <c r="AM14" i="11"/>
  <c r="AI14" i="11"/>
  <c r="AE14" i="11"/>
  <c r="AA14" i="11"/>
  <c r="W14" i="11"/>
  <c r="S14" i="11"/>
  <c r="O14" i="11"/>
  <c r="K14" i="11"/>
  <c r="AP14" i="11"/>
  <c r="AL14" i="11"/>
  <c r="AH14" i="11"/>
  <c r="AD14" i="11"/>
  <c r="Z14" i="11"/>
  <c r="V14" i="11"/>
  <c r="R14" i="11"/>
  <c r="N14" i="11"/>
  <c r="J14" i="11"/>
  <c r="AO14" i="11"/>
  <c r="AK14" i="11"/>
  <c r="AG14" i="11"/>
  <c r="AC14" i="11"/>
  <c r="Y14" i="11"/>
  <c r="U14" i="11"/>
  <c r="Q14" i="11"/>
  <c r="M14" i="11"/>
  <c r="I14" i="11"/>
  <c r="AN14" i="11"/>
  <c r="X14" i="11"/>
  <c r="AJ14" i="11"/>
  <c r="T14" i="11"/>
  <c r="AF14" i="11"/>
  <c r="P14" i="11"/>
  <c r="AB14" i="11"/>
  <c r="L14" i="11"/>
  <c r="AR14" i="11"/>
  <c r="AZ12" i="11"/>
  <c r="AV12" i="11"/>
  <c r="AY12" i="11"/>
  <c r="AU12" i="11"/>
  <c r="BB12" i="11"/>
  <c r="AX12" i="11"/>
  <c r="AT12" i="11"/>
  <c r="AS12" i="11"/>
  <c r="BA12" i="11"/>
  <c r="AW12" i="11"/>
  <c r="AO12" i="11"/>
  <c r="AK12" i="11"/>
  <c r="AG12" i="11"/>
  <c r="AC12" i="11"/>
  <c r="Y12" i="11"/>
  <c r="U12" i="11"/>
  <c r="Q12" i="11"/>
  <c r="M12" i="11"/>
  <c r="I12" i="11"/>
  <c r="AR12" i="11"/>
  <c r="AN12" i="11"/>
  <c r="AJ12" i="11"/>
  <c r="AF12" i="11"/>
  <c r="AB12" i="11"/>
  <c r="X12" i="11"/>
  <c r="T12" i="11"/>
  <c r="P12" i="11"/>
  <c r="L12" i="11"/>
  <c r="AQ12" i="11"/>
  <c r="AM12" i="11"/>
  <c r="AI12" i="11"/>
  <c r="AE12" i="11"/>
  <c r="AA12" i="11"/>
  <c r="W12" i="11"/>
  <c r="S12" i="11"/>
  <c r="O12" i="11"/>
  <c r="K12" i="11"/>
  <c r="AH12" i="11"/>
  <c r="R12" i="11"/>
  <c r="AD12" i="11"/>
  <c r="N12" i="11"/>
  <c r="AP12" i="11"/>
  <c r="Z12" i="11"/>
  <c r="J12" i="11"/>
  <c r="AL12" i="11"/>
  <c r="V12" i="11"/>
  <c r="AZ10" i="11"/>
  <c r="AV10" i="11"/>
  <c r="AY10" i="11"/>
  <c r="AU10" i="11"/>
  <c r="BB10" i="11"/>
  <c r="AX10" i="11"/>
  <c r="AT10" i="11"/>
  <c r="AW10" i="11"/>
  <c r="AS10" i="11"/>
  <c r="BA10" i="11"/>
  <c r="AQ10" i="11"/>
  <c r="AM10" i="11"/>
  <c r="AI10" i="11"/>
  <c r="AE10" i="11"/>
  <c r="AA10" i="11"/>
  <c r="W10" i="11"/>
  <c r="S10" i="11"/>
  <c r="O10" i="11"/>
  <c r="K10" i="11"/>
  <c r="AP10" i="11"/>
  <c r="AL10" i="11"/>
  <c r="AH10" i="11"/>
  <c r="AD10" i="11"/>
  <c r="Z10" i="11"/>
  <c r="V10" i="11"/>
  <c r="R10" i="11"/>
  <c r="N10" i="11"/>
  <c r="J10" i="11"/>
  <c r="AO10" i="11"/>
  <c r="AK10" i="11"/>
  <c r="AG10" i="11"/>
  <c r="AC10" i="11"/>
  <c r="Y10" i="11"/>
  <c r="U10" i="11"/>
  <c r="Q10" i="11"/>
  <c r="M10" i="11"/>
  <c r="I10" i="11"/>
  <c r="AR10" i="11"/>
  <c r="AB10" i="11"/>
  <c r="L10" i="11"/>
  <c r="AN10" i="11"/>
  <c r="X10" i="11"/>
  <c r="AJ10" i="11"/>
  <c r="T10" i="11"/>
  <c r="AF10" i="11"/>
  <c r="P10" i="11"/>
  <c r="AZ8" i="11"/>
  <c r="AV8" i="11"/>
  <c r="AY8" i="11"/>
  <c r="AU8" i="11"/>
  <c r="BB8" i="11"/>
  <c r="AX8" i="11"/>
  <c r="AT8" i="11"/>
  <c r="BA8" i="11"/>
  <c r="AW8" i="11"/>
  <c r="AS8" i="11"/>
  <c r="AO8" i="11"/>
  <c r="AK8" i="11"/>
  <c r="AG8" i="11"/>
  <c r="AC8" i="11"/>
  <c r="Y8" i="11"/>
  <c r="U8" i="11"/>
  <c r="Q8" i="11"/>
  <c r="M8" i="11"/>
  <c r="I8" i="11"/>
  <c r="AR8" i="11"/>
  <c r="AN8" i="11"/>
  <c r="AJ8" i="11"/>
  <c r="AF8" i="11"/>
  <c r="AB8" i="11"/>
  <c r="X8" i="11"/>
  <c r="T8" i="11"/>
  <c r="P8" i="11"/>
  <c r="L8" i="11"/>
  <c r="AQ8" i="11"/>
  <c r="AM8" i="11"/>
  <c r="AI8" i="11"/>
  <c r="AE8" i="11"/>
  <c r="AA8" i="11"/>
  <c r="W8" i="11"/>
  <c r="S8" i="11"/>
  <c r="O8" i="11"/>
  <c r="K8" i="11"/>
  <c r="AL8" i="11"/>
  <c r="V8" i="11"/>
  <c r="AH8" i="11"/>
  <c r="R8" i="11"/>
  <c r="AD8" i="11"/>
  <c r="N8" i="11"/>
  <c r="AP8" i="11"/>
  <c r="Z8" i="11"/>
  <c r="J8" i="11"/>
  <c r="AZ6" i="11"/>
  <c r="AV6" i="11"/>
  <c r="AY6" i="11"/>
  <c r="AU6" i="11"/>
  <c r="BB6" i="11"/>
  <c r="AX6" i="11"/>
  <c r="AT6" i="11"/>
  <c r="BA6" i="11"/>
  <c r="AW6" i="11"/>
  <c r="AS6" i="11"/>
  <c r="AQ6" i="11"/>
  <c r="AP6" i="11"/>
  <c r="AM6" i="11"/>
  <c r="AI6" i="11"/>
  <c r="AE6" i="11"/>
  <c r="AA6" i="11"/>
  <c r="W6" i="11"/>
  <c r="S6" i="11"/>
  <c r="O6" i="11"/>
  <c r="K6" i="11"/>
  <c r="AR6" i="11"/>
  <c r="AL6" i="11"/>
  <c r="AH6" i="11"/>
  <c r="AD6" i="11"/>
  <c r="Z6" i="11"/>
  <c r="V6" i="11"/>
  <c r="R6" i="11"/>
  <c r="N6" i="11"/>
  <c r="J6" i="11"/>
  <c r="AO6" i="11"/>
  <c r="AK6" i="11"/>
  <c r="AG6" i="11"/>
  <c r="AC6" i="11"/>
  <c r="Y6" i="11"/>
  <c r="U6" i="11"/>
  <c r="Q6" i="11"/>
  <c r="M6" i="11"/>
  <c r="I6" i="11"/>
  <c r="AF6" i="11"/>
  <c r="P6" i="11"/>
  <c r="AB6" i="11"/>
  <c r="L6" i="11"/>
  <c r="AN6" i="11"/>
  <c r="X6" i="11"/>
  <c r="AJ6" i="11"/>
  <c r="T6" i="11"/>
  <c r="AZ4" i="11"/>
  <c r="AV4" i="11"/>
  <c r="AY4" i="11"/>
  <c r="AU4" i="11"/>
  <c r="BB4" i="11"/>
  <c r="AX4" i="11"/>
  <c r="AT4" i="11"/>
  <c r="AS4" i="11"/>
  <c r="BA4" i="11"/>
  <c r="AW4" i="11"/>
  <c r="AO4" i="11"/>
  <c r="AK4" i="11"/>
  <c r="AG4" i="11"/>
  <c r="AC4" i="11"/>
  <c r="Y4" i="11"/>
  <c r="U4" i="11"/>
  <c r="Q4" i="11"/>
  <c r="M4" i="11"/>
  <c r="I4" i="11"/>
  <c r="AR4" i="11"/>
  <c r="AN4" i="11"/>
  <c r="AJ4" i="11"/>
  <c r="AF4" i="11"/>
  <c r="AB4" i="11"/>
  <c r="X4" i="11"/>
  <c r="T4" i="11"/>
  <c r="P4" i="11"/>
  <c r="L4" i="11"/>
  <c r="AQ4" i="11"/>
  <c r="AM4" i="11"/>
  <c r="AI4" i="11"/>
  <c r="AE4" i="11"/>
  <c r="AA4" i="11"/>
  <c r="W4" i="11"/>
  <c r="S4" i="11"/>
  <c r="O4" i="11"/>
  <c r="K4" i="11"/>
  <c r="AP4" i="11"/>
  <c r="Z4" i="11"/>
  <c r="J4" i="11"/>
  <c r="AL4" i="11"/>
  <c r="V4" i="11"/>
  <c r="AH4" i="11"/>
  <c r="R4" i="11"/>
  <c r="N4" i="11"/>
  <c r="AD4" i="11"/>
  <c r="H116" i="11"/>
  <c r="H115" i="11"/>
  <c r="H114" i="11"/>
  <c r="H117" i="11"/>
  <c r="H113" i="11"/>
  <c r="N8" i="12" l="1"/>
  <c r="O8" i="12"/>
  <c r="AE8" i="12"/>
  <c r="AU8" i="12"/>
  <c r="AD8" i="12"/>
  <c r="L8" i="12"/>
  <c r="AB8" i="12"/>
  <c r="AR8" i="12"/>
  <c r="V8" i="12"/>
  <c r="I8" i="12"/>
  <c r="Y8" i="12"/>
  <c r="AO8" i="12"/>
  <c r="Z8" i="12"/>
  <c r="C8" i="12"/>
  <c r="S8" i="12"/>
  <c r="AI8" i="12"/>
  <c r="AL8" i="12"/>
  <c r="P8" i="12"/>
  <c r="AF8" i="12"/>
  <c r="AV8" i="12"/>
  <c r="AH8" i="12"/>
  <c r="M8" i="12"/>
  <c r="AC8" i="12"/>
  <c r="AS8" i="12"/>
  <c r="AP8" i="12"/>
  <c r="G8" i="12"/>
  <c r="W8" i="12"/>
  <c r="AM8" i="12"/>
  <c r="F8" i="12"/>
  <c r="D8" i="12"/>
  <c r="T8" i="12"/>
  <c r="AJ8" i="12"/>
  <c r="H105" i="11" a="1"/>
  <c r="AT8" i="12"/>
  <c r="Q8" i="12"/>
  <c r="AG8" i="12"/>
  <c r="AW8" i="12"/>
  <c r="K8" i="12"/>
  <c r="AA8" i="12"/>
  <c r="AQ8" i="12"/>
  <c r="R8" i="12"/>
  <c r="H8" i="12"/>
  <c r="X8" i="12"/>
  <c r="AN8" i="12"/>
  <c r="J8" i="12"/>
  <c r="E8" i="12"/>
  <c r="U8" i="12"/>
  <c r="AK8" i="12"/>
  <c r="B10" i="12"/>
  <c r="B17" i="12" s="1"/>
  <c r="B12" i="12"/>
  <c r="H98" i="11" a="1"/>
  <c r="AJ98" i="11" a="1"/>
  <c r="AG98" i="11" a="1"/>
  <c r="V98" i="11" a="1"/>
  <c r="AI98" i="11" a="1"/>
  <c r="X98" i="11" a="1"/>
  <c r="AK98" i="11" a="1"/>
  <c r="BA98" i="11" a="1"/>
  <c r="U98" i="11" a="1"/>
  <c r="AO98" i="11" a="1"/>
  <c r="J98" i="11" a="1"/>
  <c r="Z98" i="11" a="1"/>
  <c r="AP98" i="11" a="1"/>
  <c r="W98" i="11" a="1"/>
  <c r="AM98" i="11" a="1"/>
  <c r="S98" i="11" a="1"/>
  <c r="P98" i="11" a="1"/>
  <c r="AL98" i="11" a="1"/>
  <c r="AZ98" i="11" a="1"/>
  <c r="L98" i="11" a="1"/>
  <c r="AB98" i="11" a="1"/>
  <c r="AN98" i="11" a="1"/>
  <c r="I98" i="11" a="1"/>
  <c r="Y98" i="11" a="1"/>
  <c r="AT98" i="11" a="1"/>
  <c r="N98" i="11" a="1"/>
  <c r="AD98" i="11" a="1"/>
  <c r="AR98" i="11" a="1"/>
  <c r="K98" i="11" a="1"/>
  <c r="AA98" i="11" a="1"/>
  <c r="AQ98" i="11" a="1"/>
  <c r="AW98" i="11" a="1"/>
  <c r="BB98" i="11" a="1"/>
  <c r="AY98" i="11" a="1"/>
  <c r="T98" i="11" a="1"/>
  <c r="O98" i="11" a="1"/>
  <c r="AF98" i="11" a="1"/>
  <c r="AS98" i="11" a="1"/>
  <c r="M98" i="11" a="1"/>
  <c r="AC98" i="11" a="1"/>
  <c r="AX98" i="11" a="1"/>
  <c r="Q98" i="11" a="1"/>
  <c r="AH98" i="11" a="1"/>
  <c r="AU98" i="11" a="1"/>
  <c r="R98" i="11" a="1"/>
  <c r="AE98" i="11" a="1"/>
  <c r="AV98" i="11" a="1"/>
  <c r="AK15" i="12" l="1"/>
  <c r="AK10" i="12"/>
  <c r="AK17" i="12" s="1"/>
  <c r="AK12" i="12"/>
  <c r="AN15" i="12"/>
  <c r="AN10" i="12"/>
  <c r="AN17" i="12" s="1"/>
  <c r="AN12" i="12"/>
  <c r="AQ15" i="12"/>
  <c r="AQ10" i="12"/>
  <c r="AQ17" i="12" s="1"/>
  <c r="AQ12" i="12"/>
  <c r="AG15" i="12"/>
  <c r="AG10" i="12"/>
  <c r="AG17" i="12" s="1"/>
  <c r="AG12" i="12"/>
  <c r="AJ15" i="12"/>
  <c r="AJ10" i="12"/>
  <c r="AJ17" i="12" s="1"/>
  <c r="AJ12" i="12"/>
  <c r="AM15" i="12"/>
  <c r="AM12" i="12"/>
  <c r="AM10" i="12"/>
  <c r="AM17" i="12" s="1"/>
  <c r="AS15" i="12"/>
  <c r="AS10" i="12"/>
  <c r="AS17" i="12" s="1"/>
  <c r="AS12" i="12"/>
  <c r="AV15" i="12"/>
  <c r="AV10" i="12"/>
  <c r="AV17" i="12" s="1"/>
  <c r="AV12" i="12"/>
  <c r="AI15" i="12"/>
  <c r="AI12" i="12"/>
  <c r="AI10" i="12"/>
  <c r="AI17" i="12" s="1"/>
  <c r="AO15" i="12"/>
  <c r="AO10" i="12"/>
  <c r="AO17" i="12" s="1"/>
  <c r="AO12" i="12"/>
  <c r="AR15" i="12"/>
  <c r="AR10" i="12"/>
  <c r="AR17" i="12" s="1"/>
  <c r="AR12" i="12"/>
  <c r="AU15" i="12"/>
  <c r="AU12" i="12"/>
  <c r="AU10" i="12"/>
  <c r="AU17" i="12" s="1"/>
  <c r="U15" i="12"/>
  <c r="U10" i="12"/>
  <c r="U17" i="12" s="1"/>
  <c r="U12" i="12"/>
  <c r="X10" i="12"/>
  <c r="X17" i="12" s="1"/>
  <c r="X12" i="12"/>
  <c r="X15" i="12"/>
  <c r="AA10" i="12"/>
  <c r="AA17" i="12" s="1"/>
  <c r="AA15" i="12"/>
  <c r="AA12" i="12"/>
  <c r="Q10" i="12"/>
  <c r="Q17" i="12" s="1"/>
  <c r="Q15" i="12"/>
  <c r="Q12" i="12"/>
  <c r="T15" i="12"/>
  <c r="T10" i="12"/>
  <c r="T17" i="12" s="1"/>
  <c r="T12" i="12"/>
  <c r="W15" i="12"/>
  <c r="W10" i="12"/>
  <c r="W17" i="12" s="1"/>
  <c r="W12" i="12"/>
  <c r="AC10" i="12"/>
  <c r="AC17" i="12" s="1"/>
  <c r="AC12" i="12"/>
  <c r="AC15" i="12"/>
  <c r="AF15" i="12"/>
  <c r="AF10" i="12"/>
  <c r="AF17" i="12" s="1"/>
  <c r="AF12" i="12"/>
  <c r="S15" i="12"/>
  <c r="S12" i="12"/>
  <c r="S10" i="12"/>
  <c r="S17" i="12" s="1"/>
  <c r="Y15" i="12"/>
  <c r="Y10" i="12"/>
  <c r="Y17" i="12" s="1"/>
  <c r="Y12" i="12"/>
  <c r="AB15" i="12"/>
  <c r="AB10" i="12"/>
  <c r="AB17" i="12" s="1"/>
  <c r="AB12" i="12"/>
  <c r="AE10" i="12"/>
  <c r="AE17" i="12" s="1"/>
  <c r="AE15" i="12"/>
  <c r="AE12" i="12"/>
  <c r="E10" i="12"/>
  <c r="E17" i="12" s="1"/>
  <c r="E12" i="12"/>
  <c r="E15" i="12"/>
  <c r="H15" i="12"/>
  <c r="H10" i="12"/>
  <c r="H17" i="12" s="1"/>
  <c r="H12" i="12"/>
  <c r="K10" i="12"/>
  <c r="K17" i="12" s="1"/>
  <c r="K12" i="12"/>
  <c r="K15" i="12"/>
  <c r="AT15" i="12"/>
  <c r="AT10" i="12"/>
  <c r="AT17" i="12" s="1"/>
  <c r="AT12" i="12"/>
  <c r="D15" i="12"/>
  <c r="D10" i="12"/>
  <c r="D17" i="12" s="1"/>
  <c r="D12" i="12"/>
  <c r="G10" i="12"/>
  <c r="G17" i="12" s="1"/>
  <c r="G12" i="12"/>
  <c r="G15" i="12"/>
  <c r="M10" i="12"/>
  <c r="M17" i="12" s="1"/>
  <c r="M12" i="12"/>
  <c r="M15" i="12"/>
  <c r="P15" i="12"/>
  <c r="P10" i="12"/>
  <c r="P17" i="12" s="1"/>
  <c r="P12" i="12"/>
  <c r="C15" i="12"/>
  <c r="C12" i="12"/>
  <c r="C10" i="12"/>
  <c r="C17" i="12" s="1"/>
  <c r="I10" i="12"/>
  <c r="I17" i="12" s="1"/>
  <c r="I12" i="12"/>
  <c r="I15" i="12"/>
  <c r="L15" i="12"/>
  <c r="L10" i="12"/>
  <c r="L17" i="12" s="1"/>
  <c r="L12" i="12"/>
  <c r="O12" i="12"/>
  <c r="O10" i="12"/>
  <c r="O17" i="12" s="1"/>
  <c r="O15" i="12"/>
  <c r="J15" i="12"/>
  <c r="J12" i="12"/>
  <c r="J10" i="12"/>
  <c r="J17" i="12" s="1"/>
  <c r="R12" i="12"/>
  <c r="R10" i="12"/>
  <c r="R17" i="12" s="1"/>
  <c r="R15" i="12"/>
  <c r="AW15" i="12"/>
  <c r="AW10" i="12"/>
  <c r="AW17" i="12" s="1"/>
  <c r="AW12" i="12"/>
  <c r="H105" i="11"/>
  <c r="O105" i="11"/>
  <c r="AE105" i="11"/>
  <c r="AU105" i="11"/>
  <c r="P106" i="11"/>
  <c r="AF106" i="11"/>
  <c r="AV106" i="11"/>
  <c r="Q107" i="11"/>
  <c r="AC107" i="11"/>
  <c r="AK107" i="11"/>
  <c r="AS107" i="11"/>
  <c r="BA107" i="11"/>
  <c r="N108" i="11"/>
  <c r="V108" i="11"/>
  <c r="AD108" i="11"/>
  <c r="AL108" i="11"/>
  <c r="AT108" i="11"/>
  <c r="BB108" i="11"/>
  <c r="O109" i="11"/>
  <c r="W109" i="11"/>
  <c r="AE109" i="11"/>
  <c r="AM109" i="11"/>
  <c r="AU109" i="11"/>
  <c r="H110" i="11"/>
  <c r="P110" i="11"/>
  <c r="X110" i="11"/>
  <c r="AF110" i="11"/>
  <c r="AN110" i="11"/>
  <c r="AV110" i="11"/>
  <c r="S105" i="11"/>
  <c r="AI105" i="11"/>
  <c r="AY105" i="11"/>
  <c r="T106" i="11"/>
  <c r="AJ106" i="11"/>
  <c r="AZ106" i="11"/>
  <c r="U107" i="11"/>
  <c r="AF107" i="11"/>
  <c r="AN107" i="11"/>
  <c r="AV107" i="11"/>
  <c r="I108" i="11"/>
  <c r="Q108" i="11"/>
  <c r="Y108" i="11"/>
  <c r="AG108" i="11"/>
  <c r="AO108" i="11"/>
  <c r="AW108" i="11"/>
  <c r="J109" i="11"/>
  <c r="R109" i="11"/>
  <c r="Z109" i="11"/>
  <c r="AH109" i="11"/>
  <c r="AP109" i="11"/>
  <c r="AX109" i="11"/>
  <c r="K110" i="11"/>
  <c r="S110" i="11"/>
  <c r="AA110" i="11"/>
  <c r="AI110" i="11"/>
  <c r="AQ110" i="11"/>
  <c r="AY110" i="11"/>
  <c r="W105" i="11"/>
  <c r="H106" i="11"/>
  <c r="AN106" i="11"/>
  <c r="X107" i="11"/>
  <c r="AO107" i="11"/>
  <c r="J108" i="11"/>
  <c r="Z108" i="11"/>
  <c r="AP108" i="11"/>
  <c r="K109" i="11"/>
  <c r="AA109" i="11"/>
  <c r="AQ109" i="11"/>
  <c r="L110" i="11"/>
  <c r="AB110" i="11"/>
  <c r="AR110" i="11"/>
  <c r="AA105" i="11"/>
  <c r="L106" i="11"/>
  <c r="AR106" i="11"/>
  <c r="Y107" i="11"/>
  <c r="AR107" i="11"/>
  <c r="M108" i="11"/>
  <c r="AC108" i="11"/>
  <c r="AS108" i="11"/>
  <c r="N109" i="11"/>
  <c r="AD109" i="11"/>
  <c r="AT109" i="11"/>
  <c r="O110" i="11"/>
  <c r="AE110" i="11"/>
  <c r="AU110" i="11"/>
  <c r="AM105" i="11"/>
  <c r="X106" i="11"/>
  <c r="I107" i="11"/>
  <c r="AG107" i="11"/>
  <c r="AW107" i="11"/>
  <c r="R108" i="11"/>
  <c r="AH108" i="11"/>
  <c r="AX108" i="11"/>
  <c r="S109" i="11"/>
  <c r="AI109" i="11"/>
  <c r="AY109" i="11"/>
  <c r="T110" i="11"/>
  <c r="AJ110" i="11"/>
  <c r="AZ110" i="11"/>
  <c r="AQ105" i="11"/>
  <c r="AZ107" i="11"/>
  <c r="V109" i="11"/>
  <c r="AM110" i="11"/>
  <c r="AB106" i="11"/>
  <c r="U108" i="11"/>
  <c r="AL109" i="11"/>
  <c r="M107" i="11"/>
  <c r="AK108" i="11"/>
  <c r="BB109" i="11"/>
  <c r="AJ107" i="11"/>
  <c r="BA108" i="11"/>
  <c r="W110" i="11"/>
  <c r="K105" i="11"/>
  <c r="H107" i="11"/>
  <c r="W106" i="11"/>
  <c r="AL105" i="11"/>
  <c r="J105" i="11"/>
  <c r="AP110" i="11"/>
  <c r="Z110" i="11"/>
  <c r="J110" i="11"/>
  <c r="AO109" i="11"/>
  <c r="Y109" i="11"/>
  <c r="I109" i="11"/>
  <c r="AN108" i="11"/>
  <c r="X108" i="11"/>
  <c r="H108" i="11"/>
  <c r="AM107" i="11"/>
  <c r="W107" i="11"/>
  <c r="BB106" i="11"/>
  <c r="AL106" i="11"/>
  <c r="V106" i="11"/>
  <c r="BA105" i="11"/>
  <c r="AK105" i="11"/>
  <c r="U105" i="11"/>
  <c r="AB107" i="11"/>
  <c r="AQ106" i="11"/>
  <c r="K106" i="11"/>
  <c r="V105" i="11"/>
  <c r="AS110" i="11"/>
  <c r="AC110" i="11"/>
  <c r="M110" i="11"/>
  <c r="AR109" i="11"/>
  <c r="AB109" i="11"/>
  <c r="L109" i="11"/>
  <c r="AQ108" i="11"/>
  <c r="AA108" i="11"/>
  <c r="K108" i="11"/>
  <c r="AP107" i="11"/>
  <c r="Z107" i="11"/>
  <c r="J107" i="11"/>
  <c r="AO106" i="11"/>
  <c r="Y106" i="11"/>
  <c r="I106" i="11"/>
  <c r="AN105" i="11"/>
  <c r="X105" i="11"/>
  <c r="AE106" i="11"/>
  <c r="R105" i="11"/>
  <c r="AD110" i="11"/>
  <c r="AC109" i="11"/>
  <c r="L108" i="11"/>
  <c r="K107" i="11"/>
  <c r="AO105" i="11"/>
  <c r="AY106" i="11"/>
  <c r="AD105" i="11"/>
  <c r="AV109" i="11"/>
  <c r="AU108" i="11"/>
  <c r="AT107" i="11"/>
  <c r="AS106" i="11"/>
  <c r="AR105" i="11"/>
  <c r="AU106" i="11"/>
  <c r="O106" i="11"/>
  <c r="AH105" i="11"/>
  <c r="BB110" i="11"/>
  <c r="AL110" i="11"/>
  <c r="V110" i="11"/>
  <c r="BA109" i="11"/>
  <c r="AK109" i="11"/>
  <c r="U109" i="11"/>
  <c r="AZ108" i="11"/>
  <c r="AJ108" i="11"/>
  <c r="T108" i="11"/>
  <c r="AY107" i="11"/>
  <c r="AI107" i="11"/>
  <c r="S107" i="11"/>
  <c r="AX106" i="11"/>
  <c r="AH106" i="11"/>
  <c r="R106" i="11"/>
  <c r="AW105" i="11"/>
  <c r="AG105" i="11"/>
  <c r="Q105" i="11"/>
  <c r="T107" i="11"/>
  <c r="AI106" i="11"/>
  <c r="AX105" i="11"/>
  <c r="N105" i="11"/>
  <c r="AO110" i="11"/>
  <c r="Y110" i="11"/>
  <c r="I110" i="11"/>
  <c r="AN109" i="11"/>
  <c r="X109" i="11"/>
  <c r="H109" i="11"/>
  <c r="AM108" i="11"/>
  <c r="W108" i="11"/>
  <c r="BB107" i="11"/>
  <c r="AL107" i="11"/>
  <c r="V107" i="11"/>
  <c r="BA106" i="11"/>
  <c r="AK106" i="11"/>
  <c r="U106" i="11"/>
  <c r="AZ105" i="11"/>
  <c r="AJ105" i="11"/>
  <c r="T105" i="11"/>
  <c r="AT105" i="11"/>
  <c r="N110" i="11"/>
  <c r="M109" i="11"/>
  <c r="AB108" i="11"/>
  <c r="AQ107" i="11"/>
  <c r="AP106" i="11"/>
  <c r="J106" i="11"/>
  <c r="I105" i="11"/>
  <c r="AW110" i="11"/>
  <c r="Q110" i="11"/>
  <c r="P109" i="11"/>
  <c r="O108" i="11"/>
  <c r="AC106" i="11"/>
  <c r="AB105" i="11"/>
  <c r="AM106" i="11"/>
  <c r="BB105" i="11"/>
  <c r="Z105" i="11"/>
  <c r="AX110" i="11"/>
  <c r="AH110" i="11"/>
  <c r="R110" i="11"/>
  <c r="AW109" i="11"/>
  <c r="AG109" i="11"/>
  <c r="Q109" i="11"/>
  <c r="AV108" i="11"/>
  <c r="AF108" i="11"/>
  <c r="P108" i="11"/>
  <c r="AU107" i="11"/>
  <c r="AE107" i="11"/>
  <c r="O107" i="11"/>
  <c r="AT106" i="11"/>
  <c r="AD106" i="11"/>
  <c r="N106" i="11"/>
  <c r="AS105" i="11"/>
  <c r="AC105" i="11"/>
  <c r="M105" i="11"/>
  <c r="L107" i="11"/>
  <c r="AA106" i="11"/>
  <c r="AP105" i="11"/>
  <c r="BA110" i="11"/>
  <c r="AK110" i="11"/>
  <c r="U110" i="11"/>
  <c r="AZ109" i="11"/>
  <c r="AJ109" i="11"/>
  <c r="T109" i="11"/>
  <c r="AY108" i="11"/>
  <c r="AI108" i="11"/>
  <c r="S108" i="11"/>
  <c r="AX107" i="11"/>
  <c r="AH107" i="11"/>
  <c r="R107" i="11"/>
  <c r="AW106" i="11"/>
  <c r="AG106" i="11"/>
  <c r="Q106" i="11"/>
  <c r="AV105" i="11"/>
  <c r="AF105" i="11"/>
  <c r="P105" i="11"/>
  <c r="P107" i="11"/>
  <c r="AT110" i="11"/>
  <c r="AS109" i="11"/>
  <c r="AR108" i="11"/>
  <c r="AA107" i="11"/>
  <c r="Z106" i="11"/>
  <c r="Y105" i="11"/>
  <c r="S106" i="11"/>
  <c r="AG110" i="11"/>
  <c r="AF109" i="11"/>
  <c r="AE108" i="11"/>
  <c r="AD107" i="11"/>
  <c r="N107" i="11"/>
  <c r="M106" i="11"/>
  <c r="L105" i="11"/>
  <c r="F10" i="12"/>
  <c r="F17" i="12" s="1"/>
  <c r="F12" i="12"/>
  <c r="F15" i="12"/>
  <c r="AP15" i="12"/>
  <c r="AP10" i="12"/>
  <c r="AP17" i="12" s="1"/>
  <c r="AP12" i="12"/>
  <c r="AH10" i="12"/>
  <c r="AH17" i="12" s="1"/>
  <c r="AH15" i="12"/>
  <c r="AH12" i="12"/>
  <c r="AL10" i="12"/>
  <c r="AL17" i="12" s="1"/>
  <c r="AL12" i="12"/>
  <c r="AL15" i="12"/>
  <c r="Z10" i="12"/>
  <c r="Z17" i="12" s="1"/>
  <c r="Z12" i="12"/>
  <c r="Z15" i="12"/>
  <c r="V12" i="12"/>
  <c r="V10" i="12"/>
  <c r="V17" i="12" s="1"/>
  <c r="V15" i="12"/>
  <c r="AD15" i="12"/>
  <c r="AD10" i="12"/>
  <c r="AD17" i="12" s="1"/>
  <c r="AD12" i="12"/>
  <c r="N15" i="12"/>
  <c r="N10" i="12"/>
  <c r="N17" i="12" s="1"/>
  <c r="N12" i="12"/>
  <c r="H98" i="11"/>
  <c r="H101" i="11"/>
  <c r="H102" i="11"/>
  <c r="H100" i="11"/>
  <c r="H103" i="11"/>
  <c r="H99" i="11"/>
  <c r="AF101" i="11"/>
  <c r="AF99" i="11"/>
  <c r="AF100" i="11"/>
  <c r="AF103" i="11"/>
  <c r="AF102" i="11"/>
  <c r="AF98" i="11"/>
  <c r="AE99" i="11"/>
  <c r="AE98" i="11"/>
  <c r="AE101" i="11"/>
  <c r="AE102" i="11"/>
  <c r="AE100" i="11"/>
  <c r="AE103" i="11"/>
  <c r="Q98" i="11"/>
  <c r="Q99" i="11"/>
  <c r="Q100" i="11"/>
  <c r="Q101" i="11"/>
  <c r="Q103" i="11"/>
  <c r="Q102" i="11"/>
  <c r="AS98" i="11"/>
  <c r="AS99" i="11"/>
  <c r="AS101" i="11"/>
  <c r="AS100" i="11"/>
  <c r="AS103" i="11"/>
  <c r="AS102" i="11"/>
  <c r="AY100" i="11"/>
  <c r="AY102" i="11"/>
  <c r="AY103" i="11"/>
  <c r="AY98" i="11"/>
  <c r="AY99" i="11"/>
  <c r="AY101" i="11"/>
  <c r="AA99" i="11"/>
  <c r="AA98" i="11"/>
  <c r="AA101" i="11"/>
  <c r="AA102" i="11"/>
  <c r="AA100" i="11"/>
  <c r="AA103" i="11"/>
  <c r="N98" i="11"/>
  <c r="N101" i="11"/>
  <c r="N100" i="11"/>
  <c r="N99" i="11"/>
  <c r="N103" i="11"/>
  <c r="N102" i="11"/>
  <c r="AN100" i="11"/>
  <c r="AN98" i="11"/>
  <c r="AN103" i="11"/>
  <c r="AN102" i="11"/>
  <c r="AN99" i="11"/>
  <c r="AN101" i="11"/>
  <c r="AL98" i="11"/>
  <c r="AL100" i="11"/>
  <c r="AL99" i="11"/>
  <c r="AL103" i="11"/>
  <c r="AL101" i="11"/>
  <c r="AL102" i="11"/>
  <c r="W99" i="11"/>
  <c r="W98" i="11"/>
  <c r="W101" i="11"/>
  <c r="W102" i="11"/>
  <c r="W100" i="11"/>
  <c r="W103" i="11"/>
  <c r="J98" i="11"/>
  <c r="J101" i="11"/>
  <c r="J99" i="11"/>
  <c r="J100" i="11"/>
  <c r="J103" i="11"/>
  <c r="J102" i="11"/>
  <c r="AK98" i="11"/>
  <c r="AK103" i="11"/>
  <c r="AK99" i="11"/>
  <c r="AK100" i="11"/>
  <c r="AK101" i="11"/>
  <c r="AK102" i="11"/>
  <c r="AI99" i="11"/>
  <c r="AI102" i="11"/>
  <c r="AI98" i="11"/>
  <c r="AI101" i="11"/>
  <c r="AI100" i="11"/>
  <c r="AI103" i="11"/>
  <c r="AB101" i="11"/>
  <c r="AB98" i="11"/>
  <c r="AB102" i="11"/>
  <c r="AB103" i="11"/>
  <c r="AB99" i="11"/>
  <c r="AB100" i="11"/>
  <c r="P101" i="11"/>
  <c r="P98" i="11"/>
  <c r="P102" i="11"/>
  <c r="P99" i="11"/>
  <c r="P100" i="11"/>
  <c r="P103" i="11"/>
  <c r="AO98" i="11"/>
  <c r="AO101" i="11"/>
  <c r="AO103" i="11"/>
  <c r="AO100" i="11"/>
  <c r="AO99" i="11"/>
  <c r="AO102" i="11"/>
  <c r="X98" i="11"/>
  <c r="X102" i="11"/>
  <c r="X99" i="11"/>
  <c r="X103" i="11"/>
  <c r="X101" i="11"/>
  <c r="X100" i="11"/>
  <c r="V98" i="11"/>
  <c r="V100" i="11"/>
  <c r="V101" i="11"/>
  <c r="V99" i="11"/>
  <c r="V103" i="11"/>
  <c r="V102" i="11"/>
  <c r="R98" i="11"/>
  <c r="R101" i="11"/>
  <c r="R99" i="11"/>
  <c r="R103" i="11"/>
  <c r="R102" i="11"/>
  <c r="R100" i="11"/>
  <c r="BB99" i="11"/>
  <c r="BB102" i="11"/>
  <c r="BB98" i="11"/>
  <c r="BB101" i="11"/>
  <c r="BB100" i="11"/>
  <c r="BB103" i="11"/>
  <c r="AT99" i="11"/>
  <c r="AT102" i="11"/>
  <c r="AT98" i="11"/>
  <c r="AT101" i="11"/>
  <c r="AT100" i="11"/>
  <c r="AT103" i="11"/>
  <c r="AC98" i="11"/>
  <c r="AC99" i="11"/>
  <c r="AC100" i="11"/>
  <c r="AC103" i="11"/>
  <c r="AC101" i="11"/>
  <c r="AC102" i="11"/>
  <c r="AW98" i="11"/>
  <c r="AW101" i="11"/>
  <c r="AW99" i="11"/>
  <c r="AW103" i="11"/>
  <c r="AW102" i="11"/>
  <c r="AW100" i="11"/>
  <c r="Y98" i="11"/>
  <c r="Y100" i="11"/>
  <c r="Y101" i="11"/>
  <c r="Y99" i="11"/>
  <c r="Y103" i="11"/>
  <c r="Y102" i="11"/>
  <c r="S99" i="11"/>
  <c r="S101" i="11"/>
  <c r="S102" i="11"/>
  <c r="S98" i="11"/>
  <c r="S100" i="11"/>
  <c r="S103" i="11"/>
  <c r="AP98" i="11"/>
  <c r="AP101" i="11"/>
  <c r="AP100" i="11"/>
  <c r="AP99" i="11"/>
  <c r="AP103" i="11"/>
  <c r="AP102" i="11"/>
  <c r="U98" i="11"/>
  <c r="U101" i="11"/>
  <c r="U103" i="11"/>
  <c r="U99" i="11"/>
  <c r="U100" i="11"/>
  <c r="U102" i="11"/>
  <c r="AG98" i="11"/>
  <c r="AG99" i="11"/>
  <c r="AG100" i="11"/>
  <c r="AG101" i="11"/>
  <c r="AG103" i="11"/>
  <c r="AG102" i="11"/>
  <c r="AX99" i="11"/>
  <c r="AX102" i="11"/>
  <c r="AX98" i="11"/>
  <c r="AX100" i="11"/>
  <c r="AX103" i="11"/>
  <c r="AX101" i="11"/>
  <c r="K99" i="11"/>
  <c r="K101" i="11"/>
  <c r="K102" i="11"/>
  <c r="K98" i="11"/>
  <c r="K100" i="11"/>
  <c r="K103" i="11"/>
  <c r="AU100" i="11"/>
  <c r="AU102" i="11"/>
  <c r="AU103" i="11"/>
  <c r="AU99" i="11"/>
  <c r="AU98" i="11"/>
  <c r="AU101" i="11"/>
  <c r="O99" i="11"/>
  <c r="O98" i="11"/>
  <c r="O102" i="11"/>
  <c r="O101" i="11"/>
  <c r="O100" i="11"/>
  <c r="O103" i="11"/>
  <c r="AR99" i="11"/>
  <c r="AR103" i="11"/>
  <c r="AR98" i="11"/>
  <c r="AR100" i="11"/>
  <c r="AR102" i="11"/>
  <c r="AR101" i="11"/>
  <c r="L99" i="11"/>
  <c r="L103" i="11"/>
  <c r="L100" i="11"/>
  <c r="L101" i="11"/>
  <c r="L102" i="11"/>
  <c r="L98" i="11"/>
  <c r="AV99" i="11"/>
  <c r="AV103" i="11"/>
  <c r="AV98" i="11"/>
  <c r="AV100" i="11"/>
  <c r="AV102" i="11"/>
  <c r="AV101" i="11"/>
  <c r="AH98" i="11"/>
  <c r="AH99" i="11"/>
  <c r="AH101" i="11"/>
  <c r="AH103" i="11"/>
  <c r="AH102" i="11"/>
  <c r="AH100" i="11"/>
  <c r="M98" i="11"/>
  <c r="M101" i="11"/>
  <c r="M103" i="11"/>
  <c r="M99" i="11"/>
  <c r="M100" i="11"/>
  <c r="M102" i="11"/>
  <c r="T99" i="11"/>
  <c r="T103" i="11"/>
  <c r="T100" i="11"/>
  <c r="T98" i="11"/>
  <c r="T102" i="11"/>
  <c r="T101" i="11"/>
  <c r="AQ99" i="11"/>
  <c r="AQ98" i="11"/>
  <c r="AQ102" i="11"/>
  <c r="AQ100" i="11"/>
  <c r="AQ103" i="11"/>
  <c r="AQ101" i="11"/>
  <c r="AD98" i="11"/>
  <c r="AD100" i="11"/>
  <c r="AD99" i="11"/>
  <c r="AD101" i="11"/>
  <c r="AD103" i="11"/>
  <c r="AD102" i="11"/>
  <c r="I98" i="11"/>
  <c r="I99" i="11"/>
  <c r="I100" i="11"/>
  <c r="I101" i="11"/>
  <c r="I103" i="11"/>
  <c r="I102" i="11"/>
  <c r="AZ99" i="11"/>
  <c r="AZ103" i="11"/>
  <c r="AZ100" i="11"/>
  <c r="AZ101" i="11"/>
  <c r="AZ98" i="11"/>
  <c r="AZ102" i="11"/>
  <c r="AM99" i="11"/>
  <c r="AM102" i="11"/>
  <c r="AM98" i="11"/>
  <c r="AM100" i="11"/>
  <c r="AM103" i="11"/>
  <c r="AM101" i="11"/>
  <c r="Z98" i="11"/>
  <c r="Z101" i="11"/>
  <c r="Z99" i="11"/>
  <c r="Z100" i="11"/>
  <c r="Z103" i="11"/>
  <c r="Z102" i="11"/>
  <c r="BA98" i="11"/>
  <c r="BA101" i="11"/>
  <c r="BA99" i="11"/>
  <c r="BA100" i="11"/>
  <c r="BA103" i="11"/>
  <c r="BA102" i="11"/>
  <c r="AJ100" i="11"/>
  <c r="AJ98" i="11"/>
  <c r="AJ103" i="11"/>
  <c r="AJ99" i="11"/>
  <c r="AJ101" i="11"/>
  <c r="AJ102" i="11"/>
  <c r="AZ119" i="11" l="1"/>
  <c r="AF119" i="11"/>
  <c r="X119" i="11"/>
  <c r="AM119" i="11"/>
  <c r="AO119" i="11"/>
  <c r="N119" i="11"/>
  <c r="AS119" i="11"/>
  <c r="L119" i="11"/>
  <c r="AC119" i="11"/>
  <c r="S119" i="11"/>
  <c r="AH119" i="11"/>
  <c r="AQ119" i="11"/>
  <c r="V119" i="11"/>
  <c r="AK119" i="11"/>
  <c r="O119" i="11"/>
  <c r="AW119" i="11"/>
  <c r="AP119" i="11"/>
  <c r="AV119" i="11"/>
  <c r="AN119" i="11"/>
  <c r="AT119" i="11"/>
  <c r="AB119" i="11"/>
  <c r="T119" i="11"/>
  <c r="R119" i="11"/>
  <c r="AI119" i="11"/>
  <c r="W119" i="11"/>
  <c r="AL119" i="11"/>
  <c r="Q119" i="11"/>
  <c r="BA119" i="11"/>
  <c r="AE119" i="11"/>
  <c r="J119" i="11"/>
  <c r="AA119" i="11"/>
  <c r="U119" i="11"/>
  <c r="I119" i="11"/>
  <c r="AR119" i="11"/>
  <c r="AJ119" i="11"/>
  <c r="P119" i="11"/>
  <c r="H119" i="11"/>
  <c r="AD119" i="11"/>
  <c r="AX119" i="11"/>
  <c r="AY119" i="11"/>
  <c r="Y119" i="11"/>
  <c r="M119" i="11"/>
  <c r="BB119" i="11"/>
  <c r="AG119" i="11"/>
  <c r="K119" i="11"/>
  <c r="AU119" i="11"/>
  <c r="Z119" i="11"/>
  <c r="D2" i="18" l="1"/>
  <c r="E2" i="18" l="1"/>
  <c r="E49" i="18" s="1"/>
  <c r="D49" i="18"/>
  <c r="B2" i="16" l="1" a="1"/>
  <c r="AR2" i="16" s="1"/>
  <c r="G2" i="18"/>
  <c r="G49" i="18" s="1"/>
  <c r="I2" i="18"/>
  <c r="I11" i="18" l="1"/>
  <c r="M2" i="16"/>
  <c r="M26" i="17" s="1"/>
  <c r="B2" i="16"/>
  <c r="AR2" i="17" s="1"/>
  <c r="O2" i="16"/>
  <c r="O38" i="17" s="1"/>
  <c r="E2" i="16"/>
  <c r="E10" i="17" s="1"/>
  <c r="J2" i="16"/>
  <c r="J30" i="17" s="1"/>
  <c r="N2" i="16"/>
  <c r="N10" i="17" s="1"/>
  <c r="AM2" i="16"/>
  <c r="AM30" i="17" s="1"/>
  <c r="R2" i="16"/>
  <c r="R30" i="17" s="1"/>
  <c r="AN2" i="16"/>
  <c r="AN47" i="17" s="1"/>
  <c r="S2" i="16"/>
  <c r="S43" i="17" s="1"/>
  <c r="AH2" i="16"/>
  <c r="AH39" i="17" s="1"/>
  <c r="AO2" i="16"/>
  <c r="AO6" i="17" s="1"/>
  <c r="F2" i="16"/>
  <c r="F39" i="17" s="1"/>
  <c r="AS2" i="16"/>
  <c r="AS31" i="17" s="1"/>
  <c r="Z2" i="16"/>
  <c r="Z39" i="17" s="1"/>
  <c r="Q2" i="16"/>
  <c r="Q15" i="17" s="1"/>
  <c r="AE2" i="16"/>
  <c r="AE19" i="17" s="1"/>
  <c r="AJ2" i="16"/>
  <c r="AJ34" i="17" s="1"/>
  <c r="AC2" i="16"/>
  <c r="AC44" i="17" s="1"/>
  <c r="AD2" i="16"/>
  <c r="AD26" i="17" s="1"/>
  <c r="U2" i="16"/>
  <c r="U47" i="17" s="1"/>
  <c r="AI2" i="16"/>
  <c r="AI33" i="17" s="1"/>
  <c r="H2" i="16"/>
  <c r="G2" i="16"/>
  <c r="G12" i="17" s="1"/>
  <c r="AL2" i="16"/>
  <c r="AL39" i="17" s="1"/>
  <c r="AA2" i="16"/>
  <c r="AA12" i="17" s="1"/>
  <c r="AG2" i="16"/>
  <c r="AG12" i="17" s="1"/>
  <c r="AU2" i="16"/>
  <c r="AU31" i="17" s="1"/>
  <c r="L2" i="16"/>
  <c r="L23" i="17" s="1"/>
  <c r="K2" i="16"/>
  <c r="K15" i="17" s="1"/>
  <c r="AT2" i="16"/>
  <c r="AT31" i="17" s="1"/>
  <c r="AK2" i="16"/>
  <c r="AK10" i="17" s="1"/>
  <c r="D2" i="16"/>
  <c r="D15" i="17" s="1"/>
  <c r="Y2" i="16"/>
  <c r="Y24" i="17" s="1"/>
  <c r="AV2" i="16"/>
  <c r="AV13" i="17" s="1"/>
  <c r="AP2" i="16"/>
  <c r="AP31" i="17" s="1"/>
  <c r="I2" i="16"/>
  <c r="I10" i="17" s="1"/>
  <c r="W2" i="16"/>
  <c r="W34" i="17" s="1"/>
  <c r="P2" i="16"/>
  <c r="P39" i="17" s="1"/>
  <c r="X2" i="16"/>
  <c r="X18" i="17" s="1"/>
  <c r="T2" i="16"/>
  <c r="T47" i="17" s="1"/>
  <c r="AW2" i="16"/>
  <c r="AF2" i="16"/>
  <c r="AF3" i="17" s="1"/>
  <c r="V2" i="16"/>
  <c r="V47" i="17" s="1"/>
  <c r="AQ2" i="16"/>
  <c r="AQ12" i="17" s="1"/>
  <c r="AB2" i="16"/>
  <c r="AB44" i="17" s="1"/>
  <c r="C2" i="16"/>
  <c r="C3" i="17" s="1"/>
  <c r="AR43" i="17"/>
  <c r="AR3" i="17"/>
  <c r="AR44" i="17"/>
  <c r="AR10" i="17"/>
  <c r="AR27" i="17"/>
  <c r="AR33" i="17"/>
  <c r="AR38" i="17"/>
  <c r="AR19" i="17"/>
  <c r="AR39" i="17"/>
  <c r="AR46" i="17"/>
  <c r="AR26" i="17"/>
  <c r="AR40" i="17"/>
  <c r="AR34" i="17"/>
  <c r="AR47" i="17"/>
  <c r="AR15" i="17"/>
  <c r="AR36" i="17"/>
  <c r="AR11" i="17"/>
  <c r="AR42" i="17"/>
  <c r="AR7" i="17"/>
  <c r="AR30" i="17"/>
  <c r="AR14" i="17"/>
  <c r="AR23" i="17"/>
  <c r="AR31" i="17"/>
  <c r="AR18" i="17"/>
  <c r="AR48" i="17"/>
  <c r="AR16" i="17"/>
  <c r="AR13" i="17"/>
  <c r="AR28" i="17"/>
  <c r="AR5" i="17"/>
  <c r="AR22" i="17"/>
  <c r="AR29" i="17"/>
  <c r="AR4" i="17"/>
  <c r="AR37" i="17"/>
  <c r="AR21" i="17"/>
  <c r="AR20" i="17"/>
  <c r="AR41" i="17"/>
  <c r="AR12" i="17"/>
  <c r="AR17" i="17"/>
  <c r="AR9" i="17"/>
  <c r="AR6" i="17"/>
  <c r="AR45" i="17"/>
  <c r="AR8" i="17"/>
  <c r="AR32" i="17"/>
  <c r="AR35" i="17"/>
  <c r="AR24" i="17"/>
  <c r="AR25" i="17"/>
  <c r="M31" i="17" l="1"/>
  <c r="M47" i="17"/>
  <c r="J12" i="17"/>
  <c r="AE42" i="17"/>
  <c r="J14" i="17"/>
  <c r="U34" i="17"/>
  <c r="J35" i="17"/>
  <c r="F38" i="17"/>
  <c r="M29" i="17"/>
  <c r="J23" i="17"/>
  <c r="F40" i="17"/>
  <c r="J5" i="17"/>
  <c r="M48" i="17"/>
  <c r="U27" i="17"/>
  <c r="F26" i="17"/>
  <c r="U24" i="17"/>
  <c r="AE16" i="17"/>
  <c r="AN38" i="17"/>
  <c r="J38" i="17"/>
  <c r="U23" i="17"/>
  <c r="U14" i="17"/>
  <c r="AE34" i="17"/>
  <c r="F44" i="17"/>
  <c r="AN42" i="17"/>
  <c r="J37" i="17"/>
  <c r="J36" i="17"/>
  <c r="M46" i="17"/>
  <c r="M28" i="17"/>
  <c r="M42" i="17"/>
  <c r="U16" i="17"/>
  <c r="AE7" i="17"/>
  <c r="F42" i="17"/>
  <c r="AN29" i="17"/>
  <c r="J44" i="17"/>
  <c r="J4" i="17"/>
  <c r="J46" i="17"/>
  <c r="M40" i="17"/>
  <c r="M36" i="17"/>
  <c r="U13" i="17"/>
  <c r="AE44" i="17"/>
  <c r="AE43" i="17"/>
  <c r="F36" i="17"/>
  <c r="F22" i="17"/>
  <c r="AN23" i="17"/>
  <c r="J21" i="17"/>
  <c r="J24" i="17"/>
  <c r="J45" i="17"/>
  <c r="M13" i="17"/>
  <c r="M32" i="17"/>
  <c r="M18" i="17"/>
  <c r="U22" i="17"/>
  <c r="U46" i="17"/>
  <c r="AE17" i="17"/>
  <c r="AE47" i="17"/>
  <c r="F23" i="17"/>
  <c r="F24" i="17"/>
  <c r="AN9" i="17"/>
  <c r="J32" i="17"/>
  <c r="J8" i="17"/>
  <c r="J15" i="17"/>
  <c r="J47" i="17"/>
  <c r="J43" i="17"/>
  <c r="M9" i="17"/>
  <c r="M25" i="17"/>
  <c r="M33" i="17"/>
  <c r="M23" i="17"/>
  <c r="M41" i="17"/>
  <c r="M4" i="17"/>
  <c r="M35" i="17"/>
  <c r="U38" i="17"/>
  <c r="U44" i="17"/>
  <c r="U28" i="17"/>
  <c r="AE24" i="17"/>
  <c r="AE21" i="17"/>
  <c r="AE33" i="17"/>
  <c r="F48" i="17"/>
  <c r="F13" i="17"/>
  <c r="F34" i="17"/>
  <c r="AN40" i="17"/>
  <c r="J18" i="17"/>
  <c r="J26" i="17"/>
  <c r="J3" i="17"/>
  <c r="J33" i="17"/>
  <c r="J6" i="17"/>
  <c r="J34" i="17"/>
  <c r="J39" i="17"/>
  <c r="M11" i="17"/>
  <c r="M20" i="17"/>
  <c r="M7" i="17"/>
  <c r="M19" i="17"/>
  <c r="M24" i="17"/>
  <c r="M30" i="17"/>
  <c r="N4" i="17"/>
  <c r="AI23" i="17"/>
  <c r="AJ42" i="17"/>
  <c r="AS26" i="17"/>
  <c r="B10" i="17"/>
  <c r="S16" i="17"/>
  <c r="AJ7" i="17"/>
  <c r="B35" i="17"/>
  <c r="B7" i="17"/>
  <c r="S45" i="17"/>
  <c r="N19" i="17"/>
  <c r="AI22" i="17"/>
  <c r="AS14" i="17"/>
  <c r="B22" i="17"/>
  <c r="S6" i="17"/>
  <c r="N8" i="17"/>
  <c r="AI46" i="17"/>
  <c r="B45" i="17"/>
  <c r="B14" i="17"/>
  <c r="S23" i="17"/>
  <c r="N33" i="17"/>
  <c r="AN14" i="17"/>
  <c r="AN36" i="17"/>
  <c r="J13" i="17"/>
  <c r="J27" i="17"/>
  <c r="J17" i="17"/>
  <c r="J48" i="17"/>
  <c r="J29" i="17"/>
  <c r="J10" i="17"/>
  <c r="J19" i="17"/>
  <c r="J9" i="17"/>
  <c r="J42" i="17"/>
  <c r="M5" i="17"/>
  <c r="M44" i="17"/>
  <c r="M21" i="17"/>
  <c r="M34" i="17"/>
  <c r="M16" i="17"/>
  <c r="M8" i="17"/>
  <c r="M14" i="17"/>
  <c r="M39" i="17"/>
  <c r="M6" i="17"/>
  <c r="AI10" i="17"/>
  <c r="AS11" i="17"/>
  <c r="AI13" i="17"/>
  <c r="AJ13" i="17"/>
  <c r="AS16" i="17"/>
  <c r="AI36" i="17"/>
  <c r="AI29" i="17"/>
  <c r="AS2" i="17"/>
  <c r="AS18" i="17"/>
  <c r="S17" i="17"/>
  <c r="S29" i="17"/>
  <c r="N30" i="17"/>
  <c r="AI3" i="17"/>
  <c r="AI41" i="17"/>
  <c r="AI18" i="17"/>
  <c r="AI48" i="17"/>
  <c r="AI8" i="17"/>
  <c r="AI42" i="17"/>
  <c r="AJ9" i="17"/>
  <c r="AJ39" i="17"/>
  <c r="AJ22" i="17"/>
  <c r="AS40" i="17"/>
  <c r="AS12" i="17"/>
  <c r="AS20" i="17"/>
  <c r="AS13" i="17"/>
  <c r="AS39" i="17"/>
  <c r="AS38" i="17"/>
  <c r="B42" i="17"/>
  <c r="B46" i="17"/>
  <c r="B38" i="17"/>
  <c r="B40" i="17"/>
  <c r="B6" i="17"/>
  <c r="B21" i="17"/>
  <c r="S33" i="17"/>
  <c r="S9" i="17"/>
  <c r="S20" i="17"/>
  <c r="S14" i="17"/>
  <c r="S40" i="17"/>
  <c r="S10" i="17"/>
  <c r="N27" i="17"/>
  <c r="N21" i="17"/>
  <c r="N16" i="17"/>
  <c r="N39" i="17"/>
  <c r="N44" i="17"/>
  <c r="N34" i="17"/>
  <c r="AI9" i="17"/>
  <c r="AI16" i="17"/>
  <c r="AI14" i="17"/>
  <c r="AI39" i="17"/>
  <c r="AI26" i="17"/>
  <c r="AI21" i="17"/>
  <c r="AI35" i="17"/>
  <c r="AJ12" i="17"/>
  <c r="AJ38" i="17"/>
  <c r="AJ36" i="17"/>
  <c r="AS48" i="17"/>
  <c r="AS25" i="17"/>
  <c r="AS3" i="17"/>
  <c r="AS27" i="17"/>
  <c r="AS43" i="17"/>
  <c r="B27" i="17"/>
  <c r="B12" i="17"/>
  <c r="B28" i="17"/>
  <c r="B25" i="17"/>
  <c r="B19" i="17"/>
  <c r="B31" i="17"/>
  <c r="S28" i="17"/>
  <c r="S2" i="17"/>
  <c r="S4" i="17"/>
  <c r="S13" i="17"/>
  <c r="S24" i="17"/>
  <c r="S42" i="17"/>
  <c r="N5" i="17"/>
  <c r="N31" i="17"/>
  <c r="N37" i="17"/>
  <c r="N24" i="17"/>
  <c r="N2" i="17"/>
  <c r="N15" i="17"/>
  <c r="AI44" i="17"/>
  <c r="AI31" i="17"/>
  <c r="AI24" i="17"/>
  <c r="AI37" i="17"/>
  <c r="AI47" i="17"/>
  <c r="AI6" i="17"/>
  <c r="AI5" i="17"/>
  <c r="AJ48" i="17"/>
  <c r="AJ33" i="17"/>
  <c r="AJ40" i="17"/>
  <c r="AS41" i="17"/>
  <c r="AS28" i="17"/>
  <c r="AS44" i="17"/>
  <c r="AS24" i="17"/>
  <c r="AS19" i="17"/>
  <c r="AS42" i="17"/>
  <c r="B39" i="17"/>
  <c r="B26" i="17"/>
  <c r="B2" i="17"/>
  <c r="B29" i="17"/>
  <c r="B4" i="17"/>
  <c r="B33" i="17"/>
  <c r="S41" i="17"/>
  <c r="S31" i="17"/>
  <c r="S8" i="17"/>
  <c r="S48" i="17"/>
  <c r="S22" i="17"/>
  <c r="S26" i="17"/>
  <c r="N13" i="17"/>
  <c r="N47" i="17"/>
  <c r="N35" i="17"/>
  <c r="N40" i="17"/>
  <c r="N48" i="17"/>
  <c r="N6" i="17"/>
  <c r="I20" i="17"/>
  <c r="I22" i="17"/>
  <c r="D44" i="17"/>
  <c r="L3" i="17"/>
  <c r="T39" i="17"/>
  <c r="T10" i="17"/>
  <c r="I18" i="17"/>
  <c r="L4" i="17"/>
  <c r="T3" i="17"/>
  <c r="D14" i="17"/>
  <c r="AL17" i="17"/>
  <c r="D18" i="17"/>
  <c r="AQ35" i="17"/>
  <c r="AQ31" i="17"/>
  <c r="AQ4" i="17"/>
  <c r="AQ45" i="17"/>
  <c r="T16" i="17"/>
  <c r="U5" i="17"/>
  <c r="U41" i="17"/>
  <c r="U32" i="17"/>
  <c r="U21" i="17"/>
  <c r="U15" i="17"/>
  <c r="U29" i="17"/>
  <c r="U31" i="17"/>
  <c r="U37" i="17"/>
  <c r="U45" i="17"/>
  <c r="U43" i="17"/>
  <c r="U25" i="17"/>
  <c r="AE39" i="17"/>
  <c r="AE46" i="17"/>
  <c r="AE4" i="17"/>
  <c r="AE32" i="17"/>
  <c r="AE28" i="17"/>
  <c r="AE9" i="17"/>
  <c r="AE38" i="17"/>
  <c r="AE36" i="17"/>
  <c r="AE12" i="17"/>
  <c r="AE10" i="17"/>
  <c r="AE5" i="17"/>
  <c r="AE25" i="17"/>
  <c r="F32" i="17"/>
  <c r="F27" i="17"/>
  <c r="F17" i="17"/>
  <c r="F16" i="17"/>
  <c r="F31" i="17"/>
  <c r="F3" i="17"/>
  <c r="F25" i="17"/>
  <c r="F5" i="17"/>
  <c r="F9" i="17"/>
  <c r="F35" i="17"/>
  <c r="F19" i="17"/>
  <c r="AN8" i="17"/>
  <c r="AN39" i="17"/>
  <c r="AN11" i="17"/>
  <c r="AN30" i="17"/>
  <c r="AN13" i="17"/>
  <c r="AN35" i="17"/>
  <c r="AN7" i="17"/>
  <c r="AN19" i="17"/>
  <c r="AN46" i="17"/>
  <c r="AQ46" i="17"/>
  <c r="AQ43" i="17"/>
  <c r="AQ36" i="17"/>
  <c r="AQ30" i="17"/>
  <c r="T37" i="17"/>
  <c r="T18" i="17"/>
  <c r="T4" i="17"/>
  <c r="I32" i="17"/>
  <c r="I13" i="17"/>
  <c r="I7" i="17"/>
  <c r="I15" i="17"/>
  <c r="D22" i="17"/>
  <c r="D36" i="17"/>
  <c r="D31" i="17"/>
  <c r="L28" i="17"/>
  <c r="AL35" i="17"/>
  <c r="U9" i="17"/>
  <c r="U2" i="17"/>
  <c r="U10" i="17"/>
  <c r="U4" i="17"/>
  <c r="U20" i="17"/>
  <c r="U39" i="17"/>
  <c r="U8" i="17"/>
  <c r="U30" i="17"/>
  <c r="U33" i="17"/>
  <c r="U7" i="17"/>
  <c r="U36" i="17"/>
  <c r="U11" i="17"/>
  <c r="AE40" i="17"/>
  <c r="AE6" i="17"/>
  <c r="AE20" i="17"/>
  <c r="AE26" i="17"/>
  <c r="AE48" i="17"/>
  <c r="AE13" i="17"/>
  <c r="AE3" i="17"/>
  <c r="AE23" i="17"/>
  <c r="AE15" i="17"/>
  <c r="AE30" i="17"/>
  <c r="AE22" i="17"/>
  <c r="AE29" i="17"/>
  <c r="F29" i="17"/>
  <c r="F21" i="17"/>
  <c r="F33" i="17"/>
  <c r="F10" i="17"/>
  <c r="F4" i="17"/>
  <c r="F43" i="17"/>
  <c r="F20" i="17"/>
  <c r="F37" i="17"/>
  <c r="F2" i="17"/>
  <c r="F28" i="17"/>
  <c r="F46" i="17"/>
  <c r="F30" i="17"/>
  <c r="AN17" i="17"/>
  <c r="AN18" i="17"/>
  <c r="AN32" i="17"/>
  <c r="AN24" i="17"/>
  <c r="AN21" i="17"/>
  <c r="AN27" i="17"/>
  <c r="AN43" i="17"/>
  <c r="AN34" i="17"/>
  <c r="AN48" i="17"/>
  <c r="AQ32" i="17"/>
  <c r="AQ28" i="17"/>
  <c r="AQ13" i="17"/>
  <c r="AQ9" i="17"/>
  <c r="AQ14" i="17"/>
  <c r="T24" i="17"/>
  <c r="T22" i="17"/>
  <c r="T35" i="17"/>
  <c r="I44" i="17"/>
  <c r="I12" i="17"/>
  <c r="I46" i="17"/>
  <c r="I19" i="17"/>
  <c r="D30" i="17"/>
  <c r="D8" i="17"/>
  <c r="L34" i="17"/>
  <c r="L25" i="17"/>
  <c r="AL29" i="17"/>
  <c r="U18" i="17"/>
  <c r="U19" i="17"/>
  <c r="U17" i="17"/>
  <c r="U3" i="17"/>
  <c r="U35" i="17"/>
  <c r="U6" i="17"/>
  <c r="U26" i="17"/>
  <c r="U40" i="17"/>
  <c r="U48" i="17"/>
  <c r="U12" i="17"/>
  <c r="U42" i="17"/>
  <c r="AE11" i="17"/>
  <c r="AE45" i="17"/>
  <c r="AE27" i="17"/>
  <c r="AE41" i="17"/>
  <c r="AE35" i="17"/>
  <c r="AE18" i="17"/>
  <c r="AE14" i="17"/>
  <c r="AE37" i="17"/>
  <c r="AE8" i="17"/>
  <c r="AE31" i="17"/>
  <c r="F47" i="17"/>
  <c r="F12" i="17"/>
  <c r="F8" i="17"/>
  <c r="F41" i="17"/>
  <c r="F6" i="17"/>
  <c r="F11" i="17"/>
  <c r="F7" i="17"/>
  <c r="F14" i="17"/>
  <c r="F18" i="17"/>
  <c r="F45" i="17"/>
  <c r="F15" i="17"/>
  <c r="AN16" i="17"/>
  <c r="AN31" i="17"/>
  <c r="AN37" i="17"/>
  <c r="AN41" i="17"/>
  <c r="AN25" i="17"/>
  <c r="AN15" i="17"/>
  <c r="AN3" i="17"/>
  <c r="AN22" i="17"/>
  <c r="AN12" i="17"/>
  <c r="AQ11" i="17"/>
  <c r="AQ3" i="17"/>
  <c r="AQ24" i="17"/>
  <c r="AQ17" i="17"/>
  <c r="T27" i="17"/>
  <c r="T32" i="17"/>
  <c r="T45" i="17"/>
  <c r="T12" i="17"/>
  <c r="I8" i="17"/>
  <c r="I28" i="17"/>
  <c r="I39" i="17"/>
  <c r="D28" i="17"/>
  <c r="D29" i="17"/>
  <c r="D32" i="17"/>
  <c r="L19" i="17"/>
  <c r="L18" i="17"/>
  <c r="AL33" i="17"/>
  <c r="AN5" i="17"/>
  <c r="AN6" i="17"/>
  <c r="AN10" i="17"/>
  <c r="AN20" i="17"/>
  <c r="AN4" i="17"/>
  <c r="AN45" i="17"/>
  <c r="AN28" i="17"/>
  <c r="AN44" i="17"/>
  <c r="AN33" i="17"/>
  <c r="AN26" i="17"/>
  <c r="J20" i="17"/>
  <c r="J28" i="17"/>
  <c r="J16" i="17"/>
  <c r="J31" i="17"/>
  <c r="J11" i="17"/>
  <c r="J7" i="17"/>
  <c r="J41" i="17"/>
  <c r="J22" i="17"/>
  <c r="J40" i="17"/>
  <c r="J25" i="17"/>
  <c r="M27" i="17"/>
  <c r="M38" i="17"/>
  <c r="M37" i="17"/>
  <c r="M15" i="17"/>
  <c r="M45" i="17"/>
  <c r="M3" i="17"/>
  <c r="M22" i="17"/>
  <c r="M12" i="17"/>
  <c r="M17" i="17"/>
  <c r="M43" i="17"/>
  <c r="M10" i="17"/>
  <c r="AQ41" i="17"/>
  <c r="AQ33" i="17"/>
  <c r="AQ8" i="17"/>
  <c r="AQ18" i="17"/>
  <c r="AQ25" i="17"/>
  <c r="AQ39" i="17"/>
  <c r="AQ5" i="17"/>
  <c r="AQ15" i="17"/>
  <c r="AQ37" i="17"/>
  <c r="T41" i="17"/>
  <c r="T19" i="17"/>
  <c r="T9" i="17"/>
  <c r="T14" i="17"/>
  <c r="T43" i="17"/>
  <c r="T23" i="17"/>
  <c r="T48" i="17"/>
  <c r="I38" i="17"/>
  <c r="I3" i="17"/>
  <c r="I48" i="17"/>
  <c r="I43" i="17"/>
  <c r="I9" i="17"/>
  <c r="I47" i="17"/>
  <c r="I42" i="17"/>
  <c r="D9" i="17"/>
  <c r="D38" i="17"/>
  <c r="D26" i="17"/>
  <c r="D11" i="17"/>
  <c r="D34" i="17"/>
  <c r="L33" i="17"/>
  <c r="L42" i="17"/>
  <c r="L10" i="17"/>
  <c r="L14" i="17"/>
  <c r="AL25" i="17"/>
  <c r="AL26" i="17"/>
  <c r="AQ6" i="17"/>
  <c r="AQ23" i="17"/>
  <c r="AQ48" i="17"/>
  <c r="AQ47" i="17"/>
  <c r="AQ10" i="17"/>
  <c r="AQ34" i="17"/>
  <c r="AQ42" i="17"/>
  <c r="AQ40" i="17"/>
  <c r="AQ27" i="17"/>
  <c r="T25" i="17"/>
  <c r="T15" i="17"/>
  <c r="T26" i="17"/>
  <c r="T21" i="17"/>
  <c r="T46" i="17"/>
  <c r="T11" i="17"/>
  <c r="T31" i="17"/>
  <c r="I45" i="17"/>
  <c r="I4" i="17"/>
  <c r="I14" i="17"/>
  <c r="I30" i="17"/>
  <c r="I6" i="17"/>
  <c r="I31" i="17"/>
  <c r="D20" i="17"/>
  <c r="D21" i="17"/>
  <c r="D47" i="17"/>
  <c r="D4" i="17"/>
  <c r="D48" i="17"/>
  <c r="D40" i="17"/>
  <c r="L41" i="17"/>
  <c r="L5" i="17"/>
  <c r="L8" i="17"/>
  <c r="AL38" i="17"/>
  <c r="AL32" i="17"/>
  <c r="AL30" i="17"/>
  <c r="M2" i="17"/>
  <c r="T2" i="17"/>
  <c r="AI7" i="17"/>
  <c r="AI4" i="17"/>
  <c r="AI43" i="17"/>
  <c r="AI17" i="17"/>
  <c r="AI15" i="17"/>
  <c r="AI34" i="17"/>
  <c r="AI27" i="17"/>
  <c r="AI45" i="17"/>
  <c r="AI19" i="17"/>
  <c r="AJ44" i="17"/>
  <c r="AJ14" i="17"/>
  <c r="AJ10" i="17"/>
  <c r="AJ16" i="17"/>
  <c r="AJ46" i="17"/>
  <c r="AJ37" i="17"/>
  <c r="AS7" i="17"/>
  <c r="AS10" i="17"/>
  <c r="AS22" i="17"/>
  <c r="AS32" i="17"/>
  <c r="AS5" i="17"/>
  <c r="AS29" i="17"/>
  <c r="AS33" i="17"/>
  <c r="AS21" i="17"/>
  <c r="AS15" i="17"/>
  <c r="AS6" i="17"/>
  <c r="AS23" i="17"/>
  <c r="AS35" i="17"/>
  <c r="B23" i="17"/>
  <c r="B16" i="17"/>
  <c r="B3" i="17"/>
  <c r="B48" i="17"/>
  <c r="B32" i="17"/>
  <c r="B30" i="17"/>
  <c r="B37" i="17"/>
  <c r="B18" i="17"/>
  <c r="B47" i="17"/>
  <c r="B41" i="17"/>
  <c r="B44" i="17"/>
  <c r="B5" i="17"/>
  <c r="S34" i="17"/>
  <c r="S7" i="17"/>
  <c r="S11" i="17"/>
  <c r="S35" i="17"/>
  <c r="S12" i="17"/>
  <c r="S37" i="17"/>
  <c r="S21" i="17"/>
  <c r="S47" i="17"/>
  <c r="S38" i="17"/>
  <c r="S19" i="17"/>
  <c r="S39" i="17"/>
  <c r="N12" i="17"/>
  <c r="N45" i="17"/>
  <c r="N23" i="17"/>
  <c r="N32" i="17"/>
  <c r="N36" i="17"/>
  <c r="N38" i="17"/>
  <c r="N29" i="17"/>
  <c r="N43" i="17"/>
  <c r="N28" i="17"/>
  <c r="N17" i="17"/>
  <c r="N46" i="17"/>
  <c r="N22" i="17"/>
  <c r="AJ25" i="17"/>
  <c r="AJ5" i="17"/>
  <c r="AJ35" i="17"/>
  <c r="AJ45" i="17"/>
  <c r="AJ24" i="17"/>
  <c r="AJ23" i="17"/>
  <c r="AE2" i="17"/>
  <c r="AS36" i="17"/>
  <c r="AS9" i="17"/>
  <c r="AS4" i="17"/>
  <c r="AS17" i="17"/>
  <c r="AS45" i="17"/>
  <c r="AS46" i="17"/>
  <c r="AS8" i="17"/>
  <c r="AS37" i="17"/>
  <c r="AS34" i="17"/>
  <c r="AS30" i="17"/>
  <c r="AS47" i="17"/>
  <c r="B43" i="17"/>
  <c r="B36" i="17"/>
  <c r="B17" i="17"/>
  <c r="B9" i="17"/>
  <c r="B11" i="17"/>
  <c r="B8" i="17"/>
  <c r="B24" i="17"/>
  <c r="B20" i="17"/>
  <c r="B34" i="17"/>
  <c r="B13" i="17"/>
  <c r="B15" i="17"/>
  <c r="S25" i="17"/>
  <c r="S36" i="17"/>
  <c r="S30" i="17"/>
  <c r="S27" i="17"/>
  <c r="S3" i="17"/>
  <c r="S44" i="17"/>
  <c r="S15" i="17"/>
  <c r="S18" i="17"/>
  <c r="S5" i="17"/>
  <c r="S32" i="17"/>
  <c r="S46" i="17"/>
  <c r="N41" i="17"/>
  <c r="N3" i="17"/>
  <c r="N26" i="17"/>
  <c r="N18" i="17"/>
  <c r="N7" i="17"/>
  <c r="N11" i="17"/>
  <c r="N9" i="17"/>
  <c r="N14" i="17"/>
  <c r="N20" i="17"/>
  <c r="N25" i="17"/>
  <c r="N42" i="17"/>
  <c r="AN2" i="17"/>
  <c r="J2" i="17"/>
  <c r="T30" i="17"/>
  <c r="T13" i="17"/>
  <c r="T8" i="17"/>
  <c r="T7" i="17"/>
  <c r="T44" i="17"/>
  <c r="T29" i="17"/>
  <c r="I16" i="17"/>
  <c r="I33" i="17"/>
  <c r="I35" i="17"/>
  <c r="I11" i="17"/>
  <c r="I5" i="17"/>
  <c r="I27" i="17"/>
  <c r="I26" i="17"/>
  <c r="I34" i="17"/>
  <c r="AA20" i="17"/>
  <c r="D24" i="17"/>
  <c r="D37" i="17"/>
  <c r="D42" i="17"/>
  <c r="D3" i="17"/>
  <c r="D10" i="17"/>
  <c r="D13" i="17"/>
  <c r="D41" i="17"/>
  <c r="L13" i="17"/>
  <c r="L24" i="17"/>
  <c r="L39" i="17"/>
  <c r="L32" i="17"/>
  <c r="L20" i="17"/>
  <c r="L22" i="17"/>
  <c r="AL14" i="17"/>
  <c r="AL11" i="17"/>
  <c r="AL36" i="17"/>
  <c r="AL44" i="17"/>
  <c r="AQ29" i="17"/>
  <c r="AQ20" i="17"/>
  <c r="AQ7" i="17"/>
  <c r="AQ22" i="17"/>
  <c r="AQ16" i="17"/>
  <c r="AQ44" i="17"/>
  <c r="AQ26" i="17"/>
  <c r="AQ38" i="17"/>
  <c r="AQ21" i="17"/>
  <c r="AQ19" i="17"/>
  <c r="T17" i="17"/>
  <c r="T6" i="17"/>
  <c r="T5" i="17"/>
  <c r="T33" i="17"/>
  <c r="T38" i="17"/>
  <c r="T42" i="17"/>
  <c r="T28" i="17"/>
  <c r="T36" i="17"/>
  <c r="T34" i="17"/>
  <c r="T20" i="17"/>
  <c r="T40" i="17"/>
  <c r="I29" i="17"/>
  <c r="I17" i="17"/>
  <c r="I37" i="17"/>
  <c r="I36" i="17"/>
  <c r="I24" i="17"/>
  <c r="I23" i="17"/>
  <c r="I25" i="17"/>
  <c r="I21" i="17"/>
  <c r="I40" i="17"/>
  <c r="I41" i="17"/>
  <c r="D33" i="17"/>
  <c r="D17" i="17"/>
  <c r="D25" i="17"/>
  <c r="D16" i="17"/>
  <c r="D45" i="17"/>
  <c r="D7" i="17"/>
  <c r="D43" i="17"/>
  <c r="D39" i="17"/>
  <c r="D12" i="17"/>
  <c r="D6" i="17"/>
  <c r="L31" i="17"/>
  <c r="L36" i="17"/>
  <c r="L9" i="17"/>
  <c r="L30" i="17"/>
  <c r="L11" i="17"/>
  <c r="L38" i="17"/>
  <c r="L46" i="17"/>
  <c r="AL47" i="17"/>
  <c r="AL45" i="17"/>
  <c r="AL18" i="17"/>
  <c r="AL16" i="17"/>
  <c r="AL46" i="17"/>
  <c r="AD23" i="17"/>
  <c r="Q4" i="17"/>
  <c r="AO40" i="17"/>
  <c r="E9" i="17"/>
  <c r="Q12" i="17"/>
  <c r="AO17" i="17"/>
  <c r="E35" i="17"/>
  <c r="L2" i="17"/>
  <c r="Q18" i="17"/>
  <c r="D19" i="17"/>
  <c r="D35" i="17"/>
  <c r="D5" i="17"/>
  <c r="D23" i="17"/>
  <c r="D46" i="17"/>
  <c r="D27" i="17"/>
  <c r="L26" i="17"/>
  <c r="L15" i="17"/>
  <c r="L27" i="17"/>
  <c r="L40" i="17"/>
  <c r="L16" i="17"/>
  <c r="L17" i="17"/>
  <c r="L43" i="17"/>
  <c r="L35" i="17"/>
  <c r="L47" i="17"/>
  <c r="L44" i="17"/>
  <c r="Q33" i="17"/>
  <c r="E17" i="17"/>
  <c r="E32" i="17"/>
  <c r="R19" i="17"/>
  <c r="AD15" i="17"/>
  <c r="Q26" i="17"/>
  <c r="AO30" i="17"/>
  <c r="E4" i="17"/>
  <c r="E26" i="17"/>
  <c r="E37" i="17"/>
  <c r="E45" i="17"/>
  <c r="AQ2" i="17"/>
  <c r="I2" i="17"/>
  <c r="K14" i="17"/>
  <c r="Y15" i="17"/>
  <c r="Y3" i="17"/>
  <c r="AB30" i="17"/>
  <c r="K12" i="17"/>
  <c r="AA13" i="17"/>
  <c r="AI25" i="17"/>
  <c r="AI28" i="17"/>
  <c r="AI12" i="17"/>
  <c r="AI38" i="17"/>
  <c r="AI32" i="17"/>
  <c r="AI2" i="17"/>
  <c r="AI20" i="17"/>
  <c r="AI30" i="17"/>
  <c r="AI11" i="17"/>
  <c r="AI40" i="17"/>
  <c r="AJ6" i="17"/>
  <c r="AJ20" i="17"/>
  <c r="AJ4" i="17"/>
  <c r="AJ29" i="17"/>
  <c r="AJ15" i="17"/>
  <c r="AJ11" i="17"/>
  <c r="AJ2" i="17"/>
  <c r="AJ30" i="17"/>
  <c r="AJ28" i="17"/>
  <c r="AJ31" i="17"/>
  <c r="AJ3" i="17"/>
  <c r="Y2" i="17"/>
  <c r="Y32" i="17"/>
  <c r="AJ47" i="17"/>
  <c r="AJ41" i="17"/>
  <c r="AJ8" i="17"/>
  <c r="AJ32" i="17"/>
  <c r="AJ21" i="17"/>
  <c r="AJ43" i="17"/>
  <c r="AJ27" i="17"/>
  <c r="AJ19" i="17"/>
  <c r="AJ26" i="17"/>
  <c r="AJ18" i="17"/>
  <c r="AJ17" i="17"/>
  <c r="Y8" i="17"/>
  <c r="Y27" i="17"/>
  <c r="AB45" i="17"/>
  <c r="W41" i="17"/>
  <c r="K37" i="17"/>
  <c r="K25" i="17"/>
  <c r="D2" i="17"/>
  <c r="W5" i="17"/>
  <c r="K46" i="17"/>
  <c r="K40" i="17"/>
  <c r="K17" i="17"/>
  <c r="AA17" i="17"/>
  <c r="W11" i="17"/>
  <c r="K34" i="17"/>
  <c r="K20" i="17"/>
  <c r="AA29" i="17"/>
  <c r="AL7" i="17"/>
  <c r="AL3" i="17"/>
  <c r="AL15" i="17"/>
  <c r="AL37" i="17"/>
  <c r="AL31" i="17"/>
  <c r="O48" i="17"/>
  <c r="AA11" i="17"/>
  <c r="AA21" i="17"/>
  <c r="AA47" i="17"/>
  <c r="AA41" i="17"/>
  <c r="AA23" i="17"/>
  <c r="AC47" i="17"/>
  <c r="AC27" i="17"/>
  <c r="Z15" i="17"/>
  <c r="AH28" i="17"/>
  <c r="Z19" i="17"/>
  <c r="AH5" i="17"/>
  <c r="AC6" i="17"/>
  <c r="Z10" i="17"/>
  <c r="Y40" i="17"/>
  <c r="Y42" i="17"/>
  <c r="Y29" i="17"/>
  <c r="Y37" i="17"/>
  <c r="Y19" i="17"/>
  <c r="Y22" i="17"/>
  <c r="AB42" i="17"/>
  <c r="AB33" i="17"/>
  <c r="AB6" i="17"/>
  <c r="W13" i="17"/>
  <c r="W27" i="17"/>
  <c r="W7" i="17"/>
  <c r="Y4" i="17"/>
  <c r="Y45" i="17"/>
  <c r="Y10" i="17"/>
  <c r="Y18" i="17"/>
  <c r="Y41" i="17"/>
  <c r="Y30" i="17"/>
  <c r="AB5" i="17"/>
  <c r="AB8" i="17"/>
  <c r="AB7" i="17"/>
  <c r="W4" i="17"/>
  <c r="W17" i="17"/>
  <c r="W14" i="17"/>
  <c r="Y7" i="17"/>
  <c r="Y33" i="17"/>
  <c r="Y47" i="17"/>
  <c r="Y16" i="17"/>
  <c r="Y14" i="17"/>
  <c r="Y23" i="17"/>
  <c r="AB35" i="17"/>
  <c r="AB11" i="17"/>
  <c r="AB32" i="17"/>
  <c r="W2" i="17"/>
  <c r="W28" i="17"/>
  <c r="W18" i="17"/>
  <c r="AD17" i="17"/>
  <c r="AD7" i="17"/>
  <c r="AD9" i="17"/>
  <c r="AD39" i="17"/>
  <c r="AA6" i="17"/>
  <c r="AA22" i="17"/>
  <c r="AA8" i="17"/>
  <c r="AH31" i="17"/>
  <c r="AA24" i="17"/>
  <c r="AA33" i="17"/>
  <c r="AA37" i="17"/>
  <c r="AA31" i="17"/>
  <c r="AA27" i="17"/>
  <c r="AC32" i="17"/>
  <c r="AC9" i="17"/>
  <c r="AC15" i="17"/>
  <c r="Z29" i="17"/>
  <c r="Z40" i="17"/>
  <c r="Z35" i="17"/>
  <c r="AH21" i="17"/>
  <c r="AH41" i="17"/>
  <c r="AV44" i="17"/>
  <c r="AM3" i="17"/>
  <c r="C27" i="17"/>
  <c r="AC16" i="17"/>
  <c r="AC31" i="17"/>
  <c r="AC12" i="17"/>
  <c r="Z11" i="17"/>
  <c r="Z5" i="17"/>
  <c r="Z42" i="17"/>
  <c r="AH40" i="17"/>
  <c r="AH29" i="17"/>
  <c r="O47" i="17"/>
  <c r="AV18" i="17"/>
  <c r="AC42" i="17"/>
  <c r="AC40" i="17"/>
  <c r="AC21" i="17"/>
  <c r="Z38" i="17"/>
  <c r="Z4" i="17"/>
  <c r="Z32" i="17"/>
  <c r="AH12" i="17"/>
  <c r="AH18" i="17"/>
  <c r="O10" i="17"/>
  <c r="X14" i="17"/>
  <c r="AA3" i="17"/>
  <c r="Y12" i="17"/>
  <c r="Y36" i="17"/>
  <c r="Y48" i="17"/>
  <c r="Y17" i="17"/>
  <c r="Y5" i="17"/>
  <c r="Y31" i="17"/>
  <c r="Y21" i="17"/>
  <c r="Y6" i="17"/>
  <c r="Y43" i="17"/>
  <c r="Y35" i="17"/>
  <c r="Y26" i="17"/>
  <c r="Y34" i="17"/>
  <c r="AB47" i="17"/>
  <c r="AB38" i="17"/>
  <c r="AB37" i="17"/>
  <c r="AB13" i="17"/>
  <c r="AB48" i="17"/>
  <c r="AB22" i="17"/>
  <c r="AB15" i="17"/>
  <c r="AB36" i="17"/>
  <c r="AB29" i="17"/>
  <c r="AB19" i="17"/>
  <c r="AB27" i="17"/>
  <c r="AB31" i="17"/>
  <c r="W21" i="17"/>
  <c r="W15" i="17"/>
  <c r="W16" i="17"/>
  <c r="W19" i="17"/>
  <c r="W31" i="17"/>
  <c r="W12" i="17"/>
  <c r="W8" i="17"/>
  <c r="W40" i="17"/>
  <c r="W10" i="17"/>
  <c r="W47" i="17"/>
  <c r="W30" i="17"/>
  <c r="W6" i="17"/>
  <c r="K47" i="17"/>
  <c r="K26" i="17"/>
  <c r="K21" i="17"/>
  <c r="K19" i="17"/>
  <c r="K31" i="17"/>
  <c r="K18" i="17"/>
  <c r="K6" i="17"/>
  <c r="K33" i="17"/>
  <c r="K27" i="17"/>
  <c r="Y13" i="17"/>
  <c r="Y9" i="17"/>
  <c r="Y11" i="17"/>
  <c r="Y44" i="17"/>
  <c r="Y28" i="17"/>
  <c r="Y20" i="17"/>
  <c r="Y25" i="17"/>
  <c r="Y38" i="17"/>
  <c r="Y39" i="17"/>
  <c r="Y46" i="17"/>
  <c r="AB16" i="17"/>
  <c r="AB26" i="17"/>
  <c r="AB14" i="17"/>
  <c r="AB17" i="17"/>
  <c r="AB18" i="17"/>
  <c r="AB2" i="17"/>
  <c r="AB4" i="17"/>
  <c r="AB40" i="17"/>
  <c r="AB25" i="17"/>
  <c r="AB23" i="17"/>
  <c r="AB34" i="17"/>
  <c r="AB39" i="17"/>
  <c r="W36" i="17"/>
  <c r="W39" i="17"/>
  <c r="W38" i="17"/>
  <c r="W9" i="17"/>
  <c r="W32" i="17"/>
  <c r="W45" i="17"/>
  <c r="W20" i="17"/>
  <c r="W44" i="17"/>
  <c r="W42" i="17"/>
  <c r="W48" i="17"/>
  <c r="W43" i="17"/>
  <c r="W3" i="17"/>
  <c r="K22" i="17"/>
  <c r="K2" i="17"/>
  <c r="K43" i="17"/>
  <c r="K23" i="17"/>
  <c r="K36" i="17"/>
  <c r="K11" i="17"/>
  <c r="K41" i="17"/>
  <c r="K35" i="17"/>
  <c r="K13" i="17"/>
  <c r="AB24" i="17"/>
  <c r="AB28" i="17"/>
  <c r="AB9" i="17"/>
  <c r="AB41" i="17"/>
  <c r="AB10" i="17"/>
  <c r="AB12" i="17"/>
  <c r="AB21" i="17"/>
  <c r="AB46" i="17"/>
  <c r="AB43" i="17"/>
  <c r="AB3" i="17"/>
  <c r="AB20" i="17"/>
  <c r="W23" i="17"/>
  <c r="W33" i="17"/>
  <c r="W24" i="17"/>
  <c r="W29" i="17"/>
  <c r="W25" i="17"/>
  <c r="W26" i="17"/>
  <c r="W37" i="17"/>
  <c r="W35" i="17"/>
  <c r="W46" i="17"/>
  <c r="W22" i="17"/>
  <c r="K24" i="17"/>
  <c r="K45" i="17"/>
  <c r="K39" i="17"/>
  <c r="K48" i="17"/>
  <c r="K42" i="17"/>
  <c r="K16" i="17"/>
  <c r="K9" i="17"/>
  <c r="K3" i="17"/>
  <c r="K10" i="17"/>
  <c r="AC23" i="17"/>
  <c r="Z44" i="17"/>
  <c r="Z36" i="17"/>
  <c r="Z21" i="17"/>
  <c r="Z23" i="17"/>
  <c r="Z37" i="17"/>
  <c r="Z13" i="17"/>
  <c r="Z14" i="17"/>
  <c r="Z26" i="17"/>
  <c r="Z17" i="17"/>
  <c r="Z27" i="17"/>
  <c r="Z30" i="17"/>
  <c r="AH27" i="17"/>
  <c r="AH44" i="17"/>
  <c r="AH20" i="17"/>
  <c r="AH30" i="17"/>
  <c r="AH33" i="17"/>
  <c r="AH47" i="17"/>
  <c r="AH36" i="17"/>
  <c r="AH38" i="17"/>
  <c r="AH46" i="17"/>
  <c r="O37" i="17"/>
  <c r="O30" i="17"/>
  <c r="O5" i="17"/>
  <c r="AV38" i="17"/>
  <c r="AV43" i="17"/>
  <c r="AM17" i="17"/>
  <c r="AM39" i="17"/>
  <c r="C44" i="17"/>
  <c r="AC45" i="17"/>
  <c r="AC33" i="17"/>
  <c r="AC17" i="17"/>
  <c r="AC18" i="17"/>
  <c r="AC38" i="17"/>
  <c r="AC41" i="17"/>
  <c r="AC29" i="17"/>
  <c r="AC8" i="17"/>
  <c r="AC24" i="17"/>
  <c r="AC34" i="17"/>
  <c r="AC39" i="17"/>
  <c r="AC43" i="17"/>
  <c r="AC3" i="17"/>
  <c r="AC37" i="17"/>
  <c r="AC11" i="17"/>
  <c r="AC22" i="17"/>
  <c r="AC48" i="17"/>
  <c r="AC35" i="17"/>
  <c r="Z34" i="17"/>
  <c r="Z25" i="17"/>
  <c r="Z33" i="17"/>
  <c r="Z6" i="17"/>
  <c r="Z24" i="17"/>
  <c r="Z8" i="17"/>
  <c r="Z9" i="17"/>
  <c r="Z47" i="17"/>
  <c r="Z12" i="17"/>
  <c r="Z31" i="17"/>
  <c r="Z18" i="17"/>
  <c r="Z48" i="17"/>
  <c r="AH16" i="17"/>
  <c r="AH10" i="17"/>
  <c r="AH43" i="17"/>
  <c r="AH14" i="17"/>
  <c r="AH6" i="17"/>
  <c r="AH13" i="17"/>
  <c r="AH7" i="17"/>
  <c r="AH45" i="17"/>
  <c r="AH42" i="17"/>
  <c r="O12" i="17"/>
  <c r="O3" i="17"/>
  <c r="AV17" i="17"/>
  <c r="AV23" i="17"/>
  <c r="AV47" i="17"/>
  <c r="AM9" i="17"/>
  <c r="C32" i="17"/>
  <c r="AF14" i="17"/>
  <c r="AG43" i="17"/>
  <c r="AC25" i="17"/>
  <c r="AC4" i="17"/>
  <c r="AC19" i="17"/>
  <c r="AC36" i="17"/>
  <c r="AC14" i="17"/>
  <c r="AC2" i="17"/>
  <c r="AC5" i="17"/>
  <c r="AC10" i="17"/>
  <c r="AC26" i="17"/>
  <c r="AC28" i="17"/>
  <c r="AC30" i="17"/>
  <c r="AC7" i="17"/>
  <c r="AC20" i="17"/>
  <c r="AC46" i="17"/>
  <c r="AC13" i="17"/>
  <c r="Z45" i="17"/>
  <c r="Z7" i="17"/>
  <c r="Z43" i="17"/>
  <c r="Z3" i="17"/>
  <c r="Z16" i="17"/>
  <c r="Z2" i="17"/>
  <c r="Z28" i="17"/>
  <c r="Z46" i="17"/>
  <c r="Z20" i="17"/>
  <c r="Z41" i="17"/>
  <c r="Z22" i="17"/>
  <c r="AH26" i="17"/>
  <c r="AH15" i="17"/>
  <c r="AH8" i="17"/>
  <c r="AH48" i="17"/>
  <c r="AH22" i="17"/>
  <c r="AH25" i="17"/>
  <c r="AH2" i="17"/>
  <c r="AH35" i="17"/>
  <c r="AH34" i="17"/>
  <c r="O32" i="17"/>
  <c r="O26" i="17"/>
  <c r="O29" i="17"/>
  <c r="AV6" i="17"/>
  <c r="AV29" i="17"/>
  <c r="AM8" i="17"/>
  <c r="C42" i="17"/>
  <c r="C33" i="17"/>
  <c r="AA43" i="17"/>
  <c r="AA2" i="17"/>
  <c r="AA16" i="17"/>
  <c r="AA38" i="17"/>
  <c r="AA7" i="17"/>
  <c r="AA36" i="17"/>
  <c r="O11" i="17"/>
  <c r="O9" i="17"/>
  <c r="O4" i="17"/>
  <c r="O20" i="17"/>
  <c r="O42" i="17"/>
  <c r="AV12" i="17"/>
  <c r="AV9" i="17"/>
  <c r="AV46" i="17"/>
  <c r="AV20" i="17"/>
  <c r="AV26" i="17"/>
  <c r="AM32" i="17"/>
  <c r="AM7" i="17"/>
  <c r="C20" i="17"/>
  <c r="C34" i="17"/>
  <c r="P10" i="17"/>
  <c r="AT11" i="17"/>
  <c r="O35" i="17"/>
  <c r="O18" i="17"/>
  <c r="O31" i="17"/>
  <c r="O27" i="17"/>
  <c r="O2" i="17"/>
  <c r="AV40" i="17"/>
  <c r="AV32" i="17"/>
  <c r="AV31" i="17"/>
  <c r="AM43" i="17"/>
  <c r="C24" i="17"/>
  <c r="AF20" i="17"/>
  <c r="P28" i="17"/>
  <c r="AT40" i="17"/>
  <c r="AG24" i="17"/>
  <c r="C10" i="17"/>
  <c r="C43" i="17"/>
  <c r="C30" i="17"/>
  <c r="C26" i="17"/>
  <c r="C39" i="17"/>
  <c r="C7" i="17"/>
  <c r="C8" i="17"/>
  <c r="C12" i="17"/>
  <c r="C38" i="17"/>
  <c r="C13" i="17"/>
  <c r="C17" i="17"/>
  <c r="C37" i="17"/>
  <c r="AF28" i="17"/>
  <c r="AF36" i="17"/>
  <c r="AF47" i="17"/>
  <c r="AF43" i="17"/>
  <c r="AF33" i="17"/>
  <c r="AF11" i="17"/>
  <c r="AF6" i="17"/>
  <c r="AF37" i="17"/>
  <c r="AF21" i="17"/>
  <c r="AF30" i="17"/>
  <c r="AF24" i="17"/>
  <c r="AF8" i="17"/>
  <c r="AF38" i="17"/>
  <c r="AF2" i="17"/>
  <c r="AF7" i="17"/>
  <c r="AF42" i="17"/>
  <c r="AF46" i="17"/>
  <c r="AF27" i="17"/>
  <c r="AF17" i="17"/>
  <c r="AF48" i="17"/>
  <c r="AF16" i="17"/>
  <c r="AF9" i="17"/>
  <c r="AF18" i="17"/>
  <c r="AF29" i="17"/>
  <c r="AF35" i="17"/>
  <c r="AF26" i="17"/>
  <c r="AF31" i="17"/>
  <c r="AF15" i="17"/>
  <c r="AF19" i="17"/>
  <c r="AF45" i="17"/>
  <c r="AF4" i="17"/>
  <c r="AF22" i="17"/>
  <c r="AF23" i="17"/>
  <c r="AF10" i="17"/>
  <c r="AF5" i="17"/>
  <c r="AF32" i="17"/>
  <c r="P27" i="17"/>
  <c r="P23" i="17"/>
  <c r="P46" i="17"/>
  <c r="P3" i="17"/>
  <c r="P37" i="17"/>
  <c r="P34" i="17"/>
  <c r="P43" i="17"/>
  <c r="P8" i="17"/>
  <c r="P47" i="17"/>
  <c r="P16" i="17"/>
  <c r="P5" i="17"/>
  <c r="P45" i="17"/>
  <c r="P31" i="17"/>
  <c r="P22" i="17"/>
  <c r="P35" i="17"/>
  <c r="P42" i="17"/>
  <c r="P40" i="17"/>
  <c r="P24" i="17"/>
  <c r="P30" i="17"/>
  <c r="P21" i="17"/>
  <c r="P20" i="17"/>
  <c r="P17" i="17"/>
  <c r="P13" i="17"/>
  <c r="P48" i="17"/>
  <c r="P11" i="17"/>
  <c r="P19" i="17"/>
  <c r="P33" i="17"/>
  <c r="P44" i="17"/>
  <c r="P2" i="17"/>
  <c r="P36" i="17"/>
  <c r="P7" i="17"/>
  <c r="P4" i="17"/>
  <c r="P29" i="17"/>
  <c r="P6" i="17"/>
  <c r="P25" i="17"/>
  <c r="AV45" i="17"/>
  <c r="AV7" i="17"/>
  <c r="AV14" i="17"/>
  <c r="AV24" i="17"/>
  <c r="AV8" i="17"/>
  <c r="AV19" i="17"/>
  <c r="AV4" i="17"/>
  <c r="AV36" i="17"/>
  <c r="AV16" i="17"/>
  <c r="AV15" i="17"/>
  <c r="AV30" i="17"/>
  <c r="AV2" i="17"/>
  <c r="AT46" i="17"/>
  <c r="AT41" i="17"/>
  <c r="AT36" i="17"/>
  <c r="AT34" i="17"/>
  <c r="AT18" i="17"/>
  <c r="AT2" i="17"/>
  <c r="AT27" i="17"/>
  <c r="AT17" i="17"/>
  <c r="AT43" i="17"/>
  <c r="AT13" i="17"/>
  <c r="AT32" i="17"/>
  <c r="AT26" i="17"/>
  <c r="AT6" i="17"/>
  <c r="AT33" i="17"/>
  <c r="AT12" i="17"/>
  <c r="AT30" i="17"/>
  <c r="AT4" i="17"/>
  <c r="AT10" i="17"/>
  <c r="AT28" i="17"/>
  <c r="AT16" i="17"/>
  <c r="AT35" i="17"/>
  <c r="AT3" i="17"/>
  <c r="AT42" i="17"/>
  <c r="AT14" i="17"/>
  <c r="AT19" i="17"/>
  <c r="AT21" i="17"/>
  <c r="AT29" i="17"/>
  <c r="AT44" i="17"/>
  <c r="AT20" i="17"/>
  <c r="AT38" i="17"/>
  <c r="AT24" i="17"/>
  <c r="AT9" i="17"/>
  <c r="AT45" i="17"/>
  <c r="AT39" i="17"/>
  <c r="AT37" i="17"/>
  <c r="AG27" i="17"/>
  <c r="AG26" i="17"/>
  <c r="AG38" i="17"/>
  <c r="AG22" i="17"/>
  <c r="AG19" i="17"/>
  <c r="AG5" i="17"/>
  <c r="AG2" i="17"/>
  <c r="AG4" i="17"/>
  <c r="AG3" i="17"/>
  <c r="AG16" i="17"/>
  <c r="AG17" i="17"/>
  <c r="AG32" i="17"/>
  <c r="AG11" i="17"/>
  <c r="AG34" i="17"/>
  <c r="AG41" i="17"/>
  <c r="AG42" i="17"/>
  <c r="AG15" i="17"/>
  <c r="AG20" i="17"/>
  <c r="AG39" i="17"/>
  <c r="AG36" i="17"/>
  <c r="AG8" i="17"/>
  <c r="AG40" i="17"/>
  <c r="AG14" i="17"/>
  <c r="AG25" i="17"/>
  <c r="AG18" i="17"/>
  <c r="AG46" i="17"/>
  <c r="AG47" i="17"/>
  <c r="AG10" i="17"/>
  <c r="AG45" i="17"/>
  <c r="AG13" i="17"/>
  <c r="AG33" i="17"/>
  <c r="AG48" i="17"/>
  <c r="AG28" i="17"/>
  <c r="AG44" i="17"/>
  <c r="AG31" i="17"/>
  <c r="AG21" i="17"/>
  <c r="H7" i="17"/>
  <c r="H33" i="17"/>
  <c r="AM14" i="17"/>
  <c r="AM48" i="17"/>
  <c r="AM47" i="17"/>
  <c r="AM37" i="17"/>
  <c r="AM38" i="17"/>
  <c r="AM20" i="17"/>
  <c r="AM34" i="17"/>
  <c r="AM36" i="17"/>
  <c r="AM5" i="17"/>
  <c r="AM24" i="17"/>
  <c r="AM13" i="17"/>
  <c r="O25" i="17"/>
  <c r="O23" i="17"/>
  <c r="AM33" i="17"/>
  <c r="AM19" i="17"/>
  <c r="AM41" i="17"/>
  <c r="AM31" i="17"/>
  <c r="AM16" i="17"/>
  <c r="AM11" i="17"/>
  <c r="AM4" i="17"/>
  <c r="AM12" i="17"/>
  <c r="AM6" i="17"/>
  <c r="C22" i="17"/>
  <c r="C41" i="17"/>
  <c r="C31" i="17"/>
  <c r="C15" i="17"/>
  <c r="C16" i="17"/>
  <c r="C47" i="17"/>
  <c r="C35" i="17"/>
  <c r="C18" i="17"/>
  <c r="C29" i="17"/>
  <c r="AF34" i="17"/>
  <c r="AF25" i="17"/>
  <c r="AF44" i="17"/>
  <c r="P9" i="17"/>
  <c r="P26" i="17"/>
  <c r="P12" i="17"/>
  <c r="AT47" i="17"/>
  <c r="AT48" i="17"/>
  <c r="AT7" i="17"/>
  <c r="AG29" i="17"/>
  <c r="AG6" i="17"/>
  <c r="AH4" i="17"/>
  <c r="AH3" i="17"/>
  <c r="AH11" i="17"/>
  <c r="AH37" i="17"/>
  <c r="AH24" i="17"/>
  <c r="AH19" i="17"/>
  <c r="AH9" i="17"/>
  <c r="AH32" i="17"/>
  <c r="AH17" i="17"/>
  <c r="AH23" i="17"/>
  <c r="O36" i="17"/>
  <c r="O41" i="17"/>
  <c r="O17" i="17"/>
  <c r="O40" i="17"/>
  <c r="O16" i="17"/>
  <c r="O13" i="17"/>
  <c r="O46" i="17"/>
  <c r="O33" i="17"/>
  <c r="O44" i="17"/>
  <c r="O7" i="17"/>
  <c r="O34" i="17"/>
  <c r="AV5" i="17"/>
  <c r="AV33" i="17"/>
  <c r="AV35" i="17"/>
  <c r="AV10" i="17"/>
  <c r="AV11" i="17"/>
  <c r="AV39" i="17"/>
  <c r="AV34" i="17"/>
  <c r="AV27" i="17"/>
  <c r="AV37" i="17"/>
  <c r="AM2" i="17"/>
  <c r="AM25" i="17"/>
  <c r="AM40" i="17"/>
  <c r="AM45" i="17"/>
  <c r="AM10" i="17"/>
  <c r="AM15" i="17"/>
  <c r="AM23" i="17"/>
  <c r="AM27" i="17"/>
  <c r="AM18" i="17"/>
  <c r="C4" i="17"/>
  <c r="C36" i="17"/>
  <c r="C5" i="17"/>
  <c r="C21" i="17"/>
  <c r="C28" i="17"/>
  <c r="C46" i="17"/>
  <c r="C6" i="17"/>
  <c r="C19" i="17"/>
  <c r="AF40" i="17"/>
  <c r="AF39" i="17"/>
  <c r="AF12" i="17"/>
  <c r="P38" i="17"/>
  <c r="P14" i="17"/>
  <c r="P41" i="17"/>
  <c r="AT25" i="17"/>
  <c r="AT8" i="17"/>
  <c r="AT22" i="17"/>
  <c r="AG30" i="17"/>
  <c r="AG9" i="17"/>
  <c r="AG23" i="17"/>
  <c r="O43" i="17"/>
  <c r="O28" i="17"/>
  <c r="O45" i="17"/>
  <c r="O39" i="17"/>
  <c r="O22" i="17"/>
  <c r="O8" i="17"/>
  <c r="O14" i="17"/>
  <c r="O19" i="17"/>
  <c r="O24" i="17"/>
  <c r="O15" i="17"/>
  <c r="O6" i="17"/>
  <c r="O21" i="17"/>
  <c r="AV3" i="17"/>
  <c r="AV28" i="17"/>
  <c r="AV42" i="17"/>
  <c r="AV25" i="17"/>
  <c r="AV41" i="17"/>
  <c r="AV22" i="17"/>
  <c r="AV48" i="17"/>
  <c r="AV21" i="17"/>
  <c r="AM21" i="17"/>
  <c r="AM35" i="17"/>
  <c r="AM28" i="17"/>
  <c r="AM22" i="17"/>
  <c r="AM29" i="17"/>
  <c r="AM46" i="17"/>
  <c r="AM44" i="17"/>
  <c r="AM26" i="17"/>
  <c r="AM42" i="17"/>
  <c r="C2" i="17"/>
  <c r="C9" i="17"/>
  <c r="C11" i="17"/>
  <c r="C25" i="17"/>
  <c r="C40" i="17"/>
  <c r="C23" i="17"/>
  <c r="C48" i="17"/>
  <c r="C14" i="17"/>
  <c r="C45" i="17"/>
  <c r="AF13" i="17"/>
  <c r="AF41" i="17"/>
  <c r="P32" i="17"/>
  <c r="P18" i="17"/>
  <c r="P15" i="17"/>
  <c r="AT5" i="17"/>
  <c r="AT23" i="17"/>
  <c r="AT15" i="17"/>
  <c r="AG7" i="17"/>
  <c r="AG37" i="17"/>
  <c r="AG35" i="17"/>
  <c r="AD30" i="17"/>
  <c r="AD20" i="17"/>
  <c r="AD14" i="17"/>
  <c r="AD45" i="17"/>
  <c r="AD25" i="17"/>
  <c r="AD43" i="17"/>
  <c r="Q21" i="17"/>
  <c r="Q34" i="17"/>
  <c r="Q3" i="17"/>
  <c r="Q45" i="17"/>
  <c r="AO5" i="17"/>
  <c r="AO11" i="17"/>
  <c r="AO42" i="17"/>
  <c r="R36" i="17"/>
  <c r="AD16" i="17"/>
  <c r="AD28" i="17"/>
  <c r="AD44" i="17"/>
  <c r="AD2" i="17"/>
  <c r="AD11" i="17"/>
  <c r="AD31" i="17"/>
  <c r="Q14" i="17"/>
  <c r="Q32" i="17"/>
  <c r="Q23" i="17"/>
  <c r="Q47" i="17"/>
  <c r="AO23" i="17"/>
  <c r="AO7" i="17"/>
  <c r="AO41" i="17"/>
  <c r="AO35" i="17"/>
  <c r="R4" i="17"/>
  <c r="R18" i="17"/>
  <c r="AD37" i="17"/>
  <c r="AD47" i="17"/>
  <c r="AD40" i="17"/>
  <c r="AD29" i="17"/>
  <c r="AD3" i="17"/>
  <c r="AD46" i="17"/>
  <c r="Q41" i="17"/>
  <c r="Q29" i="17"/>
  <c r="Q6" i="17"/>
  <c r="Q19" i="17"/>
  <c r="Q42" i="17"/>
  <c r="AO19" i="17"/>
  <c r="AO14" i="17"/>
  <c r="AO18" i="17"/>
  <c r="R21" i="17"/>
  <c r="R16" i="17"/>
  <c r="AO15" i="17"/>
  <c r="AO46" i="17"/>
  <c r="AO38" i="17"/>
  <c r="AO25" i="17"/>
  <c r="AO12" i="17"/>
  <c r="E13" i="17"/>
  <c r="E43" i="17"/>
  <c r="E48" i="17"/>
  <c r="R42" i="17"/>
  <c r="R34" i="17"/>
  <c r="R44" i="17"/>
  <c r="V40" i="17"/>
  <c r="Q36" i="17"/>
  <c r="Q30" i="17"/>
  <c r="Q8" i="17"/>
  <c r="Q28" i="17"/>
  <c r="Q27" i="17"/>
  <c r="Q37" i="17"/>
  <c r="AO4" i="17"/>
  <c r="AO21" i="17"/>
  <c r="AO37" i="17"/>
  <c r="AO28" i="17"/>
  <c r="AO47" i="17"/>
  <c r="AO31" i="17"/>
  <c r="E16" i="17"/>
  <c r="E12" i="17"/>
  <c r="E21" i="17"/>
  <c r="E31" i="17"/>
  <c r="R24" i="17"/>
  <c r="R32" i="17"/>
  <c r="R46" i="17"/>
  <c r="L6" i="17"/>
  <c r="L45" i="17"/>
  <c r="L29" i="17"/>
  <c r="L7" i="17"/>
  <c r="L12" i="17"/>
  <c r="L37" i="17"/>
  <c r="L21" i="17"/>
  <c r="L48" i="17"/>
  <c r="H5" i="17"/>
  <c r="AK28" i="17"/>
  <c r="V36" i="17"/>
  <c r="H27" i="17"/>
  <c r="V29" i="17"/>
  <c r="X20" i="17"/>
  <c r="H46" i="17"/>
  <c r="H17" i="17"/>
  <c r="V13" i="17"/>
  <c r="V25" i="17"/>
  <c r="V22" i="17"/>
  <c r="X12" i="17"/>
  <c r="X42" i="17"/>
  <c r="G44" i="17"/>
  <c r="V12" i="17"/>
  <c r="V42" i="17"/>
  <c r="X27" i="17"/>
  <c r="AK8" i="17"/>
  <c r="AU15" i="17"/>
  <c r="V23" i="17"/>
  <c r="V35" i="17"/>
  <c r="V20" i="17"/>
  <c r="X45" i="17"/>
  <c r="AK37" i="17"/>
  <c r="K8" i="17"/>
  <c r="K28" i="17"/>
  <c r="K5" i="17"/>
  <c r="K32" i="17"/>
  <c r="K29" i="17"/>
  <c r="K38" i="17"/>
  <c r="K7" i="17"/>
  <c r="K44" i="17"/>
  <c r="K30" i="17"/>
  <c r="K4" i="17"/>
  <c r="H4" i="17"/>
  <c r="H9" i="17"/>
  <c r="AD19" i="17"/>
  <c r="AD6" i="17"/>
  <c r="AD4" i="17"/>
  <c r="AD12" i="17"/>
  <c r="AD35" i="17"/>
  <c r="AD22" i="17"/>
  <c r="Q9" i="17"/>
  <c r="Q2" i="17"/>
  <c r="Q31" i="17"/>
  <c r="Q5" i="17"/>
  <c r="Q40" i="17"/>
  <c r="Q39" i="17"/>
  <c r="Q17" i="17"/>
  <c r="Q11" i="17"/>
  <c r="Q43" i="17"/>
  <c r="Q38" i="17"/>
  <c r="Q22" i="17"/>
  <c r="Q44" i="17"/>
  <c r="AO33" i="17"/>
  <c r="AO32" i="17"/>
  <c r="AO45" i="17"/>
  <c r="AO2" i="17"/>
  <c r="AO44" i="17"/>
  <c r="AO13" i="17"/>
  <c r="AO34" i="17"/>
  <c r="AO20" i="17"/>
  <c r="AO36" i="17"/>
  <c r="AO8" i="17"/>
  <c r="AO39" i="17"/>
  <c r="AO24" i="17"/>
  <c r="E2" i="17"/>
  <c r="E3" i="17"/>
  <c r="E8" i="17"/>
  <c r="E28" i="17"/>
  <c r="E7" i="17"/>
  <c r="E25" i="17"/>
  <c r="E47" i="17"/>
  <c r="E36" i="17"/>
  <c r="E27" i="17"/>
  <c r="E20" i="17"/>
  <c r="E34" i="17"/>
  <c r="E22" i="17"/>
  <c r="R20" i="17"/>
  <c r="R23" i="17"/>
  <c r="R29" i="17"/>
  <c r="R41" i="17"/>
  <c r="R3" i="17"/>
  <c r="R38" i="17"/>
  <c r="R26" i="17"/>
  <c r="R45" i="17"/>
  <c r="R47" i="17"/>
  <c r="R33" i="17"/>
  <c r="R48" i="17"/>
  <c r="R27" i="17"/>
  <c r="V43" i="17"/>
  <c r="V28" i="17"/>
  <c r="V5" i="17"/>
  <c r="V44" i="17"/>
  <c r="V16" i="17"/>
  <c r="V6" i="17"/>
  <c r="V18" i="17"/>
  <c r="V48" i="17"/>
  <c r="V8" i="17"/>
  <c r="V33" i="17"/>
  <c r="V26" i="17"/>
  <c r="V14" i="17"/>
  <c r="X32" i="17"/>
  <c r="X9" i="17"/>
  <c r="X40" i="17"/>
  <c r="X24" i="17"/>
  <c r="X15" i="17"/>
  <c r="X28" i="17"/>
  <c r="AK13" i="17"/>
  <c r="AK46" i="17"/>
  <c r="AK48" i="17"/>
  <c r="AU35" i="17"/>
  <c r="AP45" i="17"/>
  <c r="G30" i="17"/>
  <c r="AD42" i="17"/>
  <c r="AD5" i="17"/>
  <c r="AD41" i="17"/>
  <c r="AD8" i="17"/>
  <c r="AD10" i="17"/>
  <c r="AD33" i="17"/>
  <c r="AD36" i="17"/>
  <c r="AD13" i="17"/>
  <c r="AD18" i="17"/>
  <c r="AD27" i="17"/>
  <c r="AD38" i="17"/>
  <c r="AD24" i="17"/>
  <c r="AD21" i="17"/>
  <c r="AD34" i="17"/>
  <c r="AD32" i="17"/>
  <c r="AD48" i="17"/>
  <c r="Q20" i="17"/>
  <c r="Q16" i="17"/>
  <c r="Q25" i="17"/>
  <c r="Q48" i="17"/>
  <c r="Q13" i="17"/>
  <c r="Q24" i="17"/>
  <c r="Q7" i="17"/>
  <c r="Q46" i="17"/>
  <c r="Q35" i="17"/>
  <c r="Q10" i="17"/>
  <c r="AO10" i="17"/>
  <c r="AO26" i="17"/>
  <c r="AO48" i="17"/>
  <c r="AO43" i="17"/>
  <c r="AO29" i="17"/>
  <c r="AO16" i="17"/>
  <c r="AO27" i="17"/>
  <c r="AO3" i="17"/>
  <c r="AO22" i="17"/>
  <c r="AO9" i="17"/>
  <c r="E33" i="17"/>
  <c r="E5" i="17"/>
  <c r="E14" i="17"/>
  <c r="E44" i="17"/>
  <c r="E24" i="17"/>
  <c r="E15" i="17"/>
  <c r="E30" i="17"/>
  <c r="E46" i="17"/>
  <c r="E42" i="17"/>
  <c r="E23" i="17"/>
  <c r="E6" i="17"/>
  <c r="R37" i="17"/>
  <c r="R12" i="17"/>
  <c r="R28" i="17"/>
  <c r="R35" i="17"/>
  <c r="R25" i="17"/>
  <c r="R7" i="17"/>
  <c r="R5" i="17"/>
  <c r="R43" i="17"/>
  <c r="R8" i="17"/>
  <c r="R13" i="17"/>
  <c r="R14" i="17"/>
  <c r="R39" i="17"/>
  <c r="V41" i="17"/>
  <c r="V11" i="17"/>
  <c r="V21" i="17"/>
  <c r="V15" i="17"/>
  <c r="V7" i="17"/>
  <c r="V30" i="17"/>
  <c r="V32" i="17"/>
  <c r="V45" i="17"/>
  <c r="V3" i="17"/>
  <c r="V17" i="17"/>
  <c r="V46" i="17"/>
  <c r="V39" i="17"/>
  <c r="X25" i="17"/>
  <c r="X8" i="17"/>
  <c r="X37" i="17"/>
  <c r="X30" i="17"/>
  <c r="X19" i="17"/>
  <c r="X26" i="17"/>
  <c r="AK3" i="17"/>
  <c r="AK4" i="17"/>
  <c r="AK29" i="17"/>
  <c r="AP30" i="17"/>
  <c r="E41" i="17"/>
  <c r="E19" i="17"/>
  <c r="E39" i="17"/>
  <c r="E11" i="17"/>
  <c r="E38" i="17"/>
  <c r="E29" i="17"/>
  <c r="E18" i="17"/>
  <c r="E40" i="17"/>
  <c r="R31" i="17"/>
  <c r="R40" i="17"/>
  <c r="R6" i="17"/>
  <c r="R22" i="17"/>
  <c r="R11" i="17"/>
  <c r="R15" i="17"/>
  <c r="R9" i="17"/>
  <c r="R10" i="17"/>
  <c r="R2" i="17"/>
  <c r="R17" i="17"/>
  <c r="V2" i="17"/>
  <c r="V4" i="17"/>
  <c r="V10" i="17"/>
  <c r="V19" i="17"/>
  <c r="V37" i="17"/>
  <c r="V24" i="17"/>
  <c r="V9" i="17"/>
  <c r="V31" i="17"/>
  <c r="V38" i="17"/>
  <c r="V27" i="17"/>
  <c r="V34" i="17"/>
  <c r="X29" i="17"/>
  <c r="X41" i="17"/>
  <c r="X44" i="17"/>
  <c r="X47" i="17"/>
  <c r="X23" i="17"/>
  <c r="X7" i="17"/>
  <c r="AK20" i="17"/>
  <c r="AK47" i="17"/>
  <c r="AK27" i="17"/>
  <c r="AU9" i="17"/>
  <c r="AP42" i="17"/>
  <c r="G11" i="17"/>
  <c r="X5" i="17"/>
  <c r="X6" i="17"/>
  <c r="X4" i="17"/>
  <c r="X13" i="17"/>
  <c r="X34" i="17"/>
  <c r="X22" i="17"/>
  <c r="X11" i="17"/>
  <c r="X35" i="17"/>
  <c r="X39" i="17"/>
  <c r="X43" i="17"/>
  <c r="X10" i="17"/>
  <c r="X46" i="17"/>
  <c r="AK7" i="17"/>
  <c r="AK16" i="17"/>
  <c r="AK44" i="17"/>
  <c r="AK12" i="17"/>
  <c r="AK2" i="17"/>
  <c r="AK15" i="17"/>
  <c r="AK11" i="17"/>
  <c r="AK19" i="17"/>
  <c r="AK39" i="17"/>
  <c r="AK38" i="17"/>
  <c r="AK25" i="17"/>
  <c r="AK40" i="17"/>
  <c r="AU8" i="17"/>
  <c r="AU46" i="17"/>
  <c r="AU5" i="17"/>
  <c r="AP41" i="17"/>
  <c r="AP36" i="17"/>
  <c r="AP39" i="17"/>
  <c r="G2" i="17"/>
  <c r="G45" i="17"/>
  <c r="G37" i="17"/>
  <c r="AK17" i="17"/>
  <c r="AK21" i="17"/>
  <c r="AK24" i="17"/>
  <c r="AK41" i="17"/>
  <c r="AK5" i="17"/>
  <c r="AK6" i="17"/>
  <c r="AK26" i="17"/>
  <c r="AK42" i="17"/>
  <c r="AK36" i="17"/>
  <c r="AK18" i="17"/>
  <c r="AK22" i="17"/>
  <c r="AU44" i="17"/>
  <c r="AU26" i="17"/>
  <c r="AP23" i="17"/>
  <c r="AP12" i="17"/>
  <c r="AP19" i="17"/>
  <c r="G13" i="17"/>
  <c r="G41" i="17"/>
  <c r="G43" i="17"/>
  <c r="X17" i="17"/>
  <c r="X38" i="17"/>
  <c r="X21" i="17"/>
  <c r="X16" i="17"/>
  <c r="X2" i="17"/>
  <c r="X3" i="17"/>
  <c r="X31" i="17"/>
  <c r="X36" i="17"/>
  <c r="X48" i="17"/>
  <c r="X33" i="17"/>
  <c r="AK45" i="17"/>
  <c r="AK43" i="17"/>
  <c r="AK14" i="17"/>
  <c r="AK9" i="17"/>
  <c r="AK23" i="17"/>
  <c r="AK33" i="17"/>
  <c r="AK34" i="17"/>
  <c r="AK35" i="17"/>
  <c r="AK31" i="17"/>
  <c r="AK32" i="17"/>
  <c r="AK30" i="17"/>
  <c r="AU34" i="17"/>
  <c r="AU11" i="17"/>
  <c r="AU45" i="17"/>
  <c r="AP2" i="17"/>
  <c r="AP25" i="17"/>
  <c r="AP10" i="17"/>
  <c r="G4" i="17"/>
  <c r="G3" i="17"/>
  <c r="H29" i="17"/>
  <c r="H16" i="17"/>
  <c r="H14" i="17"/>
  <c r="H32" i="17"/>
  <c r="H37" i="17"/>
  <c r="H3" i="17"/>
  <c r="H23" i="17"/>
  <c r="H11" i="17"/>
  <c r="H48" i="17"/>
  <c r="H25" i="17"/>
  <c r="AU20" i="17"/>
  <c r="AU33" i="17"/>
  <c r="AU21" i="17"/>
  <c r="AU24" i="17"/>
  <c r="AU16" i="17"/>
  <c r="AU28" i="17"/>
  <c r="AU39" i="17"/>
  <c r="AU48" i="17"/>
  <c r="AU27" i="17"/>
  <c r="AU18" i="17"/>
  <c r="AU13" i="17"/>
  <c r="AU4" i="17"/>
  <c r="AP22" i="17"/>
  <c r="AP20" i="17"/>
  <c r="AP17" i="17"/>
  <c r="AP46" i="17"/>
  <c r="AP33" i="17"/>
  <c r="AP3" i="17"/>
  <c r="AP34" i="17"/>
  <c r="AP43" i="17"/>
  <c r="AP29" i="17"/>
  <c r="AP9" i="17"/>
  <c r="AP6" i="17"/>
  <c r="AP35" i="17"/>
  <c r="G28" i="17"/>
  <c r="G33" i="17"/>
  <c r="G8" i="17"/>
  <c r="G26" i="17"/>
  <c r="G36" i="17"/>
  <c r="G18" i="17"/>
  <c r="G10" i="17"/>
  <c r="G35" i="17"/>
  <c r="G6" i="17"/>
  <c r="G31" i="17"/>
  <c r="G14" i="17"/>
  <c r="G48" i="17"/>
  <c r="AU17" i="17"/>
  <c r="AU38" i="17"/>
  <c r="AU43" i="17"/>
  <c r="AU14" i="17"/>
  <c r="AU25" i="17"/>
  <c r="AU29" i="17"/>
  <c r="AU6" i="17"/>
  <c r="AU30" i="17"/>
  <c r="AU22" i="17"/>
  <c r="AU37" i="17"/>
  <c r="AU47" i="17"/>
  <c r="AU7" i="17"/>
  <c r="AP8" i="17"/>
  <c r="AP28" i="17"/>
  <c r="AP18" i="17"/>
  <c r="AP27" i="17"/>
  <c r="AP44" i="17"/>
  <c r="AP15" i="17"/>
  <c r="AP47" i="17"/>
  <c r="AP14" i="17"/>
  <c r="AP16" i="17"/>
  <c r="AP32" i="17"/>
  <c r="AP11" i="17"/>
  <c r="G29" i="17"/>
  <c r="G32" i="17"/>
  <c r="G21" i="17"/>
  <c r="G46" i="17"/>
  <c r="G9" i="17"/>
  <c r="G17" i="17"/>
  <c r="G20" i="17"/>
  <c r="G39" i="17"/>
  <c r="G16" i="17"/>
  <c r="G15" i="17"/>
  <c r="G5" i="17"/>
  <c r="G42" i="17"/>
  <c r="AU12" i="17"/>
  <c r="AU19" i="17"/>
  <c r="AU10" i="17"/>
  <c r="AU36" i="17"/>
  <c r="AU41" i="17"/>
  <c r="AU2" i="17"/>
  <c r="AU42" i="17"/>
  <c r="AU32" i="17"/>
  <c r="AU40" i="17"/>
  <c r="AU3" i="17"/>
  <c r="AU23" i="17"/>
  <c r="AP7" i="17"/>
  <c r="AP21" i="17"/>
  <c r="AP40" i="17"/>
  <c r="AP13" i="17"/>
  <c r="AP26" i="17"/>
  <c r="AP24" i="17"/>
  <c r="AP4" i="17"/>
  <c r="AP38" i="17"/>
  <c r="AP48" i="17"/>
  <c r="AP5" i="17"/>
  <c r="AP37" i="17"/>
  <c r="G25" i="17"/>
  <c r="G22" i="17"/>
  <c r="G24" i="17"/>
  <c r="G19" i="17"/>
  <c r="G47" i="17"/>
  <c r="G23" i="17"/>
  <c r="G27" i="17"/>
  <c r="G34" i="17"/>
  <c r="G38" i="17"/>
  <c r="G7" i="17"/>
  <c r="G40" i="17"/>
  <c r="H44" i="17"/>
  <c r="H13" i="17"/>
  <c r="H20" i="17"/>
  <c r="H43" i="17"/>
  <c r="H34" i="17"/>
  <c r="H15" i="17"/>
  <c r="H6" i="17"/>
  <c r="H22" i="17"/>
  <c r="H19" i="17"/>
  <c r="H38" i="17"/>
  <c r="H12" i="17"/>
  <c r="H36" i="17"/>
  <c r="H24" i="17"/>
  <c r="H26" i="17"/>
  <c r="H39" i="17"/>
  <c r="H42" i="17"/>
  <c r="H28" i="17"/>
  <c r="H41" i="17"/>
  <c r="H31" i="17"/>
  <c r="H35" i="17"/>
  <c r="H8" i="17"/>
  <c r="H40" i="17"/>
  <c r="H30" i="17"/>
  <c r="H10" i="17"/>
  <c r="H47" i="17"/>
  <c r="H45" i="17"/>
  <c r="H21" i="17"/>
  <c r="H2" i="17"/>
  <c r="H18" i="17"/>
  <c r="AA9" i="17"/>
  <c r="AA40" i="17"/>
  <c r="AA15" i="17"/>
  <c r="AA32" i="17"/>
  <c r="AA39" i="17"/>
  <c r="AA18" i="17"/>
  <c r="AA48" i="17"/>
  <c r="AA10" i="17"/>
  <c r="AA45" i="17"/>
  <c r="AA25" i="17"/>
  <c r="AA35" i="17"/>
  <c r="AL22" i="17"/>
  <c r="AL27" i="17"/>
  <c r="AL2" i="17"/>
  <c r="AL43" i="17"/>
  <c r="AL9" i="17"/>
  <c r="AL48" i="17"/>
  <c r="AL28" i="17"/>
  <c r="AL41" i="17"/>
  <c r="AL12" i="17"/>
  <c r="AL4" i="17"/>
  <c r="AL6" i="17"/>
  <c r="AL19" i="17"/>
  <c r="AA26" i="17"/>
  <c r="AA5" i="17"/>
  <c r="AA42" i="17"/>
  <c r="AA14" i="17"/>
  <c r="AA4" i="17"/>
  <c r="AA34" i="17"/>
  <c r="AA19" i="17"/>
  <c r="AA30" i="17"/>
  <c r="AA46" i="17"/>
  <c r="AA28" i="17"/>
  <c r="AA44" i="17"/>
  <c r="AL20" i="17"/>
  <c r="AL40" i="17"/>
  <c r="AL5" i="17"/>
  <c r="AL23" i="17"/>
  <c r="AL8" i="17"/>
  <c r="AL42" i="17"/>
  <c r="AL13" i="17"/>
  <c r="AL10" i="17"/>
  <c r="AL24" i="17"/>
  <c r="AL21" i="17"/>
  <c r="AL34" i="17"/>
  <c r="I5" i="19" l="1"/>
  <c r="I8" i="19" s="1"/>
  <c r="I17" i="19" s="1"/>
  <c r="I5" i="18"/>
  <c r="I8" i="18" s="1"/>
  <c r="I17" i="18" s="1"/>
</calcChain>
</file>

<file path=xl/connections.xml><?xml version="1.0" encoding="utf-8"?>
<connections xmlns="http://schemas.openxmlformats.org/spreadsheetml/2006/main">
  <connection id="1" name="?s=edv1" type="6" refreshedVersion="5" background="1" saveData="1">
    <textPr codePage="437" sourceFile="https://stooq.com/q/d/l/?s=edv.us&amp;i=m" comma="1">
      <textFields count="6">
        <textField/>
        <textField type="skip"/>
        <textField type="skip"/>
        <textField type="skip"/>
        <textField/>
        <textField type="skip"/>
      </textFields>
    </textPr>
  </connection>
  <connection id="2" name="?s=edv2" type="6" refreshedVersion="5" background="1" saveData="1">
    <textPr codePage="437" sourceFile="https://stooq.com/q/d/l/?s=edv.us&amp;i=m" comma="1">
      <textFields count="6">
        <textField/>
        <textField type="skip"/>
        <textField type="skip"/>
        <textField type="skip"/>
        <textField/>
        <textField type="skip"/>
      </textFields>
    </textPr>
  </connection>
  <connection id="3" name="history?period1=1201582800&amp;period2=1540267200&amp;interval=1mo&amp;filter=history&amp;frequency=1mo1" type="6" refreshedVersion="5" background="1" saveData="1">
    <textPr codePage="437" sourceFile="https://ca.finance.yahoo.com/quote/EDV/history?period1=1201582800&amp;period2=1540267200&amp;interval=1mo&amp;filter=history&amp;frequency=1mo">
      <textFields>
        <textField/>
      </textFields>
    </textPr>
  </connection>
  <connection id="4" name="history?period1=1201582800&amp;period2=1540267200&amp;interval=1mo&amp;filter=history&amp;frequency=1mo2" type="6" refreshedVersion="5" background="1" saveData="1">
    <textPr codePage="437" sourceFile="https://ca.finance.yahoo.com/quote/EDV/history?period1=1201582800&amp;period2=1540267200&amp;interval=1mo&amp;filter=history&amp;frequency=1mo">
      <textFields>
        <textField/>
      </textFields>
    </textPr>
  </connection>
</connections>
</file>

<file path=xl/sharedStrings.xml><?xml version="1.0" encoding="utf-8"?>
<sst xmlns="http://schemas.openxmlformats.org/spreadsheetml/2006/main" count="1204" uniqueCount="189">
  <si>
    <t>U.S. bond ETFs </t>
  </si>
  <si>
    <t>Treasury/Agency</t>
  </si>
  <si>
    <t>Extended Duration Treasury ETF</t>
  </si>
  <si>
    <t>Intermediate-Term Bond ETF</t>
  </si>
  <si>
    <t>Intermediate-Term Treasury ETF</t>
  </si>
  <si>
    <t>Long-Term Bond ETF</t>
  </si>
  <si>
    <t>Long-Term Treasury ETF</t>
  </si>
  <si>
    <t>Mortgage-Backed Securities ETF</t>
  </si>
  <si>
    <t>Short-Term Bond ETF</t>
  </si>
  <si>
    <t>Short-Term Inflation-Protected Securities ETF</t>
  </si>
  <si>
    <t>Short-Term Treasury ETF</t>
  </si>
  <si>
    <t>Total Bond Market ETF</t>
  </si>
  <si>
    <t>Investment-grade</t>
  </si>
  <si>
    <t>Intermediate-Term Corporate Bond ETF</t>
  </si>
  <si>
    <t>Long-Term Corporate Bond ETF</t>
  </si>
  <si>
    <t>Short-Term Corporate Bond ETF</t>
  </si>
  <si>
    <t>Total Corporate Bond ETF</t>
  </si>
  <si>
    <t>Tax-exempt</t>
  </si>
  <si>
    <t>Tax-Exempt Bond ETF</t>
  </si>
  <si>
    <t>U.S. stock ETFs </t>
  </si>
  <si>
    <t>Large-cap</t>
  </si>
  <si>
    <t>Dividend Appreciation ETF</t>
  </si>
  <si>
    <t>ESG U.S. Stock ETF</t>
  </si>
  <si>
    <t>Growth ETF</t>
  </si>
  <si>
    <t>High Dividend Yield ETF</t>
  </si>
  <si>
    <t>Large-Cap ETF</t>
  </si>
  <si>
    <t>Mega Cap ETF</t>
  </si>
  <si>
    <t>Mega Cap Growth ETF</t>
  </si>
  <si>
    <t>Mega Cap Value ETF</t>
  </si>
  <si>
    <t>S&amp;P 500 ETF</t>
  </si>
  <si>
    <t>Total Stock Market ETF</t>
  </si>
  <si>
    <t>Value ETF</t>
  </si>
  <si>
    <t>Mid-cap</t>
  </si>
  <si>
    <t>Extended Market ETF</t>
  </si>
  <si>
    <t>Mid-Cap ETF</t>
  </si>
  <si>
    <t>Mid-Cap Growth ETF</t>
  </si>
  <si>
    <t>Mid-Cap Value ETF</t>
  </si>
  <si>
    <t>Small-cap</t>
  </si>
  <si>
    <t>Small-Cap ETF</t>
  </si>
  <si>
    <t>Small-Cap Growth ETF</t>
  </si>
  <si>
    <t>Small-Cap Value ETF</t>
  </si>
  <si>
    <t>International bond ETFs </t>
  </si>
  <si>
    <t>Global</t>
  </si>
  <si>
    <t>Total World Bond ETF</t>
  </si>
  <si>
    <t>International</t>
  </si>
  <si>
    <t>Total International Bond ETF</t>
  </si>
  <si>
    <t>Emerging markets</t>
  </si>
  <si>
    <t>Emerging Markets Government Bond ETF</t>
  </si>
  <si>
    <t>International stock ETFs </t>
  </si>
  <si>
    <t>Total World Stock ETF</t>
  </si>
  <si>
    <t>ESG International Stock ETF</t>
  </si>
  <si>
    <t>FTSE All-World ex-US ETF</t>
  </si>
  <si>
    <t>FTSE All-World ex-US Small-Cap ETF</t>
  </si>
  <si>
    <t>FTSE Developed Markets ETF</t>
  </si>
  <si>
    <t>FTSE Europe ETF</t>
  </si>
  <si>
    <t>FTSE Pacific ETF</t>
  </si>
  <si>
    <t>Global ex-U.S. Real Estate ETF</t>
  </si>
  <si>
    <t>International Dividend Appreciation ETF</t>
  </si>
  <si>
    <t>International High Dividend Yield ETF</t>
  </si>
  <si>
    <t>Total International Stock ETF</t>
  </si>
  <si>
    <t>FTSE Emerging Markets ETF</t>
  </si>
  <si>
    <t>Sector &amp; specialty ETFs </t>
  </si>
  <si>
    <t>Communication Services ETF</t>
  </si>
  <si>
    <t>Consumer Discretionary ETF</t>
  </si>
  <si>
    <t>Consumer Staples ETF</t>
  </si>
  <si>
    <t>Energy ETF</t>
  </si>
  <si>
    <t>Financials ETF</t>
  </si>
  <si>
    <t>Health Care ETF</t>
  </si>
  <si>
    <t>Industrials ETF</t>
  </si>
  <si>
    <t>Information Technology ETF</t>
  </si>
  <si>
    <t>Materials ETF</t>
  </si>
  <si>
    <t>Real Estate ETF</t>
  </si>
  <si>
    <t>Utilities ETF</t>
  </si>
  <si>
    <t>EDV</t>
  </si>
  <si>
    <t>BIV</t>
  </si>
  <si>
    <t>VGIT</t>
  </si>
  <si>
    <t>BLV</t>
  </si>
  <si>
    <t>VGLT</t>
  </si>
  <si>
    <t>VMBS</t>
  </si>
  <si>
    <t>BSV</t>
  </si>
  <si>
    <t>VGSH</t>
  </si>
  <si>
    <t>BND</t>
  </si>
  <si>
    <t>VCIT</t>
  </si>
  <si>
    <t>VCLT</t>
  </si>
  <si>
    <t>VCSH</t>
  </si>
  <si>
    <t>VTEB</t>
  </si>
  <si>
    <t>VIG</t>
  </si>
  <si>
    <t>ESGV</t>
  </si>
  <si>
    <t>VUG</t>
  </si>
  <si>
    <t>VYM</t>
  </si>
  <si>
    <t>VV</t>
  </si>
  <si>
    <t>MGC</t>
  </si>
  <si>
    <t>MGK</t>
  </si>
  <si>
    <t>MGV</t>
  </si>
  <si>
    <t>VOO</t>
  </si>
  <si>
    <t>VTI</t>
  </si>
  <si>
    <t>VTV</t>
  </si>
  <si>
    <t>VXF</t>
  </si>
  <si>
    <t>VOT</t>
  </si>
  <si>
    <t>VOE</t>
  </si>
  <si>
    <t>VB</t>
  </si>
  <si>
    <t>VBK</t>
  </si>
  <si>
    <t>VBR</t>
  </si>
  <si>
    <t>BNDW</t>
  </si>
  <si>
    <t>BNDX</t>
  </si>
  <si>
    <t>VWOB</t>
  </si>
  <si>
    <t>VT</t>
  </si>
  <si>
    <t>VSGX</t>
  </si>
  <si>
    <t>VEU</t>
  </si>
  <si>
    <t>VSS</t>
  </si>
  <si>
    <t>VEA</t>
  </si>
  <si>
    <t>VGK</t>
  </si>
  <si>
    <t>VPL</t>
  </si>
  <si>
    <t>VNQI</t>
  </si>
  <si>
    <t>VIGI</t>
  </si>
  <si>
    <t>VYMI</t>
  </si>
  <si>
    <t>VXUS</t>
  </si>
  <si>
    <t>VOX</t>
  </si>
  <si>
    <t>VCR</t>
  </si>
  <si>
    <t>VDC</t>
  </si>
  <si>
    <t>VDE</t>
  </si>
  <si>
    <t>VFH</t>
  </si>
  <si>
    <t>VHT</t>
  </si>
  <si>
    <t>VIS</t>
  </si>
  <si>
    <t>VGT</t>
  </si>
  <si>
    <t>VAW</t>
  </si>
  <si>
    <t>VNQ</t>
  </si>
  <si>
    <t>VPU</t>
  </si>
  <si>
    <t xml:space="preserve">Ticker  </t>
  </si>
  <si>
    <t>Name</t>
  </si>
  <si>
    <t>Asset Class</t>
  </si>
  <si>
    <t>Subclass</t>
  </si>
  <si>
    <t>Date</t>
  </si>
  <si>
    <t>Mkt-RF</t>
  </si>
  <si>
    <t>SMB</t>
  </si>
  <si>
    <t>HML</t>
  </si>
  <si>
    <t>RMW</t>
  </si>
  <si>
    <t>CMA</t>
  </si>
  <si>
    <t>RF</t>
  </si>
  <si>
    <t>d1</t>
  </si>
  <si>
    <t>d2</t>
  </si>
  <si>
    <t>VTIP</t>
  </si>
  <si>
    <t>VTC</t>
  </si>
  <si>
    <t>Int</t>
  </si>
  <si>
    <t>LINEST</t>
  </si>
  <si>
    <t>MMULT</t>
  </si>
  <si>
    <t>Average</t>
  </si>
  <si>
    <t>RFR</t>
  </si>
  <si>
    <t>CoE</t>
  </si>
  <si>
    <t>VOO (Mkt)</t>
  </si>
  <si>
    <t>Sharpe (Annualized)</t>
  </si>
  <si>
    <t>Avg Return (Monthly)</t>
  </si>
  <si>
    <t>Volatility (Monthly)</t>
  </si>
  <si>
    <t>Beta</t>
  </si>
  <si>
    <t>Average RFR (Monthly)</t>
  </si>
  <si>
    <t>Treynor (Annualized)</t>
  </si>
  <si>
    <t>Cost of Equity</t>
  </si>
  <si>
    <t>Intercept</t>
  </si>
  <si>
    <t>Fund Stats</t>
  </si>
  <si>
    <t>Tracking Error</t>
  </si>
  <si>
    <t>General Stats</t>
  </si>
  <si>
    <t>Month Annualization Factor</t>
  </si>
  <si>
    <t>Portfolio Stats</t>
  </si>
  <si>
    <t>Standard Error</t>
  </si>
  <si>
    <t>IR (Annualized)</t>
  </si>
  <si>
    <t># of Observations</t>
  </si>
  <si>
    <t>Correl Matrix</t>
  </si>
  <si>
    <t>Covar Matrix</t>
  </si>
  <si>
    <t>Weights Array</t>
  </si>
  <si>
    <t>Portfolio</t>
  </si>
  <si>
    <t>Portfolio Var</t>
  </si>
  <si>
    <t>Portfolio SD</t>
  </si>
  <si>
    <t>Ticker</t>
  </si>
  <si>
    <t>Weight</t>
  </si>
  <si>
    <t>Weighted Return</t>
  </si>
  <si>
    <t>Sum o/ Portfolio Weights</t>
  </si>
  <si>
    <t>Portfolio E('r)</t>
  </si>
  <si>
    <t>Portfolio Sharpe</t>
  </si>
  <si>
    <t>Efficient Frontier</t>
  </si>
  <si>
    <t>E('r)</t>
  </si>
  <si>
    <t>SD</t>
  </si>
  <si>
    <t>Sum</t>
  </si>
  <si>
    <t>Investment</t>
  </si>
  <si>
    <t>Dollar Terms</t>
  </si>
  <si>
    <t>Total</t>
  </si>
  <si>
    <t># of Shares</t>
  </si>
  <si>
    <t>Most Recent Px</t>
  </si>
  <si>
    <t>VOO2</t>
  </si>
  <si>
    <t>VWOB3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</si>
</sst>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mm/dd/yyyy"/>
    <numFmt numFmtId="165" formatCode="0.00000000"/>
    <numFmt numFmtId="166" formatCode="0.0%"/>
    <numFmt numFmtId="167" formatCode="_(* #,##0.000_);_(* \(#,##0.000\);_(* &quot;-&quot;??_);_(@_)"/>
    <numFmt numFmtId="168" formatCode="_([$$-409]* #,##0.00_);_([$$-409]* \(#,##0.00\);_([$$-409]* &quot;-&quot;??_);_(@_)"/>
  </numFmts>
  <fonts count="7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0" xfId="0" applyBorder="1"/>
    <xf numFmtId="164" fontId="0" fillId="0" borderId="0" xfId="0" applyNumberFormat="1" applyBorder="1"/>
    <xf numFmtId="10" fontId="0" fillId="0" borderId="0" xfId="1" applyNumberFormat="1" applyFont="1" applyBorder="1"/>
    <xf numFmtId="0" fontId="0" fillId="0" borderId="2" xfId="0" applyBorder="1"/>
    <xf numFmtId="0" fontId="0" fillId="0" borderId="3" xfId="0" applyBorder="1"/>
    <xf numFmtId="0" fontId="0" fillId="0" borderId="0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NumberFormat="1"/>
    <xf numFmtId="0" fontId="0" fillId="0" borderId="8" xfId="0" applyBorder="1"/>
    <xf numFmtId="10" fontId="0" fillId="0" borderId="9" xfId="1" applyNumberFormat="1" applyFont="1" applyBorder="1"/>
    <xf numFmtId="166" fontId="0" fillId="0" borderId="0" xfId="1" applyNumberFormat="1" applyFont="1"/>
    <xf numFmtId="43" fontId="0" fillId="0" borderId="0" xfId="2" applyFont="1"/>
    <xf numFmtId="0" fontId="0" fillId="0" borderId="0" xfId="0" quotePrefix="1" applyBorder="1"/>
    <xf numFmtId="0" fontId="2" fillId="0" borderId="0" xfId="0" applyFont="1" applyBorder="1"/>
    <xf numFmtId="0" fontId="2" fillId="0" borderId="0" xfId="0" applyFont="1"/>
    <xf numFmtId="10" fontId="0" fillId="0" borderId="0" xfId="0" applyNumberFormat="1" applyBorder="1"/>
    <xf numFmtId="166" fontId="0" fillId="0" borderId="0" xfId="1" applyNumberFormat="1" applyFont="1" applyBorder="1"/>
    <xf numFmtId="43" fontId="0" fillId="0" borderId="0" xfId="2" applyFont="1" applyBorder="1"/>
    <xf numFmtId="9" fontId="0" fillId="0" borderId="0" xfId="1" applyFont="1" applyBorder="1"/>
    <xf numFmtId="0" fontId="0" fillId="0" borderId="0" xfId="0" applyFill="1" applyBorder="1"/>
    <xf numFmtId="0" fontId="0" fillId="0" borderId="0" xfId="0" applyFill="1" applyBorder="1" applyAlignment="1"/>
    <xf numFmtId="0" fontId="0" fillId="0" borderId="3" xfId="0" applyFill="1" applyBorder="1" applyAlignment="1"/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right"/>
    </xf>
    <xf numFmtId="167" fontId="0" fillId="0" borderId="0" xfId="2" applyNumberFormat="1" applyFont="1"/>
    <xf numFmtId="166" fontId="4" fillId="0" borderId="0" xfId="1" applyNumberFormat="1" applyFont="1"/>
    <xf numFmtId="168" fontId="5" fillId="0" borderId="0" xfId="2" applyNumberFormat="1" applyFont="1" applyFill="1" applyBorder="1" applyAlignment="1">
      <alignment horizontal="right"/>
    </xf>
    <xf numFmtId="0" fontId="5" fillId="0" borderId="0" xfId="0" applyFont="1"/>
    <xf numFmtId="166" fontId="5" fillId="0" borderId="0" xfId="1" applyNumberFormat="1" applyFont="1" applyFill="1" applyBorder="1" applyAlignment="1">
      <alignment horizontal="right"/>
    </xf>
    <xf numFmtId="43" fontId="4" fillId="0" borderId="0" xfId="2" applyFont="1" applyFill="1" applyBorder="1" applyAlignment="1">
      <alignment horizontal="right"/>
    </xf>
    <xf numFmtId="43" fontId="6" fillId="0" borderId="0" xfId="0" applyNumberFormat="1" applyFont="1" applyFill="1" applyAlignment="1">
      <alignment horizontal="right"/>
    </xf>
    <xf numFmtId="166" fontId="6" fillId="0" borderId="0" xfId="1" applyNumberFormat="1" applyFont="1" applyFill="1" applyAlignment="1">
      <alignment horizontal="right"/>
    </xf>
    <xf numFmtId="165" fontId="0" fillId="0" borderId="0" xfId="0" applyNumberFormat="1" applyBorder="1"/>
  </cellXfs>
  <cellStyles count="3">
    <cellStyle name="Comma" xfId="2" builtinId="3"/>
    <cellStyle name="Normal" xfId="0" builtinId="0"/>
    <cellStyle name="Percent" xfId="1" builtinId="5"/>
  </cellStyles>
  <dxfs count="31"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'prod-GMVP'!$M$2</c:f>
              <c:strCache>
                <c:ptCount val="1"/>
                <c:pt idx="0">
                  <c:v>E('r)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'prod-GMVP'!$L$3:$L$11</c:f>
              <c:numCache>
                <c:formatCode>General</c:formatCode>
                <c:ptCount val="9"/>
                <c:pt idx="0">
                  <c:v>4.1820822857089823E-2</c:v>
                </c:pt>
                <c:pt idx="1">
                  <c:v>3.8437143344045792E-2</c:v>
                </c:pt>
                <c:pt idx="2">
                  <c:v>3.5961429085970775E-2</c:v>
                </c:pt>
                <c:pt idx="3">
                  <c:v>3.4504349640592229E-2</c:v>
                </c:pt>
                <c:pt idx="4">
                  <c:v>3.4039678522737135E-2</c:v>
                </c:pt>
                <c:pt idx="5">
                  <c:v>3.4459913717676816E-2</c:v>
                </c:pt>
                <c:pt idx="6">
                  <c:v>3.56549881328743E-2</c:v>
                </c:pt>
                <c:pt idx="7">
                  <c:v>3.7989438521846865E-2</c:v>
                </c:pt>
                <c:pt idx="8">
                  <c:v>4.1629523644585505E-2</c:v>
                </c:pt>
              </c:numCache>
            </c:numRef>
          </c:xVal>
          <c:yVal>
            <c:numRef>
              <c:f>'prod-GMVP'!$M$3:$M$11</c:f>
              <c:numCache>
                <c:formatCode>0.0%</c:formatCode>
                <c:ptCount val="9"/>
                <c:pt idx="0">
                  <c:v>1.4999999999999999E-2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4.9999999999999996E-2</c:v>
                </c:pt>
                <c:pt idx="8">
                  <c:v>5.4999999999999993E-2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71648"/>
        <c:axId val="477469296"/>
      </c:scatterChart>
      <c:valAx>
        <c:axId val="47747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9296"/>
        <c:crosses val="autoZero"/>
        <c:crossBetween val="midCat"/>
      </c:valAx>
      <c:valAx>
        <c:axId val="47746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7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'prod-GMVPValues'!$M$2</c:f>
              <c:strCache>
                <c:ptCount val="1"/>
                <c:pt idx="0">
                  <c:v>E('r)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'prod-GMVPValues'!$L$3:$L$11</c:f>
              <c:numCache>
                <c:formatCode>General</c:formatCode>
                <c:ptCount val="9"/>
                <c:pt idx="0">
                  <c:v>4.1820822857089823E-2</c:v>
                </c:pt>
                <c:pt idx="1">
                  <c:v>3.8437143344045792E-2</c:v>
                </c:pt>
                <c:pt idx="2">
                  <c:v>3.5961429085970775E-2</c:v>
                </c:pt>
                <c:pt idx="3">
                  <c:v>3.4504349640592229E-2</c:v>
                </c:pt>
                <c:pt idx="4">
                  <c:v>3.4039678522737135E-2</c:v>
                </c:pt>
                <c:pt idx="5">
                  <c:v>3.4459913717676816E-2</c:v>
                </c:pt>
                <c:pt idx="6">
                  <c:v>3.56549881328743E-2</c:v>
                </c:pt>
                <c:pt idx="7">
                  <c:v>3.7989438521846865E-2</c:v>
                </c:pt>
                <c:pt idx="8">
                  <c:v>4.1629523644585505E-2</c:v>
                </c:pt>
              </c:numCache>
            </c:numRef>
          </c:xVal>
          <c:yVal>
            <c:numRef>
              <c:f>'prod-GMVPValues'!$M$3:$M$11</c:f>
              <c:numCache>
                <c:formatCode>0.0%</c:formatCode>
                <c:ptCount val="9"/>
                <c:pt idx="0">
                  <c:v>1.4999999999999999E-2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4.9999999999999996E-2</c:v>
                </c:pt>
                <c:pt idx="8">
                  <c:v>5.4999999999999993E-2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84744"/>
        <c:axId val="782602464"/>
      </c:scatterChart>
      <c:valAx>
        <c:axId val="136984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602464"/>
        <c:crosses val="autoZero"/>
        <c:crossBetween val="midCat"/>
      </c:valAx>
      <c:valAx>
        <c:axId val="78260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15</xdr:row>
      <xdr:rowOff>90487</xdr:rowOff>
    </xdr:from>
    <xdr:to>
      <xdr:col>18</xdr:col>
      <xdr:colOff>457200</xdr:colOff>
      <xdr:row>30</xdr:row>
      <xdr:rowOff>119062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15</xdr:row>
      <xdr:rowOff>90487</xdr:rowOff>
    </xdr:from>
    <xdr:to>
      <xdr:col>18</xdr:col>
      <xdr:colOff>457200</xdr:colOff>
      <xdr:row>30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VanguardETFList" displayName="VanguardETFList" ref="A1:D60" totalsRowShown="0">
  <autoFilter ref="A1:D60"/>
  <tableColumns count="4">
    <tableColumn id="4" name="Ticker  "/>
    <tableColumn id="5" name="Name"/>
    <tableColumn id="6" name="Asset Class"/>
    <tableColumn id="7" name="Subcla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:G669" totalsRowShown="0">
  <autoFilter ref="A1:G669"/>
  <sortState ref="A2:G669">
    <sortCondition descending="1" ref="A1:A669"/>
  </sortState>
  <tableColumns count="7">
    <tableColumn id="1" name="Date" dataDxfId="1"/>
    <tableColumn id="2" name="Mkt-RF"/>
    <tableColumn id="3" name="SMB"/>
    <tableColumn id="4" name="HML"/>
    <tableColumn id="5" name="RMW"/>
    <tableColumn id="6" name="CMA"/>
    <tableColumn id="7" name="R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H96" totalsRowShown="0">
  <autoFilter ref="A1:H96"/>
  <sortState ref="A2:G133">
    <sortCondition descending="1" ref="A1:A133"/>
  </sortState>
  <tableColumns count="8">
    <tableColumn id="1" name="Date"/>
    <tableColumn id="8" name="Int" dataDxfId="30"/>
    <tableColumn id="2" name="Mkt-RF" dataDxfId="0">
      <calculatedColumnFormula>Table7[[#This Row],[Mkt-RF]]/100</calculatedColumnFormula>
    </tableColumn>
    <tableColumn id="3" name="SMB">
      <calculatedColumnFormula>Table7[[#This Row],[Mkt-RF]]/100</calculatedColumnFormula>
    </tableColumn>
    <tableColumn id="4" name="HML">
      <calculatedColumnFormula>Table7[[#This Row],[Mkt-RF]]/100</calculatedColumnFormula>
    </tableColumn>
    <tableColumn id="5" name="RMW">
      <calculatedColumnFormula>Table7[[#This Row],[Mkt-RF]]/100</calculatedColumnFormula>
    </tableColumn>
    <tableColumn id="6" name="CMA">
      <calculatedColumnFormula>Table7[[#This Row],[Mkt-RF]]/100</calculatedColumnFormula>
    </tableColumn>
    <tableColumn id="7" name="RF">
      <calculatedColumnFormula>Table7[[#This Row],[Mkt-RF]]/100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7:AW17" totalsRowShown="0">
  <autoFilter ref="A7:AW17"/>
  <tableColumns count="49">
    <tableColumn id="1" name="Fund Stats"/>
    <tableColumn id="2" name="VOO (Mkt)"/>
    <tableColumn id="3" name="EDV"/>
    <tableColumn id="4" name="BIV"/>
    <tableColumn id="5" name="VGIT"/>
    <tableColumn id="6" name="BLV"/>
    <tableColumn id="7" name="VGLT"/>
    <tableColumn id="8" name="VMBS"/>
    <tableColumn id="9" name="BSV"/>
    <tableColumn id="10" name="VGSH"/>
    <tableColumn id="11" name="BND"/>
    <tableColumn id="12" name="VCIT"/>
    <tableColumn id="13" name="VCLT"/>
    <tableColumn id="14" name="VCSH"/>
    <tableColumn id="15" name="VIG"/>
    <tableColumn id="16" name="VUG"/>
    <tableColumn id="17" name="VYM"/>
    <tableColumn id="18" name="VV"/>
    <tableColumn id="19" name="MGC"/>
    <tableColumn id="20" name="MGK"/>
    <tableColumn id="21" name="MGV"/>
    <tableColumn id="22" name="VOO"/>
    <tableColumn id="23" name="VTI"/>
    <tableColumn id="24" name="VTV"/>
    <tableColumn id="25" name="VXF"/>
    <tableColumn id="26" name="VOT"/>
    <tableColumn id="27" name="VOE"/>
    <tableColumn id="28" name="VB"/>
    <tableColumn id="29" name="VBK"/>
    <tableColumn id="30" name="VBR"/>
    <tableColumn id="31" name="VT"/>
    <tableColumn id="32" name="VEU"/>
    <tableColumn id="33" name="VSS"/>
    <tableColumn id="34" name="VEA"/>
    <tableColumn id="35" name="VGK"/>
    <tableColumn id="36" name="VPL"/>
    <tableColumn id="37" name="VNQI"/>
    <tableColumn id="38" name="VXUS"/>
    <tableColumn id="39" name="VOX"/>
    <tableColumn id="40" name="VCR"/>
    <tableColumn id="41" name="VDC"/>
    <tableColumn id="42" name="VDE"/>
    <tableColumn id="43" name="VFH"/>
    <tableColumn id="44" name="VHT"/>
    <tableColumn id="45" name="VIS"/>
    <tableColumn id="46" name="VGT"/>
    <tableColumn id="47" name="VAW"/>
    <tableColumn id="48" name="VNQ"/>
    <tableColumn id="49" name="VPU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G49" totalsRowCount="1" totalsRowDxfId="29">
  <autoFilter ref="A1:G48"/>
  <tableColumns count="7">
    <tableColumn id="1" name="Ticker" totalsRowLabel="Total" totalsRowDxfId="28"/>
    <tableColumn id="2" name="# of Shares" totalsRowFunction="sum" dataDxfId="27" totalsRowDxfId="26" dataCellStyle="Comma"/>
    <tableColumn id="3" name="Most Recent Px" totalsRowFunction="sum" dataDxfId="25" totalsRowDxfId="24" dataCellStyle="Comma"/>
    <tableColumn id="4" name="Dollar Terms" totalsRowFunction="sum" dataDxfId="23" totalsRowDxfId="22" dataCellStyle="Comma">
      <calculatedColumnFormula>B2*C2</calculatedColumnFormula>
    </tableColumn>
    <tableColumn id="5" name="Weight" totalsRowFunction="sum" dataDxfId="21" totalsRowDxfId="20" dataCellStyle="Percent">
      <calculatedColumnFormula>D2/$I$20</calculatedColumnFormula>
    </tableColumn>
    <tableColumn id="6" name="CoE" totalsRowFunction="sum" dataDxfId="19" totalsRowDxfId="18" dataCellStyle="Percent"/>
    <tableColumn id="7" name="Weighted Return" totalsRowFunction="sum" dataDxfId="17" totalsRowDxfId="16" dataCellStyle="Percent">
      <calculatedColumnFormula>E2*F2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5" name="Table16" displayName="Table16" ref="A1:G49" totalsRowCount="1" totalsRowDxfId="15">
  <autoFilter ref="A1:G48"/>
  <tableColumns count="7">
    <tableColumn id="1" name="Ticker" totalsRowLabel="Total" totalsRowDxfId="14"/>
    <tableColumn id="2" name="# of Shares" totalsRowFunction="sum" dataDxfId="13" totalsRowDxfId="12" dataCellStyle="Comma"/>
    <tableColumn id="3" name="Most Recent Px" totalsRowFunction="sum" dataDxfId="11" totalsRowDxfId="10" dataCellStyle="Comma"/>
    <tableColumn id="4" name="Dollar Terms" totalsRowFunction="sum" dataDxfId="9" totalsRowDxfId="8" dataCellStyle="Comma">
      <calculatedColumnFormula>B2*C2</calculatedColumnFormula>
    </tableColumn>
    <tableColumn id="5" name="Weight" totalsRowFunction="sum" dataDxfId="7" totalsRowDxfId="6" dataCellStyle="Percent">
      <calculatedColumnFormula>D2/$I$20</calculatedColumnFormula>
    </tableColumn>
    <tableColumn id="6" name="CoE" totalsRowFunction="sum" dataDxfId="5" totalsRowDxfId="4" dataCellStyle="Percent"/>
    <tableColumn id="7" name="Weighted Return" totalsRowFunction="sum" dataDxfId="3" totalsRowDxfId="2" dataCellStyle="Percent">
      <calculatedColumnFormula>E2*F2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A1:B2"/>
  <sheetViews>
    <sheetView showGridLines="0" workbookViewId="0">
      <selection activeCell="B1" sqref="B1"/>
    </sheetView>
  </sheetViews>
  <sheetFormatPr defaultRowHeight="14.25" x14ac:dyDescent="0.2"/>
  <cols>
    <col min="2" max="2" width="9.875" bestFit="1" customWidth="1"/>
  </cols>
  <sheetData>
    <row r="1" spans="1:2" x14ac:dyDescent="0.2">
      <c r="A1" t="s">
        <v>139</v>
      </c>
      <c r="B1" s="1">
        <v>40574</v>
      </c>
    </row>
    <row r="2" spans="1:2" x14ac:dyDescent="0.2">
      <c r="A2" t="s">
        <v>140</v>
      </c>
      <c r="B2" s="1">
        <v>43555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D60"/>
  <sheetViews>
    <sheetView showGridLines="0" topLeftCell="A18" workbookViewId="0">
      <selection activeCell="A2" sqref="A2:A60"/>
    </sheetView>
  </sheetViews>
  <sheetFormatPr defaultRowHeight="14.25" x14ac:dyDescent="0.2"/>
  <cols>
    <col min="1" max="1" width="4.875" customWidth="1"/>
    <col min="2" max="2" width="38.125" bestFit="1" customWidth="1"/>
    <col min="3" max="3" width="21" bestFit="1" customWidth="1"/>
    <col min="4" max="4" width="20.875" bestFit="1" customWidth="1"/>
  </cols>
  <sheetData>
    <row r="1" spans="1:4" x14ac:dyDescent="0.2">
      <c r="A1" t="s">
        <v>128</v>
      </c>
      <c r="B1" t="s">
        <v>129</v>
      </c>
      <c r="C1" t="s">
        <v>130</v>
      </c>
      <c r="D1" t="s">
        <v>131</v>
      </c>
    </row>
    <row r="2" spans="1:4" x14ac:dyDescent="0.2">
      <c r="A2" t="s">
        <v>74</v>
      </c>
      <c r="B2" t="s">
        <v>3</v>
      </c>
      <c r="C2" t="s">
        <v>0</v>
      </c>
      <c r="D2" t="s">
        <v>1</v>
      </c>
    </row>
    <row r="3" spans="1:4" x14ac:dyDescent="0.2">
      <c r="A3" t="s">
        <v>76</v>
      </c>
      <c r="B3" t="s">
        <v>5</v>
      </c>
      <c r="C3" t="s">
        <v>0</v>
      </c>
      <c r="D3" t="s">
        <v>1</v>
      </c>
    </row>
    <row r="4" spans="1:4" x14ac:dyDescent="0.2">
      <c r="A4" t="s">
        <v>81</v>
      </c>
      <c r="B4" t="s">
        <v>11</v>
      </c>
      <c r="C4" t="s">
        <v>0</v>
      </c>
      <c r="D4" t="s">
        <v>1</v>
      </c>
    </row>
    <row r="5" spans="1:4" x14ac:dyDescent="0.2">
      <c r="A5" t="s">
        <v>103</v>
      </c>
      <c r="B5" t="s">
        <v>43</v>
      </c>
      <c r="C5" t="s">
        <v>41</v>
      </c>
      <c r="D5" t="s">
        <v>42</v>
      </c>
    </row>
    <row r="6" spans="1:4" x14ac:dyDescent="0.2">
      <c r="A6" t="s">
        <v>104</v>
      </c>
      <c r="B6" t="s">
        <v>45</v>
      </c>
      <c r="C6" t="s">
        <v>41</v>
      </c>
      <c r="D6" t="s">
        <v>44</v>
      </c>
    </row>
    <row r="7" spans="1:4" x14ac:dyDescent="0.2">
      <c r="A7" t="s">
        <v>79</v>
      </c>
      <c r="B7" t="s">
        <v>8</v>
      </c>
      <c r="C7" t="s">
        <v>0</v>
      </c>
      <c r="D7" t="s">
        <v>1</v>
      </c>
    </row>
    <row r="8" spans="1:4" x14ac:dyDescent="0.2">
      <c r="A8" t="s">
        <v>73</v>
      </c>
      <c r="B8" t="s">
        <v>2</v>
      </c>
      <c r="C8" t="s">
        <v>0</v>
      </c>
      <c r="D8" t="s">
        <v>1</v>
      </c>
    </row>
    <row r="9" spans="1:4" x14ac:dyDescent="0.2">
      <c r="A9" t="s">
        <v>87</v>
      </c>
      <c r="B9" t="s">
        <v>22</v>
      </c>
      <c r="C9" t="s">
        <v>19</v>
      </c>
      <c r="D9" t="s">
        <v>20</v>
      </c>
    </row>
    <row r="10" spans="1:4" x14ac:dyDescent="0.2">
      <c r="A10" t="s">
        <v>91</v>
      </c>
      <c r="B10" t="s">
        <v>26</v>
      </c>
      <c r="C10" t="s">
        <v>19</v>
      </c>
      <c r="D10" t="s">
        <v>20</v>
      </c>
    </row>
    <row r="11" spans="1:4" x14ac:dyDescent="0.2">
      <c r="A11" t="s">
        <v>92</v>
      </c>
      <c r="B11" t="s">
        <v>27</v>
      </c>
      <c r="C11" t="s">
        <v>19</v>
      </c>
      <c r="D11" t="s">
        <v>20</v>
      </c>
    </row>
    <row r="12" spans="1:4" x14ac:dyDescent="0.2">
      <c r="A12" t="s">
        <v>93</v>
      </c>
      <c r="B12" t="s">
        <v>28</v>
      </c>
      <c r="C12" t="s">
        <v>19</v>
      </c>
      <c r="D12" t="s">
        <v>20</v>
      </c>
    </row>
    <row r="13" spans="1:4" x14ac:dyDescent="0.2">
      <c r="A13" t="s">
        <v>125</v>
      </c>
      <c r="B13" t="s">
        <v>70</v>
      </c>
      <c r="C13" t="s">
        <v>61</v>
      </c>
      <c r="D13" t="s">
        <v>61</v>
      </c>
    </row>
    <row r="14" spans="1:4" x14ac:dyDescent="0.2">
      <c r="A14" t="s">
        <v>100</v>
      </c>
      <c r="B14" t="s">
        <v>38</v>
      </c>
      <c r="C14" t="s">
        <v>19</v>
      </c>
      <c r="D14" t="s">
        <v>37</v>
      </c>
    </row>
    <row r="15" spans="1:4" x14ac:dyDescent="0.2">
      <c r="A15" t="s">
        <v>101</v>
      </c>
      <c r="B15" t="s">
        <v>39</v>
      </c>
      <c r="C15" t="s">
        <v>19</v>
      </c>
      <c r="D15" t="s">
        <v>37</v>
      </c>
    </row>
    <row r="16" spans="1:4" x14ac:dyDescent="0.2">
      <c r="A16" t="s">
        <v>102</v>
      </c>
      <c r="B16" t="s">
        <v>40</v>
      </c>
      <c r="C16" t="s">
        <v>19</v>
      </c>
      <c r="D16" t="s">
        <v>37</v>
      </c>
    </row>
    <row r="17" spans="1:4" x14ac:dyDescent="0.2">
      <c r="A17" t="s">
        <v>82</v>
      </c>
      <c r="B17" t="s">
        <v>13</v>
      </c>
      <c r="C17" t="s">
        <v>0</v>
      </c>
      <c r="D17" t="s">
        <v>12</v>
      </c>
    </row>
    <row r="18" spans="1:4" x14ac:dyDescent="0.2">
      <c r="A18" t="s">
        <v>83</v>
      </c>
      <c r="B18" t="s">
        <v>14</v>
      </c>
      <c r="C18" t="s">
        <v>0</v>
      </c>
      <c r="D18" t="s">
        <v>12</v>
      </c>
    </row>
    <row r="19" spans="1:4" x14ac:dyDescent="0.2">
      <c r="A19" t="s">
        <v>118</v>
      </c>
      <c r="B19" t="s">
        <v>63</v>
      </c>
      <c r="C19" t="s">
        <v>61</v>
      </c>
      <c r="D19" t="s">
        <v>61</v>
      </c>
    </row>
    <row r="20" spans="1:4" x14ac:dyDescent="0.2">
      <c r="A20" t="s">
        <v>84</v>
      </c>
      <c r="B20" t="s">
        <v>15</v>
      </c>
      <c r="C20" t="s">
        <v>0</v>
      </c>
      <c r="D20" t="s">
        <v>12</v>
      </c>
    </row>
    <row r="21" spans="1:4" x14ac:dyDescent="0.2">
      <c r="A21" t="s">
        <v>119</v>
      </c>
      <c r="B21" t="s">
        <v>64</v>
      </c>
      <c r="C21" t="s">
        <v>61</v>
      </c>
      <c r="D21" t="s">
        <v>61</v>
      </c>
    </row>
    <row r="22" spans="1:4" x14ac:dyDescent="0.2">
      <c r="A22" t="s">
        <v>120</v>
      </c>
      <c r="B22" t="s">
        <v>65</v>
      </c>
      <c r="C22" t="s">
        <v>61</v>
      </c>
      <c r="D22" t="s">
        <v>61</v>
      </c>
    </row>
    <row r="23" spans="1:4" x14ac:dyDescent="0.2">
      <c r="A23" t="s">
        <v>110</v>
      </c>
      <c r="B23" t="s">
        <v>53</v>
      </c>
      <c r="C23" t="s">
        <v>48</v>
      </c>
      <c r="D23" t="s">
        <v>44</v>
      </c>
    </row>
    <row r="24" spans="1:4" x14ac:dyDescent="0.2">
      <c r="A24" t="s">
        <v>108</v>
      </c>
      <c r="B24" t="s">
        <v>51</v>
      </c>
      <c r="C24" t="s">
        <v>48</v>
      </c>
      <c r="D24" t="s">
        <v>44</v>
      </c>
    </row>
    <row r="25" spans="1:4" x14ac:dyDescent="0.2">
      <c r="A25" t="s">
        <v>121</v>
      </c>
      <c r="B25" t="s">
        <v>66</v>
      </c>
      <c r="C25" t="s">
        <v>61</v>
      </c>
      <c r="D25" t="s">
        <v>61</v>
      </c>
    </row>
    <row r="26" spans="1:4" x14ac:dyDescent="0.2">
      <c r="A26" t="s">
        <v>75</v>
      </c>
      <c r="B26" t="s">
        <v>4</v>
      </c>
      <c r="C26" t="s">
        <v>0</v>
      </c>
      <c r="D26" t="s">
        <v>1</v>
      </c>
    </row>
    <row r="27" spans="1:4" x14ac:dyDescent="0.2">
      <c r="A27" t="s">
        <v>111</v>
      </c>
      <c r="B27" t="s">
        <v>54</v>
      </c>
      <c r="C27" t="s">
        <v>48</v>
      </c>
      <c r="D27" t="s">
        <v>44</v>
      </c>
    </row>
    <row r="28" spans="1:4" x14ac:dyDescent="0.2">
      <c r="A28" t="s">
        <v>77</v>
      </c>
      <c r="B28" t="s">
        <v>6</v>
      </c>
      <c r="C28" t="s">
        <v>0</v>
      </c>
      <c r="D28" t="s">
        <v>1</v>
      </c>
    </row>
    <row r="29" spans="1:4" x14ac:dyDescent="0.2">
      <c r="A29" t="s">
        <v>80</v>
      </c>
      <c r="B29" t="s">
        <v>10</v>
      </c>
      <c r="C29" t="s">
        <v>0</v>
      </c>
      <c r="D29" t="s">
        <v>1</v>
      </c>
    </row>
    <row r="30" spans="1:4" x14ac:dyDescent="0.2">
      <c r="A30" t="s">
        <v>124</v>
      </c>
      <c r="B30" t="s">
        <v>69</v>
      </c>
      <c r="C30" t="s">
        <v>61</v>
      </c>
      <c r="D30" t="s">
        <v>61</v>
      </c>
    </row>
    <row r="31" spans="1:4" x14ac:dyDescent="0.2">
      <c r="A31" t="s">
        <v>122</v>
      </c>
      <c r="B31" t="s">
        <v>67</v>
      </c>
      <c r="C31" t="s">
        <v>61</v>
      </c>
      <c r="D31" t="s">
        <v>61</v>
      </c>
    </row>
    <row r="32" spans="1:4" x14ac:dyDescent="0.2">
      <c r="A32" t="s">
        <v>86</v>
      </c>
      <c r="B32" t="s">
        <v>21</v>
      </c>
      <c r="C32" t="s">
        <v>19</v>
      </c>
      <c r="D32" t="s">
        <v>20</v>
      </c>
    </row>
    <row r="33" spans="1:4" x14ac:dyDescent="0.2">
      <c r="A33" t="s">
        <v>114</v>
      </c>
      <c r="B33" t="s">
        <v>57</v>
      </c>
      <c r="C33" t="s">
        <v>48</v>
      </c>
      <c r="D33" t="s">
        <v>44</v>
      </c>
    </row>
    <row r="34" spans="1:4" x14ac:dyDescent="0.2">
      <c r="A34" t="s">
        <v>123</v>
      </c>
      <c r="B34" t="s">
        <v>68</v>
      </c>
      <c r="C34" t="s">
        <v>61</v>
      </c>
      <c r="D34" t="s">
        <v>61</v>
      </c>
    </row>
    <row r="35" spans="1:4" x14ac:dyDescent="0.2">
      <c r="A35" t="s">
        <v>78</v>
      </c>
      <c r="B35" t="s">
        <v>7</v>
      </c>
      <c r="C35" t="s">
        <v>0</v>
      </c>
      <c r="D35" t="s">
        <v>1</v>
      </c>
    </row>
    <row r="36" spans="1:4" x14ac:dyDescent="0.2">
      <c r="A36" t="s">
        <v>126</v>
      </c>
      <c r="B36" t="s">
        <v>71</v>
      </c>
      <c r="C36" t="s">
        <v>61</v>
      </c>
      <c r="D36" t="s">
        <v>61</v>
      </c>
    </row>
    <row r="37" spans="1:4" x14ac:dyDescent="0.2">
      <c r="A37" t="s">
        <v>113</v>
      </c>
      <c r="B37" t="s">
        <v>56</v>
      </c>
      <c r="C37" t="s">
        <v>48</v>
      </c>
      <c r="D37" t="s">
        <v>44</v>
      </c>
    </row>
    <row r="38" spans="1:4" x14ac:dyDescent="0.2">
      <c r="A38" t="s">
        <v>99</v>
      </c>
      <c r="B38" t="s">
        <v>36</v>
      </c>
      <c r="C38" t="s">
        <v>19</v>
      </c>
      <c r="D38" t="s">
        <v>32</v>
      </c>
    </row>
    <row r="39" spans="1:4" x14ac:dyDescent="0.2">
      <c r="A39" t="s">
        <v>94</v>
      </c>
      <c r="B39" t="s">
        <v>29</v>
      </c>
      <c r="C39" t="s">
        <v>19</v>
      </c>
      <c r="D39" t="s">
        <v>20</v>
      </c>
    </row>
    <row r="40" spans="1:4" x14ac:dyDescent="0.2">
      <c r="A40" t="s">
        <v>94</v>
      </c>
      <c r="B40" t="s">
        <v>34</v>
      </c>
      <c r="C40" t="s">
        <v>19</v>
      </c>
      <c r="D40" t="s">
        <v>32</v>
      </c>
    </row>
    <row r="41" spans="1:4" x14ac:dyDescent="0.2">
      <c r="A41" t="s">
        <v>98</v>
      </c>
      <c r="B41" t="s">
        <v>35</v>
      </c>
      <c r="C41" t="s">
        <v>19</v>
      </c>
      <c r="D41" t="s">
        <v>32</v>
      </c>
    </row>
    <row r="42" spans="1:4" x14ac:dyDescent="0.2">
      <c r="A42" t="s">
        <v>117</v>
      </c>
      <c r="B42" t="s">
        <v>62</v>
      </c>
      <c r="C42" t="s">
        <v>61</v>
      </c>
      <c r="D42" t="s">
        <v>61</v>
      </c>
    </row>
    <row r="43" spans="1:4" x14ac:dyDescent="0.2">
      <c r="A43" t="s">
        <v>112</v>
      </c>
      <c r="B43" t="s">
        <v>55</v>
      </c>
      <c r="C43" t="s">
        <v>48</v>
      </c>
      <c r="D43" t="s">
        <v>44</v>
      </c>
    </row>
    <row r="44" spans="1:4" x14ac:dyDescent="0.2">
      <c r="A44" t="s">
        <v>127</v>
      </c>
      <c r="B44" t="s">
        <v>72</v>
      </c>
      <c r="C44" t="s">
        <v>61</v>
      </c>
      <c r="D44" t="s">
        <v>61</v>
      </c>
    </row>
    <row r="45" spans="1:4" x14ac:dyDescent="0.2">
      <c r="A45" t="s">
        <v>107</v>
      </c>
      <c r="B45" t="s">
        <v>50</v>
      </c>
      <c r="C45" t="s">
        <v>48</v>
      </c>
      <c r="D45" t="s">
        <v>44</v>
      </c>
    </row>
    <row r="46" spans="1:4" x14ac:dyDescent="0.2">
      <c r="A46" t="s">
        <v>109</v>
      </c>
      <c r="B46" t="s">
        <v>52</v>
      </c>
      <c r="C46" t="s">
        <v>48</v>
      </c>
      <c r="D46" t="s">
        <v>44</v>
      </c>
    </row>
    <row r="47" spans="1:4" x14ac:dyDescent="0.2">
      <c r="A47" t="s">
        <v>106</v>
      </c>
      <c r="B47" t="s">
        <v>49</v>
      </c>
      <c r="C47" t="s">
        <v>48</v>
      </c>
      <c r="D47" t="s">
        <v>42</v>
      </c>
    </row>
    <row r="48" spans="1:4" x14ac:dyDescent="0.2">
      <c r="A48" t="s">
        <v>142</v>
      </c>
      <c r="B48" t="s">
        <v>16</v>
      </c>
      <c r="C48" t="s">
        <v>0</v>
      </c>
      <c r="D48" t="s">
        <v>12</v>
      </c>
    </row>
    <row r="49" spans="1:4" x14ac:dyDescent="0.2">
      <c r="A49" t="s">
        <v>85</v>
      </c>
      <c r="B49" t="s">
        <v>18</v>
      </c>
      <c r="C49" t="s">
        <v>0</v>
      </c>
      <c r="D49" t="s">
        <v>17</v>
      </c>
    </row>
    <row r="50" spans="1:4" x14ac:dyDescent="0.2">
      <c r="A50" t="s">
        <v>95</v>
      </c>
      <c r="B50" t="s">
        <v>30</v>
      </c>
      <c r="C50" t="s">
        <v>19</v>
      </c>
      <c r="D50" t="s">
        <v>20</v>
      </c>
    </row>
    <row r="51" spans="1:4" x14ac:dyDescent="0.2">
      <c r="A51" t="s">
        <v>141</v>
      </c>
      <c r="B51" t="s">
        <v>9</v>
      </c>
      <c r="C51" t="s">
        <v>0</v>
      </c>
      <c r="D51" t="s">
        <v>1</v>
      </c>
    </row>
    <row r="52" spans="1:4" x14ac:dyDescent="0.2">
      <c r="A52" t="s">
        <v>96</v>
      </c>
      <c r="B52" t="s">
        <v>31</v>
      </c>
      <c r="C52" t="s">
        <v>19</v>
      </c>
      <c r="D52" t="s">
        <v>20</v>
      </c>
    </row>
    <row r="53" spans="1:4" x14ac:dyDescent="0.2">
      <c r="A53" t="s">
        <v>88</v>
      </c>
      <c r="B53" t="s">
        <v>23</v>
      </c>
      <c r="C53" t="s">
        <v>19</v>
      </c>
      <c r="D53" t="s">
        <v>20</v>
      </c>
    </row>
    <row r="54" spans="1:4" x14ac:dyDescent="0.2">
      <c r="A54" t="s">
        <v>90</v>
      </c>
      <c r="B54" t="s">
        <v>25</v>
      </c>
      <c r="C54" t="s">
        <v>19</v>
      </c>
      <c r="D54" t="s">
        <v>20</v>
      </c>
    </row>
    <row r="55" spans="1:4" x14ac:dyDescent="0.2">
      <c r="A55" t="s">
        <v>105</v>
      </c>
      <c r="B55" t="s">
        <v>47</v>
      </c>
      <c r="C55" t="s">
        <v>41</v>
      </c>
      <c r="D55" t="s">
        <v>46</v>
      </c>
    </row>
    <row r="56" spans="1:4" x14ac:dyDescent="0.2">
      <c r="A56" t="s">
        <v>105</v>
      </c>
      <c r="B56" t="s">
        <v>60</v>
      </c>
      <c r="C56" t="s">
        <v>48</v>
      </c>
      <c r="D56" t="s">
        <v>46</v>
      </c>
    </row>
    <row r="57" spans="1:4" x14ac:dyDescent="0.2">
      <c r="A57" t="s">
        <v>97</v>
      </c>
      <c r="B57" t="s">
        <v>33</v>
      </c>
      <c r="C57" t="s">
        <v>19</v>
      </c>
      <c r="D57" t="s">
        <v>32</v>
      </c>
    </row>
    <row r="58" spans="1:4" x14ac:dyDescent="0.2">
      <c r="A58" t="s">
        <v>116</v>
      </c>
      <c r="B58" t="s">
        <v>59</v>
      </c>
      <c r="C58" t="s">
        <v>48</v>
      </c>
      <c r="D58" t="s">
        <v>44</v>
      </c>
    </row>
    <row r="59" spans="1:4" x14ac:dyDescent="0.2">
      <c r="A59" t="s">
        <v>89</v>
      </c>
      <c r="B59" t="s">
        <v>24</v>
      </c>
      <c r="C59" t="s">
        <v>19</v>
      </c>
      <c r="D59" t="s">
        <v>20</v>
      </c>
    </row>
    <row r="60" spans="1:4" x14ac:dyDescent="0.2">
      <c r="A60" t="s">
        <v>115</v>
      </c>
      <c r="B60" t="s">
        <v>58</v>
      </c>
      <c r="C60" t="s">
        <v>48</v>
      </c>
      <c r="D60" t="s">
        <v>44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9.9978637043366805E-2"/>
  </sheetPr>
  <dimension ref="A1:G669"/>
  <sheetViews>
    <sheetView showGridLines="0" workbookViewId="0">
      <selection activeCell="A2" sqref="A2"/>
    </sheetView>
  </sheetViews>
  <sheetFormatPr defaultRowHeight="14.25" x14ac:dyDescent="0.2"/>
  <cols>
    <col min="1" max="1" width="10.5" customWidth="1"/>
    <col min="2" max="2" width="9.125" customWidth="1"/>
  </cols>
  <sheetData>
    <row r="1" spans="1:7" x14ac:dyDescent="0.2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2">
      <c r="A2" s="1">
        <v>43524</v>
      </c>
      <c r="B2">
        <v>2.95</v>
      </c>
      <c r="C2">
        <v>0.16</v>
      </c>
      <c r="D2">
        <v>-2.21</v>
      </c>
      <c r="E2">
        <v>0.28000000000000003</v>
      </c>
      <c r="F2">
        <v>-0.81</v>
      </c>
      <c r="G2">
        <v>0.18</v>
      </c>
    </row>
    <row r="3" spans="1:7" x14ac:dyDescent="0.2">
      <c r="A3" s="1">
        <v>43496</v>
      </c>
      <c r="B3">
        <v>7.47</v>
      </c>
      <c r="C3">
        <v>-0.09</v>
      </c>
      <c r="D3">
        <v>-0.77</v>
      </c>
      <c r="E3">
        <v>0.1</v>
      </c>
      <c r="F3">
        <v>-0.99</v>
      </c>
      <c r="G3">
        <v>0.21</v>
      </c>
    </row>
    <row r="4" spans="1:7" x14ac:dyDescent="0.2">
      <c r="A4" s="1">
        <v>43465</v>
      </c>
      <c r="B4">
        <v>-9.5500000000000007</v>
      </c>
      <c r="C4">
        <v>-3.03</v>
      </c>
      <c r="D4">
        <v>-1.51</v>
      </c>
      <c r="E4">
        <v>-0.22</v>
      </c>
      <c r="F4">
        <v>0.14000000000000001</v>
      </c>
      <c r="G4">
        <v>0.19</v>
      </c>
    </row>
    <row r="5" spans="1:7" x14ac:dyDescent="0.2">
      <c r="A5" s="1">
        <v>43434</v>
      </c>
      <c r="B5">
        <v>1.69</v>
      </c>
      <c r="C5">
        <v>-0.77</v>
      </c>
      <c r="D5">
        <v>0.2</v>
      </c>
      <c r="E5">
        <v>-0.64</v>
      </c>
      <c r="F5">
        <v>0.37</v>
      </c>
      <c r="G5">
        <v>0.18</v>
      </c>
    </row>
    <row r="6" spans="1:7" x14ac:dyDescent="0.2">
      <c r="A6" s="1">
        <v>43404</v>
      </c>
      <c r="B6">
        <v>-7.68</v>
      </c>
      <c r="C6">
        <v>-4.43</v>
      </c>
      <c r="D6">
        <v>3.41</v>
      </c>
      <c r="E6">
        <v>0.74</v>
      </c>
      <c r="F6">
        <v>3.49</v>
      </c>
      <c r="G6">
        <v>0.19</v>
      </c>
    </row>
    <row r="7" spans="1:7" x14ac:dyDescent="0.2">
      <c r="A7" s="1">
        <v>43373</v>
      </c>
      <c r="B7">
        <v>0.06</v>
      </c>
      <c r="C7">
        <v>-2.5299999999999998</v>
      </c>
      <c r="D7">
        <v>-1.34</v>
      </c>
      <c r="E7">
        <v>0.63</v>
      </c>
      <c r="F7">
        <v>1.19</v>
      </c>
      <c r="G7">
        <v>0.15</v>
      </c>
    </row>
    <row r="8" spans="1:7" x14ac:dyDescent="0.2">
      <c r="A8" s="1">
        <v>43343</v>
      </c>
      <c r="B8">
        <v>3.44</v>
      </c>
      <c r="C8">
        <v>0.72</v>
      </c>
      <c r="D8">
        <v>-4.12</v>
      </c>
      <c r="E8">
        <v>-0.35</v>
      </c>
      <c r="F8">
        <v>-2.6</v>
      </c>
      <c r="G8">
        <v>0.16</v>
      </c>
    </row>
    <row r="9" spans="1:7" x14ac:dyDescent="0.2">
      <c r="A9" s="1">
        <v>43312</v>
      </c>
      <c r="B9">
        <v>3.19</v>
      </c>
      <c r="C9">
        <v>-1.9</v>
      </c>
      <c r="D9">
        <v>0.39</v>
      </c>
      <c r="E9">
        <v>1.6</v>
      </c>
      <c r="F9">
        <v>0.54</v>
      </c>
      <c r="G9">
        <v>0.16</v>
      </c>
    </row>
    <row r="10" spans="1:7" x14ac:dyDescent="0.2">
      <c r="A10" s="1">
        <v>43281</v>
      </c>
      <c r="B10">
        <v>0.48</v>
      </c>
      <c r="C10">
        <v>0.85</v>
      </c>
      <c r="D10">
        <v>-2.39</v>
      </c>
      <c r="E10">
        <v>0.75</v>
      </c>
      <c r="F10">
        <v>0.33</v>
      </c>
      <c r="G10">
        <v>0.14000000000000001</v>
      </c>
    </row>
    <row r="11" spans="1:7" x14ac:dyDescent="0.2">
      <c r="A11" s="1">
        <v>43251</v>
      </c>
      <c r="B11">
        <v>2.65</v>
      </c>
      <c r="C11">
        <v>4.72</v>
      </c>
      <c r="D11">
        <v>-3.16</v>
      </c>
      <c r="E11">
        <v>-1.96</v>
      </c>
      <c r="F11">
        <v>-1.39</v>
      </c>
      <c r="G11">
        <v>0.14000000000000001</v>
      </c>
    </row>
    <row r="12" spans="1:7" x14ac:dyDescent="0.2">
      <c r="A12" s="1">
        <v>43220</v>
      </c>
      <c r="B12">
        <v>0.28999999999999998</v>
      </c>
      <c r="C12">
        <v>0.94</v>
      </c>
      <c r="D12">
        <v>0.53</v>
      </c>
      <c r="E12">
        <v>-2.12</v>
      </c>
      <c r="F12">
        <v>1.18</v>
      </c>
      <c r="G12">
        <v>0.14000000000000001</v>
      </c>
    </row>
    <row r="13" spans="1:7" x14ac:dyDescent="0.2">
      <c r="A13" s="1">
        <v>43190</v>
      </c>
      <c r="B13">
        <v>-2.35</v>
      </c>
      <c r="C13">
        <v>3.52</v>
      </c>
      <c r="D13">
        <v>-0.11</v>
      </c>
      <c r="E13">
        <v>-0.51</v>
      </c>
      <c r="F13">
        <v>0</v>
      </c>
      <c r="G13">
        <v>0.12</v>
      </c>
    </row>
    <row r="14" spans="1:7" x14ac:dyDescent="0.2">
      <c r="A14" s="1">
        <v>43159</v>
      </c>
      <c r="B14">
        <v>-3.65</v>
      </c>
      <c r="C14">
        <v>0.35</v>
      </c>
      <c r="D14">
        <v>-1.19</v>
      </c>
      <c r="E14">
        <v>0.5</v>
      </c>
      <c r="F14">
        <v>-2.25</v>
      </c>
      <c r="G14">
        <v>0.11</v>
      </c>
    </row>
    <row r="15" spans="1:7" x14ac:dyDescent="0.2">
      <c r="A15" s="1">
        <v>43131</v>
      </c>
      <c r="B15">
        <v>5.58</v>
      </c>
      <c r="C15">
        <v>-3.16</v>
      </c>
      <c r="D15">
        <v>-1.37</v>
      </c>
      <c r="E15">
        <v>-0.52</v>
      </c>
      <c r="F15">
        <v>-0.89</v>
      </c>
      <c r="G15">
        <v>0.11</v>
      </c>
    </row>
    <row r="16" spans="1:7" x14ac:dyDescent="0.2">
      <c r="A16" s="1">
        <v>43100</v>
      </c>
      <c r="B16">
        <v>1.06</v>
      </c>
      <c r="C16">
        <v>-1.02</v>
      </c>
      <c r="D16">
        <v>0.14000000000000001</v>
      </c>
      <c r="E16">
        <v>0.61</v>
      </c>
      <c r="F16">
        <v>1.65</v>
      </c>
      <c r="G16">
        <v>0.09</v>
      </c>
    </row>
    <row r="17" spans="1:7" x14ac:dyDescent="0.2">
      <c r="A17" s="1">
        <v>43069</v>
      </c>
      <c r="B17">
        <v>3.12</v>
      </c>
      <c r="C17">
        <v>-0.43</v>
      </c>
      <c r="D17">
        <v>-0.05</v>
      </c>
      <c r="E17">
        <v>3.14</v>
      </c>
      <c r="F17">
        <v>0</v>
      </c>
      <c r="G17">
        <v>0.08</v>
      </c>
    </row>
    <row r="18" spans="1:7" x14ac:dyDescent="0.2">
      <c r="A18" s="1">
        <v>43039</v>
      </c>
      <c r="B18">
        <v>2.25</v>
      </c>
      <c r="C18">
        <v>-1.97</v>
      </c>
      <c r="D18">
        <v>-0.06</v>
      </c>
      <c r="E18">
        <v>1.04</v>
      </c>
      <c r="F18">
        <v>-3.34</v>
      </c>
      <c r="G18">
        <v>0.09</v>
      </c>
    </row>
    <row r="19" spans="1:7" x14ac:dyDescent="0.2">
      <c r="A19" s="1">
        <v>43008</v>
      </c>
      <c r="B19">
        <v>2.5099999999999998</v>
      </c>
      <c r="C19">
        <v>4.83</v>
      </c>
      <c r="D19">
        <v>3.03</v>
      </c>
      <c r="E19">
        <v>-1.18</v>
      </c>
      <c r="F19">
        <v>1.64</v>
      </c>
      <c r="G19">
        <v>0.09</v>
      </c>
    </row>
    <row r="20" spans="1:7" x14ac:dyDescent="0.2">
      <c r="A20" s="1">
        <v>42978</v>
      </c>
      <c r="B20">
        <v>0.16</v>
      </c>
      <c r="C20">
        <v>-1.88</v>
      </c>
      <c r="D20">
        <v>-2.2400000000000002</v>
      </c>
      <c r="E20">
        <v>0.24</v>
      </c>
      <c r="F20">
        <v>-2.44</v>
      </c>
      <c r="G20">
        <v>0.09</v>
      </c>
    </row>
    <row r="21" spans="1:7" x14ac:dyDescent="0.2">
      <c r="A21" s="1">
        <v>42947</v>
      </c>
      <c r="B21">
        <v>1.87</v>
      </c>
      <c r="C21">
        <v>-1.59</v>
      </c>
      <c r="D21">
        <v>-0.28000000000000003</v>
      </c>
      <c r="E21">
        <v>-0.72</v>
      </c>
      <c r="F21">
        <v>-0.15</v>
      </c>
      <c r="G21">
        <v>7.0000000000000007E-2</v>
      </c>
    </row>
    <row r="22" spans="1:7" x14ac:dyDescent="0.2">
      <c r="A22" s="1">
        <v>42916</v>
      </c>
      <c r="B22">
        <v>0.78</v>
      </c>
      <c r="C22">
        <v>2.48</v>
      </c>
      <c r="D22">
        <v>1.32</v>
      </c>
      <c r="E22">
        <v>-2</v>
      </c>
      <c r="F22">
        <v>-0.06</v>
      </c>
      <c r="G22">
        <v>0.06</v>
      </c>
    </row>
    <row r="23" spans="1:7" x14ac:dyDescent="0.2">
      <c r="A23" s="1">
        <v>42886</v>
      </c>
      <c r="B23">
        <v>1.06</v>
      </c>
      <c r="C23">
        <v>-3.08</v>
      </c>
      <c r="D23">
        <v>-3.78</v>
      </c>
      <c r="E23">
        <v>1.18</v>
      </c>
      <c r="F23">
        <v>-1.84</v>
      </c>
      <c r="G23">
        <v>0.06</v>
      </c>
    </row>
    <row r="24" spans="1:7" x14ac:dyDescent="0.2">
      <c r="A24" s="1">
        <v>42855</v>
      </c>
      <c r="B24">
        <v>1.0900000000000001</v>
      </c>
      <c r="C24">
        <v>0.49</v>
      </c>
      <c r="D24">
        <v>-1.9</v>
      </c>
      <c r="E24">
        <v>1.95</v>
      </c>
      <c r="F24">
        <v>-1.55</v>
      </c>
      <c r="G24">
        <v>0.05</v>
      </c>
    </row>
    <row r="25" spans="1:7" x14ac:dyDescent="0.2">
      <c r="A25" s="1">
        <v>42825</v>
      </c>
      <c r="B25">
        <v>0.17</v>
      </c>
      <c r="C25">
        <v>0.76</v>
      </c>
      <c r="D25">
        <v>-3.18</v>
      </c>
      <c r="E25">
        <v>0.6</v>
      </c>
      <c r="F25">
        <v>-1</v>
      </c>
      <c r="G25">
        <v>0.03</v>
      </c>
    </row>
    <row r="26" spans="1:7" x14ac:dyDescent="0.2">
      <c r="A26" s="1">
        <v>42794</v>
      </c>
      <c r="B26">
        <v>3.57</v>
      </c>
      <c r="C26">
        <v>-2.11</v>
      </c>
      <c r="D26">
        <v>-1.8</v>
      </c>
      <c r="E26">
        <v>0.68</v>
      </c>
      <c r="F26">
        <v>-1.75</v>
      </c>
      <c r="G26">
        <v>0.04</v>
      </c>
    </row>
    <row r="27" spans="1:7" x14ac:dyDescent="0.2">
      <c r="A27" s="1">
        <v>42766</v>
      </c>
      <c r="B27">
        <v>1.94</v>
      </c>
      <c r="C27">
        <v>-1.28</v>
      </c>
      <c r="D27">
        <v>-2.78</v>
      </c>
      <c r="E27">
        <v>-0.13</v>
      </c>
      <c r="F27">
        <v>-0.99</v>
      </c>
      <c r="G27">
        <v>0.04</v>
      </c>
    </row>
    <row r="28" spans="1:7" x14ac:dyDescent="0.2">
      <c r="A28" s="1">
        <v>42735</v>
      </c>
      <c r="B28">
        <v>1.82</v>
      </c>
      <c r="C28">
        <v>0.38</v>
      </c>
      <c r="D28">
        <v>3.6</v>
      </c>
      <c r="E28">
        <v>1.06</v>
      </c>
      <c r="F28">
        <v>-0.26</v>
      </c>
      <c r="G28">
        <v>0.03</v>
      </c>
    </row>
    <row r="29" spans="1:7" x14ac:dyDescent="0.2">
      <c r="A29" s="1">
        <v>42704</v>
      </c>
      <c r="B29">
        <v>4.8600000000000003</v>
      </c>
      <c r="C29">
        <v>6.85</v>
      </c>
      <c r="D29">
        <v>8.27</v>
      </c>
      <c r="E29">
        <v>0</v>
      </c>
      <c r="F29">
        <v>3.67</v>
      </c>
      <c r="G29">
        <v>0.01</v>
      </c>
    </row>
    <row r="30" spans="1:7" x14ac:dyDescent="0.2">
      <c r="A30" s="1">
        <v>42674</v>
      </c>
      <c r="B30">
        <v>-2.02</v>
      </c>
      <c r="C30">
        <v>-4.01</v>
      </c>
      <c r="D30">
        <v>4.18</v>
      </c>
      <c r="E30">
        <v>1.1299999999999999</v>
      </c>
      <c r="F30">
        <v>0.2</v>
      </c>
      <c r="G30">
        <v>0.02</v>
      </c>
    </row>
    <row r="31" spans="1:7" x14ac:dyDescent="0.2">
      <c r="A31" s="1">
        <v>42643</v>
      </c>
      <c r="B31">
        <v>0.25</v>
      </c>
      <c r="C31">
        <v>1.71</v>
      </c>
      <c r="D31">
        <v>-1.48</v>
      </c>
      <c r="E31">
        <v>-2.4500000000000002</v>
      </c>
      <c r="F31">
        <v>-0.03</v>
      </c>
      <c r="G31">
        <v>0.02</v>
      </c>
    </row>
    <row r="32" spans="1:7" x14ac:dyDescent="0.2">
      <c r="A32" s="1">
        <v>42613</v>
      </c>
      <c r="B32">
        <v>0.5</v>
      </c>
      <c r="C32">
        <v>1.71</v>
      </c>
      <c r="D32">
        <v>3.31</v>
      </c>
      <c r="E32">
        <v>-1.32</v>
      </c>
      <c r="F32">
        <v>-0.36</v>
      </c>
      <c r="G32">
        <v>0.02</v>
      </c>
    </row>
    <row r="33" spans="1:7" x14ac:dyDescent="0.2">
      <c r="A33" s="1">
        <v>42582</v>
      </c>
      <c r="B33">
        <v>3.95</v>
      </c>
      <c r="C33">
        <v>2.65</v>
      </c>
      <c r="D33">
        <v>-1.1299999999999999</v>
      </c>
      <c r="E33">
        <v>1.32</v>
      </c>
      <c r="F33">
        <v>-1.27</v>
      </c>
      <c r="G33">
        <v>0.02</v>
      </c>
    </row>
    <row r="34" spans="1:7" x14ac:dyDescent="0.2">
      <c r="A34" s="1">
        <v>42551</v>
      </c>
      <c r="B34">
        <v>-0.05</v>
      </c>
      <c r="C34">
        <v>0.49</v>
      </c>
      <c r="D34">
        <v>-1.49</v>
      </c>
      <c r="E34">
        <v>1.2</v>
      </c>
      <c r="F34">
        <v>1.92</v>
      </c>
      <c r="G34">
        <v>0.02</v>
      </c>
    </row>
    <row r="35" spans="1:7" x14ac:dyDescent="0.2">
      <c r="A35" s="1">
        <v>42521</v>
      </c>
      <c r="B35">
        <v>1.78</v>
      </c>
      <c r="C35">
        <v>-0.7</v>
      </c>
      <c r="D35">
        <v>-1.81</v>
      </c>
      <c r="E35">
        <v>-1.03</v>
      </c>
      <c r="F35">
        <v>-2.6</v>
      </c>
      <c r="G35">
        <v>0.01</v>
      </c>
    </row>
    <row r="36" spans="1:7" x14ac:dyDescent="0.2">
      <c r="A36" s="1">
        <v>42490</v>
      </c>
      <c r="B36">
        <v>0.92</v>
      </c>
      <c r="C36">
        <v>1.17</v>
      </c>
      <c r="D36">
        <v>3.26</v>
      </c>
      <c r="E36">
        <v>-2.88</v>
      </c>
      <c r="F36">
        <v>1.96</v>
      </c>
      <c r="G36">
        <v>0.01</v>
      </c>
    </row>
    <row r="37" spans="1:7" x14ac:dyDescent="0.2">
      <c r="A37" s="1">
        <v>42460</v>
      </c>
      <c r="B37">
        <v>6.96</v>
      </c>
      <c r="C37">
        <v>1.1000000000000001</v>
      </c>
      <c r="D37">
        <v>1.1200000000000001</v>
      </c>
      <c r="E37">
        <v>0.82</v>
      </c>
      <c r="F37">
        <v>-0.06</v>
      </c>
      <c r="G37">
        <v>0.02</v>
      </c>
    </row>
    <row r="38" spans="1:7" x14ac:dyDescent="0.2">
      <c r="A38" s="1">
        <v>42429</v>
      </c>
      <c r="B38">
        <v>-7.0000000000000007E-2</v>
      </c>
      <c r="C38">
        <v>0.94</v>
      </c>
      <c r="D38">
        <v>-0.48</v>
      </c>
      <c r="E38">
        <v>3.29</v>
      </c>
      <c r="F38">
        <v>2.1</v>
      </c>
      <c r="G38">
        <v>0.02</v>
      </c>
    </row>
    <row r="39" spans="1:7" x14ac:dyDescent="0.2">
      <c r="A39" s="1">
        <v>42400</v>
      </c>
      <c r="B39">
        <v>-5.77</v>
      </c>
      <c r="C39">
        <v>-3.43</v>
      </c>
      <c r="D39">
        <v>2.1</v>
      </c>
      <c r="E39">
        <v>2.61</v>
      </c>
      <c r="F39">
        <v>3</v>
      </c>
      <c r="G39">
        <v>0.01</v>
      </c>
    </row>
    <row r="40" spans="1:7" x14ac:dyDescent="0.2">
      <c r="A40" s="1">
        <v>42369</v>
      </c>
      <c r="B40">
        <v>-2.17</v>
      </c>
      <c r="C40">
        <v>-2.98</v>
      </c>
      <c r="D40">
        <v>-2.58</v>
      </c>
      <c r="E40">
        <v>0.3</v>
      </c>
      <c r="F40">
        <v>0.08</v>
      </c>
      <c r="G40">
        <v>0.01</v>
      </c>
    </row>
    <row r="41" spans="1:7" x14ac:dyDescent="0.2">
      <c r="A41" s="1">
        <v>42338</v>
      </c>
      <c r="B41">
        <v>0.56000000000000005</v>
      </c>
      <c r="C41">
        <v>3.34</v>
      </c>
      <c r="D41">
        <v>-0.52</v>
      </c>
      <c r="E41">
        <v>-2.57</v>
      </c>
      <c r="F41">
        <v>-1.1299999999999999</v>
      </c>
      <c r="G41">
        <v>0</v>
      </c>
    </row>
    <row r="42" spans="1:7" x14ac:dyDescent="0.2">
      <c r="A42" s="1">
        <v>42308</v>
      </c>
      <c r="B42">
        <v>7.75</v>
      </c>
      <c r="C42">
        <v>-2.16</v>
      </c>
      <c r="D42">
        <v>-0.08</v>
      </c>
      <c r="E42">
        <v>0.82</v>
      </c>
      <c r="F42">
        <v>0.46</v>
      </c>
      <c r="G42">
        <v>0</v>
      </c>
    </row>
    <row r="43" spans="1:7" x14ac:dyDescent="0.2">
      <c r="A43" s="1">
        <v>42277</v>
      </c>
      <c r="B43">
        <v>-3.08</v>
      </c>
      <c r="C43">
        <v>-2.78</v>
      </c>
      <c r="D43">
        <v>0.52</v>
      </c>
      <c r="E43">
        <v>1.81</v>
      </c>
      <c r="F43">
        <v>-0.52</v>
      </c>
      <c r="G43">
        <v>0</v>
      </c>
    </row>
    <row r="44" spans="1:7" x14ac:dyDescent="0.2">
      <c r="A44" s="1">
        <v>42247</v>
      </c>
      <c r="B44">
        <v>-6.04</v>
      </c>
      <c r="C44">
        <v>0.4</v>
      </c>
      <c r="D44">
        <v>2.68</v>
      </c>
      <c r="E44">
        <v>0.76</v>
      </c>
      <c r="F44">
        <v>1.22</v>
      </c>
      <c r="G44">
        <v>0</v>
      </c>
    </row>
    <row r="45" spans="1:7" x14ac:dyDescent="0.2">
      <c r="A45" s="1">
        <v>42216</v>
      </c>
      <c r="B45">
        <v>1.54</v>
      </c>
      <c r="C45">
        <v>-4.55</v>
      </c>
      <c r="D45">
        <v>-4.12</v>
      </c>
      <c r="E45">
        <v>0.03</v>
      </c>
      <c r="F45">
        <v>-2.57</v>
      </c>
      <c r="G45">
        <v>0</v>
      </c>
    </row>
    <row r="46" spans="1:7" x14ac:dyDescent="0.2">
      <c r="A46" s="1">
        <v>42185</v>
      </c>
      <c r="B46">
        <v>-1.53</v>
      </c>
      <c r="C46">
        <v>2.87</v>
      </c>
      <c r="D46">
        <v>-0.79</v>
      </c>
      <c r="E46">
        <v>0.52</v>
      </c>
      <c r="F46">
        <v>-1.49</v>
      </c>
      <c r="G46">
        <v>0</v>
      </c>
    </row>
    <row r="47" spans="1:7" x14ac:dyDescent="0.2">
      <c r="A47" s="1">
        <v>42155</v>
      </c>
      <c r="B47">
        <v>1.36</v>
      </c>
      <c r="C47">
        <v>0.76</v>
      </c>
      <c r="D47">
        <v>-1.37</v>
      </c>
      <c r="E47">
        <v>-1.71</v>
      </c>
      <c r="F47">
        <v>-0.75</v>
      </c>
      <c r="G47">
        <v>0</v>
      </c>
    </row>
    <row r="48" spans="1:7" x14ac:dyDescent="0.2">
      <c r="A48" s="1">
        <v>42124</v>
      </c>
      <c r="B48">
        <v>0.59</v>
      </c>
      <c r="C48">
        <v>-3.02</v>
      </c>
      <c r="D48">
        <v>1.86</v>
      </c>
      <c r="E48">
        <v>-0.16</v>
      </c>
      <c r="F48">
        <v>-0.5</v>
      </c>
      <c r="G48">
        <v>0</v>
      </c>
    </row>
    <row r="49" spans="1:7" x14ac:dyDescent="0.2">
      <c r="A49" s="1">
        <v>42094</v>
      </c>
      <c r="B49">
        <v>-1.1200000000000001</v>
      </c>
      <c r="C49">
        <v>3.04</v>
      </c>
      <c r="D49">
        <v>-0.46</v>
      </c>
      <c r="E49">
        <v>0.08</v>
      </c>
      <c r="F49">
        <v>-0.52</v>
      </c>
      <c r="G49">
        <v>0</v>
      </c>
    </row>
    <row r="50" spans="1:7" x14ac:dyDescent="0.2">
      <c r="A50" s="1">
        <v>42063</v>
      </c>
      <c r="B50">
        <v>6.13</v>
      </c>
      <c r="C50">
        <v>0.2</v>
      </c>
      <c r="D50">
        <v>-1.79</v>
      </c>
      <c r="E50">
        <v>-1.07</v>
      </c>
      <c r="F50">
        <v>-1.71</v>
      </c>
      <c r="G50">
        <v>0</v>
      </c>
    </row>
    <row r="51" spans="1:7" x14ac:dyDescent="0.2">
      <c r="A51" s="1">
        <v>42035</v>
      </c>
      <c r="B51">
        <v>-3.11</v>
      </c>
      <c r="C51">
        <v>-0.86</v>
      </c>
      <c r="D51">
        <v>-3.47</v>
      </c>
      <c r="E51">
        <v>1.66</v>
      </c>
      <c r="F51">
        <v>-1.71</v>
      </c>
      <c r="G51">
        <v>0</v>
      </c>
    </row>
    <row r="52" spans="1:7" x14ac:dyDescent="0.2">
      <c r="A52" s="1">
        <v>42004</v>
      </c>
      <c r="B52">
        <v>-0.06</v>
      </c>
      <c r="C52">
        <v>2.87</v>
      </c>
      <c r="D52">
        <v>2.06</v>
      </c>
      <c r="E52">
        <v>-1.1599999999999999</v>
      </c>
      <c r="F52">
        <v>0.88</v>
      </c>
      <c r="G52">
        <v>0</v>
      </c>
    </row>
    <row r="53" spans="1:7" x14ac:dyDescent="0.2">
      <c r="A53" s="1">
        <v>41973</v>
      </c>
      <c r="B53">
        <v>2.5499999999999998</v>
      </c>
      <c r="C53">
        <v>-2.31</v>
      </c>
      <c r="D53">
        <v>-2.99</v>
      </c>
      <c r="E53">
        <v>1.4</v>
      </c>
      <c r="F53">
        <v>0.2</v>
      </c>
      <c r="G53">
        <v>0</v>
      </c>
    </row>
    <row r="54" spans="1:7" x14ac:dyDescent="0.2">
      <c r="A54" s="1">
        <v>41943</v>
      </c>
      <c r="B54">
        <v>2.52</v>
      </c>
      <c r="C54">
        <v>3.79</v>
      </c>
      <c r="D54">
        <v>-1.68</v>
      </c>
      <c r="E54">
        <v>-0.48</v>
      </c>
      <c r="F54">
        <v>-0.14000000000000001</v>
      </c>
      <c r="G54">
        <v>0</v>
      </c>
    </row>
    <row r="55" spans="1:7" x14ac:dyDescent="0.2">
      <c r="A55" s="1">
        <v>41912</v>
      </c>
      <c r="B55">
        <v>-1.97</v>
      </c>
      <c r="C55">
        <v>-3.79</v>
      </c>
      <c r="D55">
        <v>-1.23</v>
      </c>
      <c r="E55">
        <v>1.1399999999999999</v>
      </c>
      <c r="F55">
        <v>-0.53</v>
      </c>
      <c r="G55">
        <v>0</v>
      </c>
    </row>
    <row r="56" spans="1:7" x14ac:dyDescent="0.2">
      <c r="A56" s="1">
        <v>41882</v>
      </c>
      <c r="B56">
        <v>4.24</v>
      </c>
      <c r="C56">
        <v>0.28999999999999998</v>
      </c>
      <c r="D56">
        <v>-0.57999999999999996</v>
      </c>
      <c r="E56">
        <v>-0.64</v>
      </c>
      <c r="F56">
        <v>-0.68</v>
      </c>
      <c r="G56">
        <v>0</v>
      </c>
    </row>
    <row r="57" spans="1:7" x14ac:dyDescent="0.2">
      <c r="A57" s="1">
        <v>41851</v>
      </c>
      <c r="B57">
        <v>-2.04</v>
      </c>
      <c r="C57">
        <v>-4.25</v>
      </c>
      <c r="D57">
        <v>0.01</v>
      </c>
      <c r="E57">
        <v>0.95</v>
      </c>
      <c r="F57">
        <v>0.48</v>
      </c>
      <c r="G57">
        <v>0</v>
      </c>
    </row>
    <row r="58" spans="1:7" x14ac:dyDescent="0.2">
      <c r="A58" s="1">
        <v>41820</v>
      </c>
      <c r="B58">
        <v>2.61</v>
      </c>
      <c r="C58">
        <v>3.08</v>
      </c>
      <c r="D58">
        <v>-0.74</v>
      </c>
      <c r="E58">
        <v>-1.99</v>
      </c>
      <c r="F58">
        <v>-1.94</v>
      </c>
      <c r="G58">
        <v>0</v>
      </c>
    </row>
    <row r="59" spans="1:7" x14ac:dyDescent="0.2">
      <c r="A59" s="1">
        <v>41790</v>
      </c>
      <c r="B59">
        <v>2.06</v>
      </c>
      <c r="C59">
        <v>-1.89</v>
      </c>
      <c r="D59">
        <v>-0.27</v>
      </c>
      <c r="E59">
        <v>0.09</v>
      </c>
      <c r="F59">
        <v>-1.06</v>
      </c>
      <c r="G59">
        <v>0</v>
      </c>
    </row>
    <row r="60" spans="1:7" x14ac:dyDescent="0.2">
      <c r="A60" s="1">
        <v>41759</v>
      </c>
      <c r="B60">
        <v>-0.19</v>
      </c>
      <c r="C60">
        <v>-4.17</v>
      </c>
      <c r="D60">
        <v>1.1399999999999999</v>
      </c>
      <c r="E60">
        <v>3.51</v>
      </c>
      <c r="F60">
        <v>1.05</v>
      </c>
      <c r="G60">
        <v>0</v>
      </c>
    </row>
    <row r="61" spans="1:7" x14ac:dyDescent="0.2">
      <c r="A61" s="1">
        <v>41729</v>
      </c>
      <c r="B61">
        <v>0.43</v>
      </c>
      <c r="C61">
        <v>-1.17</v>
      </c>
      <c r="D61">
        <v>5.08</v>
      </c>
      <c r="E61">
        <v>2.15</v>
      </c>
      <c r="F61">
        <v>1.89</v>
      </c>
      <c r="G61">
        <v>0</v>
      </c>
    </row>
    <row r="62" spans="1:7" x14ac:dyDescent="0.2">
      <c r="A62" s="1">
        <v>41698</v>
      </c>
      <c r="B62">
        <v>4.6500000000000004</v>
      </c>
      <c r="C62">
        <v>0.13</v>
      </c>
      <c r="D62">
        <v>-0.4</v>
      </c>
      <c r="E62">
        <v>-0.24</v>
      </c>
      <c r="F62">
        <v>-0.44</v>
      </c>
      <c r="G62">
        <v>0</v>
      </c>
    </row>
    <row r="63" spans="1:7" x14ac:dyDescent="0.2">
      <c r="A63" s="1">
        <v>41670</v>
      </c>
      <c r="B63">
        <v>-3.32</v>
      </c>
      <c r="C63">
        <v>0.59</v>
      </c>
      <c r="D63">
        <v>-2.09</v>
      </c>
      <c r="E63">
        <v>-4</v>
      </c>
      <c r="F63">
        <v>-1.38</v>
      </c>
      <c r="G63">
        <v>0</v>
      </c>
    </row>
    <row r="64" spans="1:7" x14ac:dyDescent="0.2">
      <c r="A64" s="1">
        <v>41639</v>
      </c>
      <c r="B64">
        <v>2.81</v>
      </c>
      <c r="C64">
        <v>-0.53</v>
      </c>
      <c r="D64">
        <v>-0.31</v>
      </c>
      <c r="E64">
        <v>-0.52</v>
      </c>
      <c r="F64">
        <v>7.0000000000000007E-2</v>
      </c>
      <c r="G64">
        <v>0</v>
      </c>
    </row>
    <row r="65" spans="1:7" x14ac:dyDescent="0.2">
      <c r="A65" s="1">
        <v>41608</v>
      </c>
      <c r="B65">
        <v>3.12</v>
      </c>
      <c r="C65">
        <v>1.35</v>
      </c>
      <c r="D65">
        <v>0.24</v>
      </c>
      <c r="E65">
        <v>0.14000000000000001</v>
      </c>
      <c r="F65">
        <v>7.0000000000000007E-2</v>
      </c>
      <c r="G65">
        <v>0</v>
      </c>
    </row>
    <row r="66" spans="1:7" x14ac:dyDescent="0.2">
      <c r="A66" s="1">
        <v>41578</v>
      </c>
      <c r="B66">
        <v>4.18</v>
      </c>
      <c r="C66">
        <v>-1.51</v>
      </c>
      <c r="D66">
        <v>1.1399999999999999</v>
      </c>
      <c r="E66">
        <v>2.69</v>
      </c>
      <c r="F66">
        <v>0.89</v>
      </c>
      <c r="G66">
        <v>0</v>
      </c>
    </row>
    <row r="67" spans="1:7" x14ac:dyDescent="0.2">
      <c r="A67" s="1">
        <v>41547</v>
      </c>
      <c r="B67">
        <v>3.77</v>
      </c>
      <c r="C67">
        <v>2.68</v>
      </c>
      <c r="D67">
        <v>-1.19</v>
      </c>
      <c r="E67">
        <v>-0.74</v>
      </c>
      <c r="F67">
        <v>-1.29</v>
      </c>
      <c r="G67">
        <v>0</v>
      </c>
    </row>
    <row r="68" spans="1:7" x14ac:dyDescent="0.2">
      <c r="A68" s="1">
        <v>41517</v>
      </c>
      <c r="B68">
        <v>-2.71</v>
      </c>
      <c r="C68">
        <v>-0.02</v>
      </c>
      <c r="D68">
        <v>-2.78</v>
      </c>
      <c r="E68">
        <v>0.61</v>
      </c>
      <c r="F68">
        <v>-2.17</v>
      </c>
      <c r="G68">
        <v>0</v>
      </c>
    </row>
    <row r="69" spans="1:7" x14ac:dyDescent="0.2">
      <c r="A69" s="1">
        <v>41486</v>
      </c>
      <c r="B69">
        <v>5.65</v>
      </c>
      <c r="C69">
        <v>1.8</v>
      </c>
      <c r="D69">
        <v>0.56000000000000005</v>
      </c>
      <c r="E69">
        <v>-1.46</v>
      </c>
      <c r="F69">
        <v>0.57999999999999996</v>
      </c>
      <c r="G69">
        <v>0</v>
      </c>
    </row>
    <row r="70" spans="1:7" x14ac:dyDescent="0.2">
      <c r="A70" s="1">
        <v>41455</v>
      </c>
      <c r="B70">
        <v>-1.2</v>
      </c>
      <c r="C70">
        <v>1.4</v>
      </c>
      <c r="D70">
        <v>-0.18</v>
      </c>
      <c r="E70">
        <v>-0.34</v>
      </c>
      <c r="F70">
        <v>-7.0000000000000007E-2</v>
      </c>
      <c r="G70">
        <v>0</v>
      </c>
    </row>
    <row r="71" spans="1:7" x14ac:dyDescent="0.2">
      <c r="A71" s="1">
        <v>41425</v>
      </c>
      <c r="B71">
        <v>2.8</v>
      </c>
      <c r="C71">
        <v>2.0699999999999998</v>
      </c>
      <c r="D71">
        <v>2.6</v>
      </c>
      <c r="E71">
        <v>-1.65</v>
      </c>
      <c r="F71">
        <v>-0.8</v>
      </c>
      <c r="G71">
        <v>0</v>
      </c>
    </row>
    <row r="72" spans="1:7" x14ac:dyDescent="0.2">
      <c r="A72" s="1">
        <v>41394</v>
      </c>
      <c r="B72">
        <v>1.55</v>
      </c>
      <c r="C72">
        <v>-2.29</v>
      </c>
      <c r="D72">
        <v>0.63</v>
      </c>
      <c r="E72">
        <v>0.1</v>
      </c>
      <c r="F72">
        <v>0.49</v>
      </c>
      <c r="G72">
        <v>0</v>
      </c>
    </row>
    <row r="73" spans="1:7" x14ac:dyDescent="0.2">
      <c r="A73" s="1">
        <v>41364</v>
      </c>
      <c r="B73">
        <v>4.03</v>
      </c>
      <c r="C73">
        <v>0.78</v>
      </c>
      <c r="D73">
        <v>-0.28999999999999998</v>
      </c>
      <c r="E73">
        <v>7.0000000000000007E-2</v>
      </c>
      <c r="F73">
        <v>1.37</v>
      </c>
      <c r="G73">
        <v>0</v>
      </c>
    </row>
    <row r="74" spans="1:7" x14ac:dyDescent="0.2">
      <c r="A74" s="1">
        <v>41333</v>
      </c>
      <c r="B74">
        <v>1.29</v>
      </c>
      <c r="C74">
        <v>-0.37</v>
      </c>
      <c r="D74">
        <v>0.03</v>
      </c>
      <c r="E74">
        <v>-0.66</v>
      </c>
      <c r="F74">
        <v>0.47</v>
      </c>
      <c r="G74">
        <v>0</v>
      </c>
    </row>
    <row r="75" spans="1:7" x14ac:dyDescent="0.2">
      <c r="A75" s="1">
        <v>41305</v>
      </c>
      <c r="B75">
        <v>5.57</v>
      </c>
      <c r="C75">
        <v>0.56000000000000005</v>
      </c>
      <c r="D75">
        <v>0.95</v>
      </c>
      <c r="E75">
        <v>-1.67</v>
      </c>
      <c r="F75">
        <v>1.49</v>
      </c>
      <c r="G75">
        <v>0</v>
      </c>
    </row>
    <row r="76" spans="1:7" x14ac:dyDescent="0.2">
      <c r="A76" s="1">
        <v>41274</v>
      </c>
      <c r="B76">
        <v>1.18</v>
      </c>
      <c r="C76">
        <v>1.87</v>
      </c>
      <c r="D76">
        <v>3.56</v>
      </c>
      <c r="E76">
        <v>-1.98</v>
      </c>
      <c r="F76">
        <v>0.86</v>
      </c>
      <c r="G76">
        <v>0.01</v>
      </c>
    </row>
    <row r="77" spans="1:7" x14ac:dyDescent="0.2">
      <c r="A77" s="1">
        <v>41243</v>
      </c>
      <c r="B77">
        <v>0.78</v>
      </c>
      <c r="C77">
        <v>0.35</v>
      </c>
      <c r="D77">
        <v>-0.96</v>
      </c>
      <c r="E77">
        <v>0.68</v>
      </c>
      <c r="F77">
        <v>0.93</v>
      </c>
      <c r="G77">
        <v>0.01</v>
      </c>
    </row>
    <row r="78" spans="1:7" x14ac:dyDescent="0.2">
      <c r="A78" s="1">
        <v>41213</v>
      </c>
      <c r="B78">
        <v>-1.76</v>
      </c>
      <c r="C78">
        <v>-0.8</v>
      </c>
      <c r="D78">
        <v>3.79</v>
      </c>
      <c r="E78">
        <v>-1.34</v>
      </c>
      <c r="F78">
        <v>2.29</v>
      </c>
      <c r="G78">
        <v>0.01</v>
      </c>
    </row>
    <row r="79" spans="1:7" x14ac:dyDescent="0.2">
      <c r="A79" s="1">
        <v>41182</v>
      </c>
      <c r="B79">
        <v>2.73</v>
      </c>
      <c r="C79">
        <v>0.68</v>
      </c>
      <c r="D79">
        <v>1.54</v>
      </c>
      <c r="E79">
        <v>-1.37</v>
      </c>
      <c r="F79">
        <v>1.58</v>
      </c>
      <c r="G79">
        <v>0.01</v>
      </c>
    </row>
    <row r="80" spans="1:7" x14ac:dyDescent="0.2">
      <c r="A80" s="1">
        <v>41152</v>
      </c>
      <c r="B80">
        <v>2.5499999999999998</v>
      </c>
      <c r="C80">
        <v>0.46</v>
      </c>
      <c r="D80">
        <v>1.32</v>
      </c>
      <c r="E80">
        <v>-1.21</v>
      </c>
      <c r="F80">
        <v>-0.75</v>
      </c>
      <c r="G80">
        <v>0.01</v>
      </c>
    </row>
    <row r="81" spans="1:7" x14ac:dyDescent="0.2">
      <c r="A81" s="1">
        <v>41121</v>
      </c>
      <c r="B81">
        <v>0.79</v>
      </c>
      <c r="C81">
        <v>-2.65</v>
      </c>
      <c r="D81">
        <v>-0.26</v>
      </c>
      <c r="E81">
        <v>1.1399999999999999</v>
      </c>
      <c r="F81">
        <v>0.1</v>
      </c>
      <c r="G81">
        <v>0</v>
      </c>
    </row>
    <row r="82" spans="1:7" x14ac:dyDescent="0.2">
      <c r="A82" s="1">
        <v>41090</v>
      </c>
      <c r="B82">
        <v>3.89</v>
      </c>
      <c r="C82">
        <v>0.96</v>
      </c>
      <c r="D82">
        <v>0.44</v>
      </c>
      <c r="E82">
        <v>-1.24</v>
      </c>
      <c r="F82">
        <v>0.34</v>
      </c>
      <c r="G82">
        <v>0</v>
      </c>
    </row>
    <row r="83" spans="1:7" x14ac:dyDescent="0.2">
      <c r="A83" s="1">
        <v>41060</v>
      </c>
      <c r="B83">
        <v>-6.19</v>
      </c>
      <c r="C83">
        <v>-0.08</v>
      </c>
      <c r="D83">
        <v>-0.62</v>
      </c>
      <c r="E83">
        <v>2.25</v>
      </c>
      <c r="F83">
        <v>2.37</v>
      </c>
      <c r="G83">
        <v>0.01</v>
      </c>
    </row>
    <row r="84" spans="1:7" x14ac:dyDescent="0.2">
      <c r="A84" s="1">
        <v>41029</v>
      </c>
      <c r="B84">
        <v>-0.85</v>
      </c>
      <c r="C84">
        <v>-0.59</v>
      </c>
      <c r="D84">
        <v>-0.46</v>
      </c>
      <c r="E84">
        <v>1.1100000000000001</v>
      </c>
      <c r="F84">
        <v>0.65</v>
      </c>
      <c r="G84">
        <v>0</v>
      </c>
    </row>
    <row r="85" spans="1:7" x14ac:dyDescent="0.2">
      <c r="A85" s="1">
        <v>40999</v>
      </c>
      <c r="B85">
        <v>3.11</v>
      </c>
      <c r="C85">
        <v>-0.45</v>
      </c>
      <c r="D85">
        <v>0.87</v>
      </c>
      <c r="E85">
        <v>-0.39</v>
      </c>
      <c r="F85">
        <v>0.79</v>
      </c>
      <c r="G85">
        <v>0</v>
      </c>
    </row>
    <row r="86" spans="1:7" x14ac:dyDescent="0.2">
      <c r="A86" s="1">
        <v>40968</v>
      </c>
      <c r="B86">
        <v>4.42</v>
      </c>
      <c r="C86">
        <v>-1.63</v>
      </c>
      <c r="D86">
        <v>0.09</v>
      </c>
      <c r="E86">
        <v>-0.19</v>
      </c>
      <c r="F86">
        <v>-0.08</v>
      </c>
      <c r="G86">
        <v>0</v>
      </c>
    </row>
    <row r="87" spans="1:7" x14ac:dyDescent="0.2">
      <c r="A87" s="1">
        <v>40939</v>
      </c>
      <c r="B87">
        <v>5.05</v>
      </c>
      <c r="C87">
        <v>2.15</v>
      </c>
      <c r="D87">
        <v>-1.1100000000000001</v>
      </c>
      <c r="E87">
        <v>-1.82</v>
      </c>
      <c r="F87">
        <v>-1.38</v>
      </c>
      <c r="G87">
        <v>0</v>
      </c>
    </row>
    <row r="88" spans="1:7" x14ac:dyDescent="0.2">
      <c r="A88" s="1">
        <v>40908</v>
      </c>
      <c r="B88">
        <v>0.74</v>
      </c>
      <c r="C88">
        <v>-0.45</v>
      </c>
      <c r="D88">
        <v>1.75</v>
      </c>
      <c r="E88">
        <v>0.77</v>
      </c>
      <c r="F88">
        <v>2.39</v>
      </c>
      <c r="G88">
        <v>0</v>
      </c>
    </row>
    <row r="89" spans="1:7" x14ac:dyDescent="0.2">
      <c r="A89" s="1">
        <v>40877</v>
      </c>
      <c r="B89">
        <v>-0.28000000000000003</v>
      </c>
      <c r="C89">
        <v>-0.27</v>
      </c>
      <c r="D89">
        <v>-0.34</v>
      </c>
      <c r="E89">
        <v>1.78</v>
      </c>
      <c r="F89">
        <v>1.52</v>
      </c>
      <c r="G89">
        <v>0</v>
      </c>
    </row>
    <row r="90" spans="1:7" x14ac:dyDescent="0.2">
      <c r="A90" s="1">
        <v>40847</v>
      </c>
      <c r="B90">
        <v>11.35</v>
      </c>
      <c r="C90">
        <v>3.56</v>
      </c>
      <c r="D90">
        <v>-0.17</v>
      </c>
      <c r="E90">
        <v>-1.92</v>
      </c>
      <c r="F90">
        <v>-0.85</v>
      </c>
      <c r="G90">
        <v>0</v>
      </c>
    </row>
    <row r="91" spans="1:7" x14ac:dyDescent="0.2">
      <c r="A91" s="1">
        <v>40816</v>
      </c>
      <c r="B91">
        <v>-7.59</v>
      </c>
      <c r="C91">
        <v>-3.74</v>
      </c>
      <c r="D91">
        <v>-1.46</v>
      </c>
      <c r="E91">
        <v>1.89</v>
      </c>
      <c r="F91">
        <v>0.23</v>
      </c>
      <c r="G91">
        <v>0</v>
      </c>
    </row>
    <row r="92" spans="1:7" x14ac:dyDescent="0.2">
      <c r="A92" s="1">
        <v>40786</v>
      </c>
      <c r="B92">
        <v>-5.99</v>
      </c>
      <c r="C92">
        <v>-3.21</v>
      </c>
      <c r="D92">
        <v>-2.44</v>
      </c>
      <c r="E92">
        <v>3.2</v>
      </c>
      <c r="F92">
        <v>-0.23</v>
      </c>
      <c r="G92">
        <v>0.01</v>
      </c>
    </row>
    <row r="93" spans="1:7" x14ac:dyDescent="0.2">
      <c r="A93" s="1">
        <v>40755</v>
      </c>
      <c r="B93">
        <v>-2.36</v>
      </c>
      <c r="C93">
        <v>-1.29</v>
      </c>
      <c r="D93">
        <v>-1.23</v>
      </c>
      <c r="E93">
        <v>2.41</v>
      </c>
      <c r="F93">
        <v>-1.82</v>
      </c>
      <c r="G93">
        <v>0</v>
      </c>
    </row>
    <row r="94" spans="1:7" x14ac:dyDescent="0.2">
      <c r="A94" s="1">
        <v>40724</v>
      </c>
      <c r="B94">
        <v>-1.75</v>
      </c>
      <c r="C94">
        <v>0.1</v>
      </c>
      <c r="D94">
        <v>-0.33</v>
      </c>
      <c r="E94">
        <v>2.38</v>
      </c>
      <c r="F94">
        <v>-1.46</v>
      </c>
      <c r="G94">
        <v>0</v>
      </c>
    </row>
    <row r="95" spans="1:7" x14ac:dyDescent="0.2">
      <c r="A95" s="1">
        <v>40694</v>
      </c>
      <c r="B95">
        <v>-1.27</v>
      </c>
      <c r="C95">
        <v>-0.7</v>
      </c>
      <c r="D95">
        <v>-2.0699999999999998</v>
      </c>
      <c r="E95">
        <v>1.99</v>
      </c>
      <c r="F95">
        <v>-1.5</v>
      </c>
      <c r="G95">
        <v>0</v>
      </c>
    </row>
    <row r="96" spans="1:7" x14ac:dyDescent="0.2">
      <c r="A96" s="1">
        <v>40663</v>
      </c>
      <c r="B96">
        <v>2.9</v>
      </c>
      <c r="C96">
        <v>-0.52</v>
      </c>
      <c r="D96">
        <v>-2.5299999999999998</v>
      </c>
      <c r="E96">
        <v>1.1000000000000001</v>
      </c>
      <c r="F96">
        <v>-0.85</v>
      </c>
      <c r="G96">
        <v>0</v>
      </c>
    </row>
    <row r="97" spans="1:7" x14ac:dyDescent="0.2">
      <c r="A97" s="1">
        <v>40633</v>
      </c>
      <c r="B97">
        <v>0.45</v>
      </c>
      <c r="C97">
        <v>2.66</v>
      </c>
      <c r="D97">
        <v>-1.57</v>
      </c>
      <c r="E97">
        <v>1.55</v>
      </c>
      <c r="F97">
        <v>-0.03</v>
      </c>
      <c r="G97">
        <v>0.01</v>
      </c>
    </row>
    <row r="98" spans="1:7" x14ac:dyDescent="0.2">
      <c r="A98" s="1">
        <v>40602</v>
      </c>
      <c r="B98">
        <v>3.49</v>
      </c>
      <c r="C98">
        <v>1.63</v>
      </c>
      <c r="D98">
        <v>1.08</v>
      </c>
      <c r="E98">
        <v>-1.92</v>
      </c>
      <c r="F98">
        <v>0.94</v>
      </c>
      <c r="G98">
        <v>0.01</v>
      </c>
    </row>
    <row r="99" spans="1:7" x14ac:dyDescent="0.2">
      <c r="A99" s="1">
        <v>40574</v>
      </c>
      <c r="B99">
        <v>1.99</v>
      </c>
      <c r="C99">
        <v>-2.4</v>
      </c>
      <c r="D99">
        <v>0.83</v>
      </c>
      <c r="E99">
        <v>-0.81</v>
      </c>
      <c r="F99">
        <v>0.7</v>
      </c>
      <c r="G99">
        <v>0.01</v>
      </c>
    </row>
    <row r="100" spans="1:7" x14ac:dyDescent="0.2">
      <c r="A100" s="1">
        <v>40543</v>
      </c>
      <c r="B100">
        <v>6.82</v>
      </c>
      <c r="C100">
        <v>0.97</v>
      </c>
      <c r="D100">
        <v>3.82</v>
      </c>
      <c r="E100">
        <v>-3.66</v>
      </c>
      <c r="F100">
        <v>3.23</v>
      </c>
      <c r="G100">
        <v>0.01</v>
      </c>
    </row>
    <row r="101" spans="1:7" x14ac:dyDescent="0.2">
      <c r="A101" s="1">
        <v>40512</v>
      </c>
      <c r="B101">
        <v>0.6</v>
      </c>
      <c r="C101">
        <v>3.6</v>
      </c>
      <c r="D101">
        <v>-0.9</v>
      </c>
      <c r="E101">
        <v>0.28999999999999998</v>
      </c>
      <c r="F101">
        <v>1.63</v>
      </c>
      <c r="G101">
        <v>0.01</v>
      </c>
    </row>
    <row r="102" spans="1:7" x14ac:dyDescent="0.2">
      <c r="A102" s="1">
        <v>40482</v>
      </c>
      <c r="B102">
        <v>3.88</v>
      </c>
      <c r="C102">
        <v>0.79</v>
      </c>
      <c r="D102">
        <v>-2.59</v>
      </c>
      <c r="E102">
        <v>1.34</v>
      </c>
      <c r="F102">
        <v>-0.23</v>
      </c>
      <c r="G102">
        <v>0.01</v>
      </c>
    </row>
    <row r="103" spans="1:7" x14ac:dyDescent="0.2">
      <c r="A103" s="1">
        <v>40451</v>
      </c>
      <c r="B103">
        <v>9.5399999999999991</v>
      </c>
      <c r="C103">
        <v>3.73</v>
      </c>
      <c r="D103">
        <v>-3.12</v>
      </c>
      <c r="E103">
        <v>-0.16</v>
      </c>
      <c r="F103">
        <v>0.48</v>
      </c>
      <c r="G103">
        <v>0.01</v>
      </c>
    </row>
    <row r="104" spans="1:7" x14ac:dyDescent="0.2">
      <c r="A104" s="1">
        <v>40421</v>
      </c>
      <c r="B104">
        <v>-4.7699999999999996</v>
      </c>
      <c r="C104">
        <v>-3.12</v>
      </c>
      <c r="D104">
        <v>-1.96</v>
      </c>
      <c r="E104">
        <v>0.61</v>
      </c>
      <c r="F104">
        <v>-1.7</v>
      </c>
      <c r="G104">
        <v>0.01</v>
      </c>
    </row>
    <row r="105" spans="1:7" x14ac:dyDescent="0.2">
      <c r="A105" s="1">
        <v>40390</v>
      </c>
      <c r="B105">
        <v>6.93</v>
      </c>
      <c r="C105">
        <v>0.09</v>
      </c>
      <c r="D105">
        <v>-0.26</v>
      </c>
      <c r="E105">
        <v>0.23</v>
      </c>
      <c r="F105">
        <v>1.99</v>
      </c>
      <c r="G105">
        <v>0.01</v>
      </c>
    </row>
    <row r="106" spans="1:7" x14ac:dyDescent="0.2">
      <c r="A106" s="1">
        <v>40359</v>
      </c>
      <c r="B106">
        <v>-5.56</v>
      </c>
      <c r="C106">
        <v>-2.5</v>
      </c>
      <c r="D106">
        <v>-4.5</v>
      </c>
      <c r="E106">
        <v>-0.21</v>
      </c>
      <c r="F106">
        <v>-1.52</v>
      </c>
      <c r="G106">
        <v>0.01</v>
      </c>
    </row>
    <row r="107" spans="1:7" x14ac:dyDescent="0.2">
      <c r="A107" s="1">
        <v>40329</v>
      </c>
      <c r="B107">
        <v>-7.89</v>
      </c>
      <c r="C107">
        <v>0.06</v>
      </c>
      <c r="D107">
        <v>-2.38</v>
      </c>
      <c r="E107">
        <v>1.37</v>
      </c>
      <c r="F107">
        <v>-0.22</v>
      </c>
      <c r="G107">
        <v>0.01</v>
      </c>
    </row>
    <row r="108" spans="1:7" x14ac:dyDescent="0.2">
      <c r="A108" s="1">
        <v>40298</v>
      </c>
      <c r="B108">
        <v>2</v>
      </c>
      <c r="C108">
        <v>5.05</v>
      </c>
      <c r="D108">
        <v>2.81</v>
      </c>
      <c r="E108">
        <v>1.05</v>
      </c>
      <c r="F108">
        <v>1.72</v>
      </c>
      <c r="G108">
        <v>0.01</v>
      </c>
    </row>
    <row r="109" spans="1:7" x14ac:dyDescent="0.2">
      <c r="A109" s="1">
        <v>40268</v>
      </c>
      <c r="B109">
        <v>6.31</v>
      </c>
      <c r="C109">
        <v>1.78</v>
      </c>
      <c r="D109">
        <v>2.1</v>
      </c>
      <c r="E109">
        <v>-0.56000000000000005</v>
      </c>
      <c r="F109">
        <v>1.69</v>
      </c>
      <c r="G109">
        <v>0.01</v>
      </c>
    </row>
    <row r="110" spans="1:7" x14ac:dyDescent="0.2">
      <c r="A110" s="1">
        <v>40237</v>
      </c>
      <c r="B110">
        <v>3.4</v>
      </c>
      <c r="C110">
        <v>1.46</v>
      </c>
      <c r="D110">
        <v>3.17</v>
      </c>
      <c r="E110">
        <v>-0.35</v>
      </c>
      <c r="F110">
        <v>1.41</v>
      </c>
      <c r="G110">
        <v>0</v>
      </c>
    </row>
    <row r="111" spans="1:7" x14ac:dyDescent="0.2">
      <c r="A111" s="1">
        <v>40209</v>
      </c>
      <c r="B111">
        <v>-3.36</v>
      </c>
      <c r="C111">
        <v>0.3</v>
      </c>
      <c r="D111">
        <v>0.31</v>
      </c>
      <c r="E111">
        <v>-1.37</v>
      </c>
      <c r="F111">
        <v>0.43</v>
      </c>
      <c r="G111">
        <v>0</v>
      </c>
    </row>
    <row r="112" spans="1:7" x14ac:dyDescent="0.2">
      <c r="A112" s="1">
        <v>40178</v>
      </c>
      <c r="B112">
        <v>2.75</v>
      </c>
      <c r="C112">
        <v>6.22</v>
      </c>
      <c r="D112">
        <v>0.01</v>
      </c>
      <c r="E112">
        <v>0.44</v>
      </c>
      <c r="F112">
        <v>-0.08</v>
      </c>
      <c r="G112">
        <v>0.01</v>
      </c>
    </row>
    <row r="113" spans="1:7" x14ac:dyDescent="0.2">
      <c r="A113" s="1">
        <v>40147</v>
      </c>
      <c r="B113">
        <v>5.56</v>
      </c>
      <c r="C113">
        <v>-2.79</v>
      </c>
      <c r="D113">
        <v>-0.17</v>
      </c>
      <c r="E113">
        <v>0.81</v>
      </c>
      <c r="F113">
        <v>0.15</v>
      </c>
      <c r="G113">
        <v>0</v>
      </c>
    </row>
    <row r="114" spans="1:7" x14ac:dyDescent="0.2">
      <c r="A114" s="1">
        <v>40117</v>
      </c>
      <c r="B114">
        <v>-2.59</v>
      </c>
      <c r="C114">
        <v>-4.78</v>
      </c>
      <c r="D114">
        <v>-4.18</v>
      </c>
      <c r="E114">
        <v>4.2</v>
      </c>
      <c r="F114">
        <v>-1.68</v>
      </c>
      <c r="G114">
        <v>0</v>
      </c>
    </row>
    <row r="115" spans="1:7" x14ac:dyDescent="0.2">
      <c r="A115" s="1">
        <v>40086</v>
      </c>
      <c r="B115">
        <v>4.08</v>
      </c>
      <c r="C115">
        <v>2.74</v>
      </c>
      <c r="D115">
        <v>0.92</v>
      </c>
      <c r="E115">
        <v>1.49</v>
      </c>
      <c r="F115">
        <v>0.4</v>
      </c>
      <c r="G115">
        <v>0.01</v>
      </c>
    </row>
    <row r="116" spans="1:7" x14ac:dyDescent="0.2">
      <c r="A116" s="1">
        <v>40056</v>
      </c>
      <c r="B116">
        <v>3.33</v>
      </c>
      <c r="C116">
        <v>-0.04</v>
      </c>
      <c r="D116">
        <v>7.76</v>
      </c>
      <c r="E116">
        <v>-3.04</v>
      </c>
      <c r="F116">
        <v>3.2</v>
      </c>
      <c r="G116">
        <v>0.01</v>
      </c>
    </row>
    <row r="117" spans="1:7" x14ac:dyDescent="0.2">
      <c r="A117" s="1">
        <v>40025</v>
      </c>
      <c r="B117">
        <v>7.72</v>
      </c>
      <c r="C117">
        <v>2.4300000000000002</v>
      </c>
      <c r="D117">
        <v>5.27</v>
      </c>
      <c r="E117">
        <v>-0.65</v>
      </c>
      <c r="F117">
        <v>3.21</v>
      </c>
      <c r="G117">
        <v>0.01</v>
      </c>
    </row>
    <row r="118" spans="1:7" x14ac:dyDescent="0.2">
      <c r="A118" s="1">
        <v>39994</v>
      </c>
      <c r="B118">
        <v>0.43</v>
      </c>
      <c r="C118">
        <v>2.3199999999999998</v>
      </c>
      <c r="D118">
        <v>-2.71</v>
      </c>
      <c r="E118">
        <v>-1.07</v>
      </c>
      <c r="F118">
        <v>-0.16</v>
      </c>
      <c r="G118">
        <v>0.01</v>
      </c>
    </row>
    <row r="119" spans="1:7" x14ac:dyDescent="0.2">
      <c r="A119" s="1">
        <v>39964</v>
      </c>
      <c r="B119">
        <v>5.21</v>
      </c>
      <c r="C119">
        <v>-2.33</v>
      </c>
      <c r="D119">
        <v>-0.21</v>
      </c>
      <c r="E119">
        <v>-0.99</v>
      </c>
      <c r="F119">
        <v>-2.12</v>
      </c>
      <c r="G119">
        <v>0</v>
      </c>
    </row>
    <row r="120" spans="1:7" x14ac:dyDescent="0.2">
      <c r="A120" s="1">
        <v>39933</v>
      </c>
      <c r="B120">
        <v>10.19</v>
      </c>
      <c r="C120">
        <v>6.73</v>
      </c>
      <c r="D120">
        <v>5.46</v>
      </c>
      <c r="E120">
        <v>0.28000000000000003</v>
      </c>
      <c r="F120">
        <v>0.14000000000000001</v>
      </c>
      <c r="G120">
        <v>0.01</v>
      </c>
    </row>
    <row r="121" spans="1:7" x14ac:dyDescent="0.2">
      <c r="A121" s="1">
        <v>39903</v>
      </c>
      <c r="B121">
        <v>8.9499999999999993</v>
      </c>
      <c r="C121">
        <v>0.66</v>
      </c>
      <c r="D121">
        <v>3.52</v>
      </c>
      <c r="E121">
        <v>-2.2999999999999998</v>
      </c>
      <c r="F121">
        <v>-2.25</v>
      </c>
      <c r="G121">
        <v>0.02</v>
      </c>
    </row>
    <row r="122" spans="1:7" x14ac:dyDescent="0.2">
      <c r="A122" s="1">
        <v>39872</v>
      </c>
      <c r="B122">
        <v>-10.1</v>
      </c>
      <c r="C122">
        <v>-1.19</v>
      </c>
      <c r="D122">
        <v>-7.25</v>
      </c>
      <c r="E122">
        <v>1.72</v>
      </c>
      <c r="F122">
        <v>-1.1100000000000001</v>
      </c>
      <c r="G122">
        <v>0.01</v>
      </c>
    </row>
    <row r="123" spans="1:7" x14ac:dyDescent="0.2">
      <c r="A123" s="1">
        <v>39844</v>
      </c>
      <c r="B123">
        <v>-8.1199999999999992</v>
      </c>
      <c r="C123">
        <v>-2.06</v>
      </c>
      <c r="D123">
        <v>-11.1</v>
      </c>
      <c r="E123">
        <v>0.26</v>
      </c>
      <c r="F123">
        <v>-1.19</v>
      </c>
      <c r="G123">
        <v>0</v>
      </c>
    </row>
    <row r="124" spans="1:7" x14ac:dyDescent="0.2">
      <c r="A124" s="1">
        <v>39813</v>
      </c>
      <c r="B124">
        <v>1.74</v>
      </c>
      <c r="C124">
        <v>3.36</v>
      </c>
      <c r="D124">
        <v>-0.24</v>
      </c>
      <c r="E124">
        <v>-7.0000000000000007E-2</v>
      </c>
      <c r="F124">
        <v>-1.41</v>
      </c>
      <c r="G124">
        <v>0</v>
      </c>
    </row>
    <row r="125" spans="1:7" x14ac:dyDescent="0.2">
      <c r="A125" s="1">
        <v>39782</v>
      </c>
      <c r="B125">
        <v>-7.86</v>
      </c>
      <c r="C125">
        <v>-3.89</v>
      </c>
      <c r="D125">
        <v>-5.94</v>
      </c>
      <c r="E125">
        <v>4.82</v>
      </c>
      <c r="F125">
        <v>2.72</v>
      </c>
      <c r="G125">
        <v>0.03</v>
      </c>
    </row>
    <row r="126" spans="1:7" x14ac:dyDescent="0.2">
      <c r="A126" s="1">
        <v>39752</v>
      </c>
      <c r="B126">
        <v>-17.23</v>
      </c>
      <c r="C126">
        <v>-3.22</v>
      </c>
      <c r="D126">
        <v>-2.9</v>
      </c>
      <c r="E126">
        <v>3.61</v>
      </c>
      <c r="F126">
        <v>1.89</v>
      </c>
      <c r="G126">
        <v>0.08</v>
      </c>
    </row>
    <row r="127" spans="1:7" x14ac:dyDescent="0.2">
      <c r="A127" s="1">
        <v>39721</v>
      </c>
      <c r="B127">
        <v>-9.24</v>
      </c>
      <c r="C127">
        <v>0.38</v>
      </c>
      <c r="D127">
        <v>6.33</v>
      </c>
      <c r="E127">
        <v>2.91</v>
      </c>
      <c r="F127">
        <v>1.82</v>
      </c>
      <c r="G127">
        <v>0.15</v>
      </c>
    </row>
    <row r="128" spans="1:7" x14ac:dyDescent="0.2">
      <c r="A128" s="1">
        <v>39691</v>
      </c>
      <c r="B128">
        <v>1.53</v>
      </c>
      <c r="C128">
        <v>3.42</v>
      </c>
      <c r="D128">
        <v>1.56</v>
      </c>
      <c r="E128">
        <v>1.84</v>
      </c>
      <c r="F128">
        <v>0.82</v>
      </c>
      <c r="G128">
        <v>0.13</v>
      </c>
    </row>
    <row r="129" spans="1:7" x14ac:dyDescent="0.2">
      <c r="A129" s="1">
        <v>39660</v>
      </c>
      <c r="B129">
        <v>-0.77</v>
      </c>
      <c r="C129">
        <v>3.67</v>
      </c>
      <c r="D129">
        <v>5.81</v>
      </c>
      <c r="E129">
        <v>-0.99</v>
      </c>
      <c r="F129">
        <v>1.06</v>
      </c>
      <c r="G129">
        <v>0.15</v>
      </c>
    </row>
    <row r="130" spans="1:7" x14ac:dyDescent="0.2">
      <c r="A130" s="1">
        <v>39629</v>
      </c>
      <c r="B130">
        <v>-8.44</v>
      </c>
      <c r="C130">
        <v>1.1399999999999999</v>
      </c>
      <c r="D130">
        <v>-2.4300000000000002</v>
      </c>
      <c r="E130">
        <v>4.3099999999999996</v>
      </c>
      <c r="F130">
        <v>-0.42</v>
      </c>
      <c r="G130">
        <v>0.17</v>
      </c>
    </row>
    <row r="131" spans="1:7" x14ac:dyDescent="0.2">
      <c r="A131" s="1">
        <v>39599</v>
      </c>
      <c r="B131">
        <v>1.86</v>
      </c>
      <c r="C131">
        <v>3.21</v>
      </c>
      <c r="D131">
        <v>-1.38</v>
      </c>
      <c r="E131">
        <v>0.81</v>
      </c>
      <c r="F131">
        <v>0.04</v>
      </c>
      <c r="G131">
        <v>0.18</v>
      </c>
    </row>
    <row r="132" spans="1:7" x14ac:dyDescent="0.2">
      <c r="A132" s="1">
        <v>39568</v>
      </c>
      <c r="B132">
        <v>4.5999999999999996</v>
      </c>
      <c r="C132">
        <v>-1.1499999999999999</v>
      </c>
      <c r="D132">
        <v>-0.96</v>
      </c>
      <c r="E132">
        <v>1.29</v>
      </c>
      <c r="F132">
        <v>-2.56</v>
      </c>
      <c r="G132">
        <v>0.18</v>
      </c>
    </row>
    <row r="133" spans="1:7" x14ac:dyDescent="0.2">
      <c r="A133" s="1">
        <v>39538</v>
      </c>
      <c r="B133">
        <v>-0.93</v>
      </c>
      <c r="C133">
        <v>0.74</v>
      </c>
      <c r="D133">
        <v>-0.15</v>
      </c>
      <c r="E133">
        <v>1.1100000000000001</v>
      </c>
      <c r="F133">
        <v>0.47</v>
      </c>
      <c r="G133">
        <v>0.17</v>
      </c>
    </row>
    <row r="134" spans="1:7" x14ac:dyDescent="0.2">
      <c r="A134" s="1">
        <v>39507</v>
      </c>
      <c r="B134">
        <v>-3.09</v>
      </c>
      <c r="C134">
        <v>-0.52</v>
      </c>
      <c r="D134">
        <v>-0.95</v>
      </c>
      <c r="E134">
        <v>0.74</v>
      </c>
      <c r="F134">
        <v>-1.07</v>
      </c>
      <c r="G134">
        <v>0.13</v>
      </c>
    </row>
    <row r="135" spans="1:7" x14ac:dyDescent="0.2">
      <c r="A135" s="1">
        <v>39478</v>
      </c>
      <c r="B135">
        <v>-6.36</v>
      </c>
      <c r="C135">
        <v>-0.51</v>
      </c>
      <c r="D135">
        <v>3.65</v>
      </c>
      <c r="E135">
        <v>1.96</v>
      </c>
      <c r="F135">
        <v>2.2000000000000002</v>
      </c>
      <c r="G135">
        <v>0.21</v>
      </c>
    </row>
    <row r="136" spans="1:7" x14ac:dyDescent="0.2">
      <c r="A136" s="1">
        <v>39447</v>
      </c>
      <c r="B136">
        <v>-0.87</v>
      </c>
      <c r="C136">
        <v>0.17</v>
      </c>
      <c r="D136">
        <v>-0.52</v>
      </c>
      <c r="E136">
        <v>0.71</v>
      </c>
      <c r="F136">
        <v>-1.0900000000000001</v>
      </c>
      <c r="G136">
        <v>0.27</v>
      </c>
    </row>
    <row r="137" spans="1:7" x14ac:dyDescent="0.2">
      <c r="A137" s="1">
        <v>39416</v>
      </c>
      <c r="B137">
        <v>-4.83</v>
      </c>
      <c r="C137">
        <v>-2.82</v>
      </c>
      <c r="D137">
        <v>-1.18</v>
      </c>
      <c r="E137">
        <v>1.9</v>
      </c>
      <c r="F137">
        <v>-0.33</v>
      </c>
      <c r="G137">
        <v>0.34</v>
      </c>
    </row>
    <row r="138" spans="1:7" x14ac:dyDescent="0.2">
      <c r="A138" s="1">
        <v>39386</v>
      </c>
      <c r="B138">
        <v>1.8</v>
      </c>
      <c r="C138">
        <v>0.03</v>
      </c>
      <c r="D138">
        <v>-2.59</v>
      </c>
      <c r="E138">
        <v>-0.31</v>
      </c>
      <c r="F138">
        <v>-0.1</v>
      </c>
      <c r="G138">
        <v>0.32</v>
      </c>
    </row>
    <row r="139" spans="1:7" x14ac:dyDescent="0.2">
      <c r="A139" s="1">
        <v>39355</v>
      </c>
      <c r="B139">
        <v>3.22</v>
      </c>
      <c r="C139">
        <v>-2.42</v>
      </c>
      <c r="D139">
        <v>-1.87</v>
      </c>
      <c r="E139">
        <v>-0.56000000000000005</v>
      </c>
      <c r="F139">
        <v>-3.17</v>
      </c>
      <c r="G139">
        <v>0.32</v>
      </c>
    </row>
    <row r="140" spans="1:7" x14ac:dyDescent="0.2">
      <c r="A140" s="1">
        <v>39325</v>
      </c>
      <c r="B140">
        <v>0.92</v>
      </c>
      <c r="C140">
        <v>-0.34</v>
      </c>
      <c r="D140">
        <v>-2.2400000000000002</v>
      </c>
      <c r="E140">
        <v>-0.9</v>
      </c>
      <c r="F140">
        <v>-0.55000000000000004</v>
      </c>
      <c r="G140">
        <v>0.42</v>
      </c>
    </row>
    <row r="141" spans="1:7" x14ac:dyDescent="0.2">
      <c r="A141" s="1">
        <v>39294</v>
      </c>
      <c r="B141">
        <v>-3.73</v>
      </c>
      <c r="C141">
        <v>-2.88</v>
      </c>
      <c r="D141">
        <v>-3.34</v>
      </c>
      <c r="E141">
        <v>0.6</v>
      </c>
      <c r="F141">
        <v>-1.04</v>
      </c>
      <c r="G141">
        <v>0.4</v>
      </c>
    </row>
    <row r="142" spans="1:7" x14ac:dyDescent="0.2">
      <c r="A142" s="1">
        <v>39263</v>
      </c>
      <c r="B142">
        <v>-1.96</v>
      </c>
      <c r="C142">
        <v>0.76</v>
      </c>
      <c r="D142">
        <v>-1.1299999999999999</v>
      </c>
      <c r="E142">
        <v>0.55000000000000004</v>
      </c>
      <c r="F142">
        <v>7.0000000000000007E-2</v>
      </c>
      <c r="G142">
        <v>0.4</v>
      </c>
    </row>
    <row r="143" spans="1:7" x14ac:dyDescent="0.2">
      <c r="A143" s="1">
        <v>39233</v>
      </c>
      <c r="B143">
        <v>3.24</v>
      </c>
      <c r="C143">
        <v>0.28999999999999998</v>
      </c>
      <c r="D143">
        <v>-0.05</v>
      </c>
      <c r="E143">
        <v>1.1399999999999999</v>
      </c>
      <c r="F143">
        <v>-1.3</v>
      </c>
      <c r="G143">
        <v>0.41</v>
      </c>
    </row>
    <row r="144" spans="1:7" x14ac:dyDescent="0.2">
      <c r="A144" s="1">
        <v>39202</v>
      </c>
      <c r="B144">
        <v>3.49</v>
      </c>
      <c r="C144">
        <v>-2.02</v>
      </c>
      <c r="D144">
        <v>-1.1499999999999999</v>
      </c>
      <c r="E144">
        <v>1.01</v>
      </c>
      <c r="F144">
        <v>1.01</v>
      </c>
      <c r="G144">
        <v>0.44</v>
      </c>
    </row>
    <row r="145" spans="1:7" x14ac:dyDescent="0.2">
      <c r="A145" s="1">
        <v>39172</v>
      </c>
      <c r="B145">
        <v>0.68</v>
      </c>
      <c r="C145">
        <v>0.06</v>
      </c>
      <c r="D145">
        <v>-0.22</v>
      </c>
      <c r="E145">
        <v>0.27</v>
      </c>
      <c r="F145">
        <v>-0.61</v>
      </c>
      <c r="G145">
        <v>0.43</v>
      </c>
    </row>
    <row r="146" spans="1:7" x14ac:dyDescent="0.2">
      <c r="A146" s="1">
        <v>39141</v>
      </c>
      <c r="B146">
        <v>-1.96</v>
      </c>
      <c r="C146">
        <v>1.4</v>
      </c>
      <c r="D146">
        <v>-0.09</v>
      </c>
      <c r="E146">
        <v>-0.46</v>
      </c>
      <c r="F146">
        <v>-0.75</v>
      </c>
      <c r="G146">
        <v>0.38</v>
      </c>
    </row>
    <row r="147" spans="1:7" x14ac:dyDescent="0.2">
      <c r="A147" s="1">
        <v>39113</v>
      </c>
      <c r="B147">
        <v>1.4</v>
      </c>
      <c r="C147">
        <v>0.08</v>
      </c>
      <c r="D147">
        <v>-0.11</v>
      </c>
      <c r="E147">
        <v>0.23</v>
      </c>
      <c r="F147">
        <v>0.23</v>
      </c>
      <c r="G147">
        <v>0.44</v>
      </c>
    </row>
    <row r="148" spans="1:7" x14ac:dyDescent="0.2">
      <c r="A148" s="1">
        <v>39082</v>
      </c>
      <c r="B148">
        <v>0.87</v>
      </c>
      <c r="C148">
        <v>-0.79</v>
      </c>
      <c r="D148">
        <v>3.16</v>
      </c>
      <c r="E148">
        <v>-0.81</v>
      </c>
      <c r="F148">
        <v>2.0499999999999998</v>
      </c>
      <c r="G148">
        <v>0.4</v>
      </c>
    </row>
    <row r="149" spans="1:7" x14ac:dyDescent="0.2">
      <c r="A149" s="1">
        <v>39051</v>
      </c>
      <c r="B149">
        <v>1.71</v>
      </c>
      <c r="C149">
        <v>0.82</v>
      </c>
      <c r="D149">
        <v>7.0000000000000007E-2</v>
      </c>
      <c r="E149">
        <v>0.12</v>
      </c>
      <c r="F149">
        <v>-0.87</v>
      </c>
      <c r="G149">
        <v>0.42</v>
      </c>
    </row>
    <row r="150" spans="1:7" x14ac:dyDescent="0.2">
      <c r="A150" s="1">
        <v>39021</v>
      </c>
      <c r="B150">
        <v>3.23</v>
      </c>
      <c r="C150">
        <v>1.93</v>
      </c>
      <c r="D150">
        <v>-0.04</v>
      </c>
      <c r="E150">
        <v>-0.21</v>
      </c>
      <c r="F150">
        <v>0.24</v>
      </c>
      <c r="G150">
        <v>0.41</v>
      </c>
    </row>
    <row r="151" spans="1:7" x14ac:dyDescent="0.2">
      <c r="A151" s="1">
        <v>38990</v>
      </c>
      <c r="B151">
        <v>1.84</v>
      </c>
      <c r="C151">
        <v>-1.44</v>
      </c>
      <c r="D151">
        <v>0.05</v>
      </c>
      <c r="E151">
        <v>0.89</v>
      </c>
      <c r="F151">
        <v>0.54</v>
      </c>
      <c r="G151">
        <v>0.41</v>
      </c>
    </row>
    <row r="152" spans="1:7" x14ac:dyDescent="0.2">
      <c r="A152" s="1">
        <v>38960</v>
      </c>
      <c r="B152">
        <v>2.0299999999999998</v>
      </c>
      <c r="C152">
        <v>0.44</v>
      </c>
      <c r="D152">
        <v>-1.72</v>
      </c>
      <c r="E152">
        <v>-1.73</v>
      </c>
      <c r="F152">
        <v>2.15</v>
      </c>
      <c r="G152">
        <v>0.42</v>
      </c>
    </row>
    <row r="153" spans="1:7" x14ac:dyDescent="0.2">
      <c r="A153" s="1">
        <v>38929</v>
      </c>
      <c r="B153">
        <v>-0.78</v>
      </c>
      <c r="C153">
        <v>-3.69</v>
      </c>
      <c r="D153">
        <v>2.94</v>
      </c>
      <c r="E153">
        <v>1.6</v>
      </c>
      <c r="F153">
        <v>0.93</v>
      </c>
      <c r="G153">
        <v>0.4</v>
      </c>
    </row>
    <row r="154" spans="1:7" x14ac:dyDescent="0.2">
      <c r="A154" s="1">
        <v>38898</v>
      </c>
      <c r="B154">
        <v>-0.35</v>
      </c>
      <c r="C154">
        <v>-0.24</v>
      </c>
      <c r="D154">
        <v>0.87</v>
      </c>
      <c r="E154">
        <v>1.37</v>
      </c>
      <c r="F154">
        <v>-0.12</v>
      </c>
      <c r="G154">
        <v>0.4</v>
      </c>
    </row>
    <row r="155" spans="1:7" x14ac:dyDescent="0.2">
      <c r="A155" s="1">
        <v>38868</v>
      </c>
      <c r="B155">
        <v>-3.57</v>
      </c>
      <c r="C155">
        <v>-2.99</v>
      </c>
      <c r="D155">
        <v>2.5499999999999998</v>
      </c>
      <c r="E155">
        <v>0.93</v>
      </c>
      <c r="F155">
        <v>1.31</v>
      </c>
      <c r="G155">
        <v>0.43</v>
      </c>
    </row>
    <row r="156" spans="1:7" x14ac:dyDescent="0.2">
      <c r="A156" s="1">
        <v>38837</v>
      </c>
      <c r="B156">
        <v>0.73</v>
      </c>
      <c r="C156">
        <v>-0.82</v>
      </c>
      <c r="D156">
        <v>2.59</v>
      </c>
      <c r="E156">
        <v>1.1599999999999999</v>
      </c>
      <c r="F156">
        <v>-0.2</v>
      </c>
      <c r="G156">
        <v>0.36</v>
      </c>
    </row>
    <row r="157" spans="1:7" x14ac:dyDescent="0.2">
      <c r="A157" s="1">
        <v>38807</v>
      </c>
      <c r="B157">
        <v>1.46</v>
      </c>
      <c r="C157">
        <v>3.45</v>
      </c>
      <c r="D157">
        <v>0.61</v>
      </c>
      <c r="E157">
        <v>-0.04</v>
      </c>
      <c r="F157">
        <v>-0.53</v>
      </c>
      <c r="G157">
        <v>0.37</v>
      </c>
    </row>
    <row r="158" spans="1:7" x14ac:dyDescent="0.2">
      <c r="A158" s="1">
        <v>38776</v>
      </c>
      <c r="B158">
        <v>-0.3</v>
      </c>
      <c r="C158">
        <v>-0.45</v>
      </c>
      <c r="D158">
        <v>-0.25</v>
      </c>
      <c r="E158">
        <v>-0.71</v>
      </c>
      <c r="F158">
        <v>2.0299999999999998</v>
      </c>
      <c r="G158">
        <v>0.34</v>
      </c>
    </row>
    <row r="159" spans="1:7" x14ac:dyDescent="0.2">
      <c r="A159" s="1">
        <v>38748</v>
      </c>
      <c r="B159">
        <v>3.04</v>
      </c>
      <c r="C159">
        <v>5.78</v>
      </c>
      <c r="D159">
        <v>1.1200000000000001</v>
      </c>
      <c r="E159">
        <v>-0.94</v>
      </c>
      <c r="F159">
        <v>-0.53</v>
      </c>
      <c r="G159">
        <v>0.35</v>
      </c>
    </row>
    <row r="160" spans="1:7" x14ac:dyDescent="0.2">
      <c r="A160" s="1">
        <v>38717</v>
      </c>
      <c r="B160">
        <v>-0.25</v>
      </c>
      <c r="C160">
        <v>-0.28000000000000003</v>
      </c>
      <c r="D160">
        <v>0.44</v>
      </c>
      <c r="E160">
        <v>0.12</v>
      </c>
      <c r="F160">
        <v>0.21</v>
      </c>
      <c r="G160">
        <v>0.32</v>
      </c>
    </row>
    <row r="161" spans="1:7" x14ac:dyDescent="0.2">
      <c r="A161" s="1">
        <v>38686</v>
      </c>
      <c r="B161">
        <v>3.61</v>
      </c>
      <c r="C161">
        <v>0.8</v>
      </c>
      <c r="D161">
        <v>-1.18</v>
      </c>
      <c r="E161">
        <v>-0.57999999999999996</v>
      </c>
      <c r="F161">
        <v>-1.17</v>
      </c>
      <c r="G161">
        <v>0.31</v>
      </c>
    </row>
    <row r="162" spans="1:7" x14ac:dyDescent="0.2">
      <c r="A162" s="1">
        <v>38656</v>
      </c>
      <c r="B162">
        <v>-2.02</v>
      </c>
      <c r="C162">
        <v>-1.41</v>
      </c>
      <c r="D162">
        <v>0.23</v>
      </c>
      <c r="E162">
        <v>-0.56000000000000005</v>
      </c>
      <c r="F162">
        <v>-1.26</v>
      </c>
      <c r="G162">
        <v>0.27</v>
      </c>
    </row>
    <row r="163" spans="1:7" x14ac:dyDescent="0.2">
      <c r="A163" s="1">
        <v>38625</v>
      </c>
      <c r="B163">
        <v>0.49</v>
      </c>
      <c r="C163">
        <v>-0.31</v>
      </c>
      <c r="D163">
        <v>0.77</v>
      </c>
      <c r="E163">
        <v>0.5</v>
      </c>
      <c r="F163">
        <v>-0.56999999999999995</v>
      </c>
      <c r="G163">
        <v>0.28999999999999998</v>
      </c>
    </row>
    <row r="164" spans="1:7" x14ac:dyDescent="0.2">
      <c r="A164" s="1">
        <v>38595</v>
      </c>
      <c r="B164">
        <v>-1.22</v>
      </c>
      <c r="C164">
        <v>-0.86</v>
      </c>
      <c r="D164">
        <v>1.27</v>
      </c>
      <c r="E164">
        <v>-2.2400000000000002</v>
      </c>
      <c r="F164">
        <v>0.45</v>
      </c>
      <c r="G164">
        <v>0.3</v>
      </c>
    </row>
    <row r="165" spans="1:7" x14ac:dyDescent="0.2">
      <c r="A165" s="1">
        <v>38564</v>
      </c>
      <c r="B165">
        <v>3.92</v>
      </c>
      <c r="C165">
        <v>2.83</v>
      </c>
      <c r="D165">
        <v>-0.51</v>
      </c>
      <c r="E165">
        <v>-1.17</v>
      </c>
      <c r="F165">
        <v>-0.98</v>
      </c>
      <c r="G165">
        <v>0.24</v>
      </c>
    </row>
    <row r="166" spans="1:7" x14ac:dyDescent="0.2">
      <c r="A166" s="1">
        <v>38533</v>
      </c>
      <c r="B166">
        <v>0.56999999999999995</v>
      </c>
      <c r="C166">
        <v>3.27</v>
      </c>
      <c r="D166">
        <v>2.62</v>
      </c>
      <c r="E166">
        <v>0.98</v>
      </c>
      <c r="F166">
        <v>-0.53</v>
      </c>
      <c r="G166">
        <v>0.23</v>
      </c>
    </row>
    <row r="167" spans="1:7" x14ac:dyDescent="0.2">
      <c r="A167" s="1">
        <v>38503</v>
      </c>
      <c r="B167">
        <v>3.65</v>
      </c>
      <c r="C167">
        <v>2.72</v>
      </c>
      <c r="D167">
        <v>-0.81</v>
      </c>
      <c r="E167">
        <v>-1.31</v>
      </c>
      <c r="F167">
        <v>0.27</v>
      </c>
      <c r="G167">
        <v>0.24</v>
      </c>
    </row>
    <row r="168" spans="1:7" x14ac:dyDescent="0.2">
      <c r="A168" s="1">
        <v>38472</v>
      </c>
      <c r="B168">
        <v>-2.61</v>
      </c>
      <c r="C168">
        <v>-4.03</v>
      </c>
      <c r="D168">
        <v>-0.34</v>
      </c>
      <c r="E168">
        <v>0.96</v>
      </c>
      <c r="F168">
        <v>-0.88</v>
      </c>
      <c r="G168">
        <v>0.21</v>
      </c>
    </row>
    <row r="169" spans="1:7" x14ac:dyDescent="0.2">
      <c r="A169" s="1">
        <v>38442</v>
      </c>
      <c r="B169">
        <v>-1.97</v>
      </c>
      <c r="C169">
        <v>-1.41</v>
      </c>
      <c r="D169">
        <v>1.58</v>
      </c>
      <c r="E169">
        <v>0.48</v>
      </c>
      <c r="F169">
        <v>1.1000000000000001</v>
      </c>
      <c r="G169">
        <v>0.21</v>
      </c>
    </row>
    <row r="170" spans="1:7" x14ac:dyDescent="0.2">
      <c r="A170" s="1">
        <v>38411</v>
      </c>
      <c r="B170">
        <v>1.89</v>
      </c>
      <c r="C170">
        <v>-0.3</v>
      </c>
      <c r="D170">
        <v>1.63</v>
      </c>
      <c r="E170">
        <v>1.21</v>
      </c>
      <c r="F170">
        <v>-0.06</v>
      </c>
      <c r="G170">
        <v>0.16</v>
      </c>
    </row>
    <row r="171" spans="1:7" x14ac:dyDescent="0.2">
      <c r="A171" s="1">
        <v>38383</v>
      </c>
      <c r="B171">
        <v>-2.76</v>
      </c>
      <c r="C171">
        <v>-1.1100000000000001</v>
      </c>
      <c r="D171">
        <v>1.97</v>
      </c>
      <c r="E171">
        <v>3.05</v>
      </c>
      <c r="F171">
        <v>-1.37</v>
      </c>
      <c r="G171">
        <v>0.16</v>
      </c>
    </row>
    <row r="172" spans="1:7" x14ac:dyDescent="0.2">
      <c r="A172" s="1">
        <v>38352</v>
      </c>
      <c r="B172">
        <v>3.43</v>
      </c>
      <c r="C172">
        <v>0.01</v>
      </c>
      <c r="D172">
        <v>-0.06</v>
      </c>
      <c r="E172">
        <v>-1.27</v>
      </c>
      <c r="F172">
        <v>0.5</v>
      </c>
      <c r="G172">
        <v>0.16</v>
      </c>
    </row>
    <row r="173" spans="1:7" x14ac:dyDescent="0.2">
      <c r="A173" s="1">
        <v>38321</v>
      </c>
      <c r="B173">
        <v>4.54</v>
      </c>
      <c r="C173">
        <v>4.12</v>
      </c>
      <c r="D173">
        <v>1.79</v>
      </c>
      <c r="E173">
        <v>-1.05</v>
      </c>
      <c r="F173">
        <v>-0.23</v>
      </c>
      <c r="G173">
        <v>0.15</v>
      </c>
    </row>
    <row r="174" spans="1:7" x14ac:dyDescent="0.2">
      <c r="A174" s="1">
        <v>38291</v>
      </c>
      <c r="B174">
        <v>1.43</v>
      </c>
      <c r="C174">
        <v>0.28999999999999998</v>
      </c>
      <c r="D174">
        <v>-0.62</v>
      </c>
      <c r="E174">
        <v>-0.08</v>
      </c>
      <c r="F174">
        <v>0.41</v>
      </c>
      <c r="G174">
        <v>0.11</v>
      </c>
    </row>
    <row r="175" spans="1:7" x14ac:dyDescent="0.2">
      <c r="A175" s="1">
        <v>38260</v>
      </c>
      <c r="B175">
        <v>1.6</v>
      </c>
      <c r="C175">
        <v>3.28</v>
      </c>
      <c r="D175">
        <v>-0.25</v>
      </c>
      <c r="E175">
        <v>-1.34</v>
      </c>
      <c r="F175">
        <v>-1.88</v>
      </c>
      <c r="G175">
        <v>0.11</v>
      </c>
    </row>
    <row r="176" spans="1:7" x14ac:dyDescent="0.2">
      <c r="A176" s="1">
        <v>38230</v>
      </c>
      <c r="B176">
        <v>0.08</v>
      </c>
      <c r="C176">
        <v>-1.28</v>
      </c>
      <c r="D176">
        <v>1.03</v>
      </c>
      <c r="E176">
        <v>1.31</v>
      </c>
      <c r="F176">
        <v>-1.42</v>
      </c>
      <c r="G176">
        <v>0.11</v>
      </c>
    </row>
    <row r="177" spans="1:7" x14ac:dyDescent="0.2">
      <c r="A177" s="1">
        <v>38199</v>
      </c>
      <c r="B177">
        <v>-4.0599999999999996</v>
      </c>
      <c r="C177">
        <v>-3.01</v>
      </c>
      <c r="D177">
        <v>4.0999999999999996</v>
      </c>
      <c r="E177">
        <v>5.08</v>
      </c>
      <c r="F177">
        <v>-1.64</v>
      </c>
      <c r="G177">
        <v>0.1</v>
      </c>
    </row>
    <row r="178" spans="1:7" x14ac:dyDescent="0.2">
      <c r="A178" s="1">
        <v>38168</v>
      </c>
      <c r="B178">
        <v>1.86</v>
      </c>
      <c r="C178">
        <v>2.56</v>
      </c>
      <c r="D178">
        <v>1.38</v>
      </c>
      <c r="E178">
        <v>1.1200000000000001</v>
      </c>
      <c r="F178">
        <v>-0.39</v>
      </c>
      <c r="G178">
        <v>0.08</v>
      </c>
    </row>
    <row r="179" spans="1:7" x14ac:dyDescent="0.2">
      <c r="A179" s="1">
        <v>38138</v>
      </c>
      <c r="B179">
        <v>1.17</v>
      </c>
      <c r="C179">
        <v>-0.4</v>
      </c>
      <c r="D179">
        <v>-0.39</v>
      </c>
      <c r="E179">
        <v>-0.98</v>
      </c>
      <c r="F179">
        <v>-0.09</v>
      </c>
      <c r="G179">
        <v>0.06</v>
      </c>
    </row>
    <row r="180" spans="1:7" x14ac:dyDescent="0.2">
      <c r="A180" s="1">
        <v>38107</v>
      </c>
      <c r="B180">
        <v>-1.83</v>
      </c>
      <c r="C180">
        <v>-2.1800000000000002</v>
      </c>
      <c r="D180">
        <v>-2.62</v>
      </c>
      <c r="E180">
        <v>3.3</v>
      </c>
      <c r="F180">
        <v>-2.82</v>
      </c>
      <c r="G180">
        <v>0.08</v>
      </c>
    </row>
    <row r="181" spans="1:7" x14ac:dyDescent="0.2">
      <c r="A181" s="1">
        <v>38077</v>
      </c>
      <c r="B181">
        <v>-1.32</v>
      </c>
      <c r="C181">
        <v>2.1</v>
      </c>
      <c r="D181">
        <v>0.21</v>
      </c>
      <c r="E181">
        <v>1.5</v>
      </c>
      <c r="F181">
        <v>-1.04</v>
      </c>
      <c r="G181">
        <v>0.09</v>
      </c>
    </row>
    <row r="182" spans="1:7" x14ac:dyDescent="0.2">
      <c r="A182" s="1">
        <v>38046</v>
      </c>
      <c r="B182">
        <v>1.4</v>
      </c>
      <c r="C182">
        <v>-0.91</v>
      </c>
      <c r="D182">
        <v>0.49</v>
      </c>
      <c r="E182">
        <v>2.2799999999999998</v>
      </c>
      <c r="F182">
        <v>-1.35</v>
      </c>
      <c r="G182">
        <v>0.06</v>
      </c>
    </row>
    <row r="183" spans="1:7" x14ac:dyDescent="0.2">
      <c r="A183" s="1">
        <v>38017</v>
      </c>
      <c r="B183">
        <v>2.15</v>
      </c>
      <c r="C183">
        <v>2.56</v>
      </c>
      <c r="D183">
        <v>1.97</v>
      </c>
      <c r="E183">
        <v>-3.54</v>
      </c>
      <c r="F183">
        <v>3.34</v>
      </c>
      <c r="G183">
        <v>7.0000000000000007E-2</v>
      </c>
    </row>
    <row r="184" spans="1:7" x14ac:dyDescent="0.2">
      <c r="A184" s="1">
        <v>37986</v>
      </c>
      <c r="B184">
        <v>4.29</v>
      </c>
      <c r="C184">
        <v>-2.7</v>
      </c>
      <c r="D184">
        <v>2.42</v>
      </c>
      <c r="E184">
        <v>0</v>
      </c>
      <c r="F184">
        <v>1</v>
      </c>
      <c r="G184">
        <v>0.08</v>
      </c>
    </row>
    <row r="185" spans="1:7" x14ac:dyDescent="0.2">
      <c r="A185" s="1">
        <v>37955</v>
      </c>
      <c r="B185">
        <v>1.35</v>
      </c>
      <c r="C185">
        <v>2.2000000000000002</v>
      </c>
      <c r="D185">
        <v>1.86</v>
      </c>
      <c r="E185">
        <v>7.0000000000000007E-2</v>
      </c>
      <c r="F185">
        <v>1.69</v>
      </c>
      <c r="G185">
        <v>7.0000000000000007E-2</v>
      </c>
    </row>
    <row r="186" spans="1:7" x14ac:dyDescent="0.2">
      <c r="A186" s="1">
        <v>37925</v>
      </c>
      <c r="B186">
        <v>6.08</v>
      </c>
      <c r="C186">
        <v>2.64</v>
      </c>
      <c r="D186">
        <v>1.76</v>
      </c>
      <c r="E186">
        <v>-1.58</v>
      </c>
      <c r="F186">
        <v>1.58</v>
      </c>
      <c r="G186">
        <v>7.0000000000000007E-2</v>
      </c>
    </row>
    <row r="187" spans="1:7" x14ac:dyDescent="0.2">
      <c r="A187" s="1">
        <v>37894</v>
      </c>
      <c r="B187">
        <v>-1.24</v>
      </c>
      <c r="C187">
        <v>0.52</v>
      </c>
      <c r="D187">
        <v>0.02</v>
      </c>
      <c r="E187">
        <v>1.34</v>
      </c>
      <c r="F187">
        <v>0.28000000000000003</v>
      </c>
      <c r="G187">
        <v>0.08</v>
      </c>
    </row>
    <row r="188" spans="1:7" x14ac:dyDescent="0.2">
      <c r="A188" s="1">
        <v>37864</v>
      </c>
      <c r="B188">
        <v>2.34</v>
      </c>
      <c r="C188">
        <v>2.54</v>
      </c>
      <c r="D188">
        <v>2.0299999999999998</v>
      </c>
      <c r="E188">
        <v>-2.48</v>
      </c>
      <c r="F188">
        <v>2.19</v>
      </c>
      <c r="G188">
        <v>7.0000000000000007E-2</v>
      </c>
    </row>
    <row r="189" spans="1:7" x14ac:dyDescent="0.2">
      <c r="A189" s="1">
        <v>37833</v>
      </c>
      <c r="B189">
        <v>2.35</v>
      </c>
      <c r="C189">
        <v>4.7300000000000004</v>
      </c>
      <c r="D189">
        <v>-1.1499999999999999</v>
      </c>
      <c r="E189">
        <v>-4.17</v>
      </c>
      <c r="F189">
        <v>1.89</v>
      </c>
      <c r="G189">
        <v>7.0000000000000007E-2</v>
      </c>
    </row>
    <row r="190" spans="1:7" x14ac:dyDescent="0.2">
      <c r="A190" s="1">
        <v>37802</v>
      </c>
      <c r="B190">
        <v>1.42</v>
      </c>
      <c r="C190">
        <v>1.68</v>
      </c>
      <c r="D190">
        <v>0.66</v>
      </c>
      <c r="E190">
        <v>0.54</v>
      </c>
      <c r="F190">
        <v>-0.32</v>
      </c>
      <c r="G190">
        <v>0.1</v>
      </c>
    </row>
    <row r="191" spans="1:7" x14ac:dyDescent="0.2">
      <c r="A191" s="1">
        <v>37772</v>
      </c>
      <c r="B191">
        <v>6.05</v>
      </c>
      <c r="C191">
        <v>4.83</v>
      </c>
      <c r="D191">
        <v>-0.3</v>
      </c>
      <c r="E191">
        <v>-6.92</v>
      </c>
      <c r="F191">
        <v>3.22</v>
      </c>
      <c r="G191">
        <v>0.09</v>
      </c>
    </row>
    <row r="192" spans="1:7" x14ac:dyDescent="0.2">
      <c r="A192" s="1">
        <v>37741</v>
      </c>
      <c r="B192">
        <v>8.2200000000000006</v>
      </c>
      <c r="C192">
        <v>1.06</v>
      </c>
      <c r="D192">
        <v>1.03</v>
      </c>
      <c r="E192">
        <v>-4.58</v>
      </c>
      <c r="F192">
        <v>1.1499999999999999</v>
      </c>
      <c r="G192">
        <v>0.1</v>
      </c>
    </row>
    <row r="193" spans="1:7" x14ac:dyDescent="0.2">
      <c r="A193" s="1">
        <v>37711</v>
      </c>
      <c r="B193">
        <v>1.0900000000000001</v>
      </c>
      <c r="C193">
        <v>0.55000000000000004</v>
      </c>
      <c r="D193">
        <v>-2.09</v>
      </c>
      <c r="E193">
        <v>1.81</v>
      </c>
      <c r="F193">
        <v>-0.69</v>
      </c>
      <c r="G193">
        <v>0.1</v>
      </c>
    </row>
    <row r="194" spans="1:7" x14ac:dyDescent="0.2">
      <c r="A194" s="1">
        <v>37680</v>
      </c>
      <c r="B194">
        <v>-1.88</v>
      </c>
      <c r="C194">
        <v>-0.89</v>
      </c>
      <c r="D194">
        <v>-1.46</v>
      </c>
      <c r="E194">
        <v>1.04</v>
      </c>
      <c r="F194">
        <v>-0.54</v>
      </c>
      <c r="G194">
        <v>0.09</v>
      </c>
    </row>
    <row r="195" spans="1:7" x14ac:dyDescent="0.2">
      <c r="A195" s="1">
        <v>37652</v>
      </c>
      <c r="B195">
        <v>-2.57</v>
      </c>
      <c r="C195">
        <v>0.81</v>
      </c>
      <c r="D195">
        <v>-0.93</v>
      </c>
      <c r="E195">
        <v>-0.61</v>
      </c>
      <c r="F195">
        <v>0.81</v>
      </c>
      <c r="G195">
        <v>0.1</v>
      </c>
    </row>
    <row r="196" spans="1:7" x14ac:dyDescent="0.2">
      <c r="A196" s="1">
        <v>37621</v>
      </c>
      <c r="B196">
        <v>-5.76</v>
      </c>
      <c r="C196">
        <v>0.49</v>
      </c>
      <c r="D196">
        <v>2.25</v>
      </c>
      <c r="E196">
        <v>6.05</v>
      </c>
      <c r="F196">
        <v>-1.61</v>
      </c>
      <c r="G196">
        <v>0.11</v>
      </c>
    </row>
    <row r="197" spans="1:7" x14ac:dyDescent="0.2">
      <c r="A197" s="1">
        <v>37590</v>
      </c>
      <c r="B197">
        <v>5.96</v>
      </c>
      <c r="C197">
        <v>2.9</v>
      </c>
      <c r="D197">
        <v>-1.1499999999999999</v>
      </c>
      <c r="E197">
        <v>-9.14</v>
      </c>
      <c r="F197">
        <v>5.16</v>
      </c>
      <c r="G197">
        <v>0.12</v>
      </c>
    </row>
    <row r="198" spans="1:7" x14ac:dyDescent="0.2">
      <c r="A198" s="1">
        <v>37560</v>
      </c>
      <c r="B198">
        <v>7.84</v>
      </c>
      <c r="C198">
        <v>-4.12</v>
      </c>
      <c r="D198">
        <v>-5.46</v>
      </c>
      <c r="E198">
        <v>-3.29</v>
      </c>
      <c r="F198">
        <v>0.92</v>
      </c>
      <c r="G198">
        <v>0.14000000000000001</v>
      </c>
    </row>
    <row r="199" spans="1:7" x14ac:dyDescent="0.2">
      <c r="A199" s="1">
        <v>37529</v>
      </c>
      <c r="B199">
        <v>-10.35</v>
      </c>
      <c r="C199">
        <v>3.07</v>
      </c>
      <c r="D199">
        <v>1.31</v>
      </c>
      <c r="E199">
        <v>3.27</v>
      </c>
      <c r="F199">
        <v>-2.29</v>
      </c>
      <c r="G199">
        <v>0.14000000000000001</v>
      </c>
    </row>
    <row r="200" spans="1:7" x14ac:dyDescent="0.2">
      <c r="A200" s="1">
        <v>37499</v>
      </c>
      <c r="B200">
        <v>0.5</v>
      </c>
      <c r="C200">
        <v>-1.27</v>
      </c>
      <c r="D200">
        <v>2.4900000000000002</v>
      </c>
      <c r="E200">
        <v>1.1499999999999999</v>
      </c>
      <c r="F200">
        <v>-1.61</v>
      </c>
      <c r="G200">
        <v>0.14000000000000001</v>
      </c>
    </row>
    <row r="201" spans="1:7" x14ac:dyDescent="0.2">
      <c r="A201" s="1">
        <v>37468</v>
      </c>
      <c r="B201">
        <v>-8.18</v>
      </c>
      <c r="C201">
        <v>-6.24</v>
      </c>
      <c r="D201">
        <v>-3.41</v>
      </c>
      <c r="E201">
        <v>4.2</v>
      </c>
      <c r="F201">
        <v>-0.73</v>
      </c>
      <c r="G201">
        <v>0.15</v>
      </c>
    </row>
    <row r="202" spans="1:7" x14ac:dyDescent="0.2">
      <c r="A202" s="1">
        <v>37437</v>
      </c>
      <c r="B202">
        <v>-7.21</v>
      </c>
      <c r="C202">
        <v>3.77</v>
      </c>
      <c r="D202">
        <v>0.13</v>
      </c>
      <c r="E202">
        <v>3.62</v>
      </c>
      <c r="F202">
        <v>2.54</v>
      </c>
      <c r="G202">
        <v>0.13</v>
      </c>
    </row>
    <row r="203" spans="1:7" x14ac:dyDescent="0.2">
      <c r="A203" s="1">
        <v>37407</v>
      </c>
      <c r="B203">
        <v>-1.38</v>
      </c>
      <c r="C203">
        <v>-3.07</v>
      </c>
      <c r="D203">
        <v>1.69</v>
      </c>
      <c r="E203">
        <v>2.27</v>
      </c>
      <c r="F203">
        <v>2.41</v>
      </c>
      <c r="G203">
        <v>0.14000000000000001</v>
      </c>
    </row>
    <row r="204" spans="1:7" x14ac:dyDescent="0.2">
      <c r="A204" s="1">
        <v>37376</v>
      </c>
      <c r="B204">
        <v>-5.2</v>
      </c>
      <c r="C204">
        <v>6.66</v>
      </c>
      <c r="D204">
        <v>3.93</v>
      </c>
      <c r="E204">
        <v>4.57</v>
      </c>
      <c r="F204">
        <v>5.39</v>
      </c>
      <c r="G204">
        <v>0.15</v>
      </c>
    </row>
    <row r="205" spans="1:7" x14ac:dyDescent="0.2">
      <c r="A205" s="1">
        <v>37346</v>
      </c>
      <c r="B205">
        <v>4.24</v>
      </c>
      <c r="C205">
        <v>4.2699999999999996</v>
      </c>
      <c r="D205">
        <v>1.1100000000000001</v>
      </c>
      <c r="E205">
        <v>-1.35</v>
      </c>
      <c r="F205">
        <v>0.57999999999999996</v>
      </c>
      <c r="G205">
        <v>0.13</v>
      </c>
    </row>
    <row r="206" spans="1:7" x14ac:dyDescent="0.2">
      <c r="A206" s="1">
        <v>37315</v>
      </c>
      <c r="B206">
        <v>-2.29</v>
      </c>
      <c r="C206">
        <v>-0.47</v>
      </c>
      <c r="D206">
        <v>2.5</v>
      </c>
      <c r="E206">
        <v>7.62</v>
      </c>
      <c r="F206">
        <v>5.14</v>
      </c>
      <c r="G206">
        <v>0.13</v>
      </c>
    </row>
    <row r="207" spans="1:7" x14ac:dyDescent="0.2">
      <c r="A207" s="1">
        <v>37287</v>
      </c>
      <c r="B207">
        <v>-1.44</v>
      </c>
      <c r="C207">
        <v>1.19</v>
      </c>
      <c r="D207">
        <v>3.33</v>
      </c>
      <c r="E207">
        <v>4.3600000000000003</v>
      </c>
      <c r="F207">
        <v>2.84</v>
      </c>
      <c r="G207">
        <v>0.14000000000000001</v>
      </c>
    </row>
    <row r="208" spans="1:7" x14ac:dyDescent="0.2">
      <c r="A208" s="1">
        <v>37256</v>
      </c>
      <c r="B208">
        <v>1.61</v>
      </c>
      <c r="C208">
        <v>5.13</v>
      </c>
      <c r="D208">
        <v>1.1000000000000001</v>
      </c>
      <c r="E208">
        <v>0.31</v>
      </c>
      <c r="F208">
        <v>-0.32</v>
      </c>
      <c r="G208">
        <v>0.15</v>
      </c>
    </row>
    <row r="209" spans="1:7" x14ac:dyDescent="0.2">
      <c r="A209" s="1">
        <v>37225</v>
      </c>
      <c r="B209">
        <v>7.54</v>
      </c>
      <c r="C209">
        <v>-0.31</v>
      </c>
      <c r="D209">
        <v>2</v>
      </c>
      <c r="E209">
        <v>-3.76</v>
      </c>
      <c r="F209">
        <v>-1.66</v>
      </c>
      <c r="G209">
        <v>0.17</v>
      </c>
    </row>
    <row r="210" spans="1:7" x14ac:dyDescent="0.2">
      <c r="A210" s="1">
        <v>37195</v>
      </c>
      <c r="B210">
        <v>2.46</v>
      </c>
      <c r="C210">
        <v>5.41</v>
      </c>
      <c r="D210">
        <v>-8.1</v>
      </c>
      <c r="E210">
        <v>-2.62</v>
      </c>
      <c r="F210">
        <v>-4.5999999999999996</v>
      </c>
      <c r="G210">
        <v>0.22</v>
      </c>
    </row>
    <row r="211" spans="1:7" x14ac:dyDescent="0.2">
      <c r="A211" s="1">
        <v>37164</v>
      </c>
      <c r="B211">
        <v>-9.25</v>
      </c>
      <c r="C211">
        <v>-5.69</v>
      </c>
      <c r="D211">
        <v>1.6</v>
      </c>
      <c r="E211">
        <v>4.93</v>
      </c>
      <c r="F211">
        <v>3.28</v>
      </c>
      <c r="G211">
        <v>0.28000000000000003</v>
      </c>
    </row>
    <row r="212" spans="1:7" x14ac:dyDescent="0.2">
      <c r="A212" s="1">
        <v>37134</v>
      </c>
      <c r="B212">
        <v>-6.46</v>
      </c>
      <c r="C212">
        <v>2.72</v>
      </c>
      <c r="D212">
        <v>2.5</v>
      </c>
      <c r="E212">
        <v>3.95</v>
      </c>
      <c r="F212">
        <v>6.5</v>
      </c>
      <c r="G212">
        <v>0.31</v>
      </c>
    </row>
    <row r="213" spans="1:7" x14ac:dyDescent="0.2">
      <c r="A213" s="1">
        <v>37103</v>
      </c>
      <c r="B213">
        <v>-2.13</v>
      </c>
      <c r="C213">
        <v>-2.91</v>
      </c>
      <c r="D213">
        <v>5.58</v>
      </c>
      <c r="E213">
        <v>7.17</v>
      </c>
      <c r="F213">
        <v>3</v>
      </c>
      <c r="G213">
        <v>0.3</v>
      </c>
    </row>
    <row r="214" spans="1:7" x14ac:dyDescent="0.2">
      <c r="A214" s="1">
        <v>37072</v>
      </c>
      <c r="B214">
        <v>-1.94</v>
      </c>
      <c r="C214">
        <v>6.62</v>
      </c>
      <c r="D214">
        <v>-1.06</v>
      </c>
      <c r="E214">
        <v>2.04</v>
      </c>
      <c r="F214">
        <v>-1.8</v>
      </c>
      <c r="G214">
        <v>0.28000000000000003</v>
      </c>
    </row>
    <row r="215" spans="1:7" x14ac:dyDescent="0.2">
      <c r="A215" s="1">
        <v>37042</v>
      </c>
      <c r="B215">
        <v>0.72</v>
      </c>
      <c r="C215">
        <v>3.58</v>
      </c>
      <c r="D215">
        <v>3.14</v>
      </c>
      <c r="E215">
        <v>0.18</v>
      </c>
      <c r="F215">
        <v>2.19</v>
      </c>
      <c r="G215">
        <v>0.32</v>
      </c>
    </row>
    <row r="216" spans="1:7" x14ac:dyDescent="0.2">
      <c r="A216" s="1">
        <v>37011</v>
      </c>
      <c r="B216">
        <v>7.94</v>
      </c>
      <c r="C216">
        <v>-0.64</v>
      </c>
      <c r="D216">
        <v>-4.6900000000000004</v>
      </c>
      <c r="E216">
        <v>-2.71</v>
      </c>
      <c r="F216">
        <v>-3.97</v>
      </c>
      <c r="G216">
        <v>0.39</v>
      </c>
    </row>
    <row r="217" spans="1:7" x14ac:dyDescent="0.2">
      <c r="A217" s="1">
        <v>36981</v>
      </c>
      <c r="B217">
        <v>-7.26</v>
      </c>
      <c r="C217">
        <v>2.31</v>
      </c>
      <c r="D217">
        <v>6.45</v>
      </c>
      <c r="E217">
        <v>3.38</v>
      </c>
      <c r="F217">
        <v>3.95</v>
      </c>
      <c r="G217">
        <v>0.42</v>
      </c>
    </row>
    <row r="218" spans="1:7" x14ac:dyDescent="0.2">
      <c r="A218" s="1">
        <v>36950</v>
      </c>
      <c r="B218">
        <v>-10.050000000000001</v>
      </c>
      <c r="C218">
        <v>2.66</v>
      </c>
      <c r="D218">
        <v>12.9</v>
      </c>
      <c r="E218">
        <v>9</v>
      </c>
      <c r="F218">
        <v>9.58</v>
      </c>
      <c r="G218">
        <v>0.38</v>
      </c>
    </row>
    <row r="219" spans="1:7" x14ac:dyDescent="0.2">
      <c r="A219" s="1">
        <v>36922</v>
      </c>
      <c r="B219">
        <v>3.13</v>
      </c>
      <c r="C219">
        <v>5.81</v>
      </c>
      <c r="D219">
        <v>-4.9000000000000004</v>
      </c>
      <c r="E219">
        <v>-4.43</v>
      </c>
      <c r="F219">
        <v>-6.54</v>
      </c>
      <c r="G219">
        <v>0.54</v>
      </c>
    </row>
    <row r="220" spans="1:7" x14ac:dyDescent="0.2">
      <c r="A220" s="1">
        <v>36891</v>
      </c>
      <c r="B220">
        <v>1.19</v>
      </c>
      <c r="C220">
        <v>3.16</v>
      </c>
      <c r="D220">
        <v>7.33</v>
      </c>
      <c r="E220">
        <v>1.83</v>
      </c>
      <c r="F220">
        <v>5.72</v>
      </c>
      <c r="G220">
        <v>0.5</v>
      </c>
    </row>
    <row r="221" spans="1:7" x14ac:dyDescent="0.2">
      <c r="A221" s="1">
        <v>36860</v>
      </c>
      <c r="B221">
        <v>-10.72</v>
      </c>
      <c r="C221">
        <v>-0.46</v>
      </c>
      <c r="D221">
        <v>11.3</v>
      </c>
      <c r="E221">
        <v>13.31</v>
      </c>
      <c r="F221">
        <v>8.51</v>
      </c>
      <c r="G221">
        <v>0.51</v>
      </c>
    </row>
    <row r="222" spans="1:7" x14ac:dyDescent="0.2">
      <c r="A222" s="1">
        <v>36830</v>
      </c>
      <c r="B222">
        <v>-2.76</v>
      </c>
      <c r="C222">
        <v>-2.8</v>
      </c>
      <c r="D222">
        <v>5.52</v>
      </c>
      <c r="E222">
        <v>9.65</v>
      </c>
      <c r="F222">
        <v>4.7</v>
      </c>
      <c r="G222">
        <v>0.56000000000000005</v>
      </c>
    </row>
    <row r="223" spans="1:7" x14ac:dyDescent="0.2">
      <c r="A223" s="1">
        <v>36799</v>
      </c>
      <c r="B223">
        <v>-5.45</v>
      </c>
      <c r="C223">
        <v>0.21</v>
      </c>
      <c r="D223">
        <v>6.24</v>
      </c>
      <c r="E223">
        <v>3.07</v>
      </c>
      <c r="F223">
        <v>6.38</v>
      </c>
      <c r="G223">
        <v>0.51</v>
      </c>
    </row>
    <row r="224" spans="1:7" x14ac:dyDescent="0.2">
      <c r="A224" s="1">
        <v>36769</v>
      </c>
      <c r="B224">
        <v>7.03</v>
      </c>
      <c r="C224">
        <v>-1.1000000000000001</v>
      </c>
      <c r="D224">
        <v>-0.68</v>
      </c>
      <c r="E224">
        <v>-3.06</v>
      </c>
      <c r="F224">
        <v>0.61</v>
      </c>
      <c r="G224">
        <v>0.5</v>
      </c>
    </row>
    <row r="225" spans="1:7" x14ac:dyDescent="0.2">
      <c r="A225" s="1">
        <v>36738</v>
      </c>
      <c r="B225">
        <v>-2.5099999999999998</v>
      </c>
      <c r="C225">
        <v>-0.97</v>
      </c>
      <c r="D225">
        <v>8.14</v>
      </c>
      <c r="E225">
        <v>5.98</v>
      </c>
      <c r="F225">
        <v>3</v>
      </c>
      <c r="G225">
        <v>0.48</v>
      </c>
    </row>
    <row r="226" spans="1:7" x14ac:dyDescent="0.2">
      <c r="A226" s="1">
        <v>36707</v>
      </c>
      <c r="B226">
        <v>4.6399999999999997</v>
      </c>
      <c r="C226">
        <v>10.4</v>
      </c>
      <c r="D226">
        <v>-9.86</v>
      </c>
      <c r="E226">
        <v>-6.81</v>
      </c>
      <c r="F226">
        <v>-3.06</v>
      </c>
      <c r="G226">
        <v>0.4</v>
      </c>
    </row>
    <row r="227" spans="1:7" x14ac:dyDescent="0.2">
      <c r="A227" s="1">
        <v>36677</v>
      </c>
      <c r="B227">
        <v>-4.42</v>
      </c>
      <c r="C227">
        <v>-3.69</v>
      </c>
      <c r="D227">
        <v>2.56</v>
      </c>
      <c r="E227">
        <v>4.5999999999999996</v>
      </c>
      <c r="F227">
        <v>0.73</v>
      </c>
      <c r="G227">
        <v>0.5</v>
      </c>
    </row>
    <row r="228" spans="1:7" x14ac:dyDescent="0.2">
      <c r="A228" s="1">
        <v>36646</v>
      </c>
      <c r="B228">
        <v>-6.4</v>
      </c>
      <c r="C228">
        <v>-5.58</v>
      </c>
      <c r="D228">
        <v>8.6</v>
      </c>
      <c r="E228">
        <v>7.46</v>
      </c>
      <c r="F228">
        <v>5.24</v>
      </c>
      <c r="G228">
        <v>0.46</v>
      </c>
    </row>
    <row r="229" spans="1:7" x14ac:dyDescent="0.2">
      <c r="A229" s="1">
        <v>36616</v>
      </c>
      <c r="B229">
        <v>5.2</v>
      </c>
      <c r="C229">
        <v>-14.91</v>
      </c>
      <c r="D229">
        <v>7.37</v>
      </c>
      <c r="E229">
        <v>11.69</v>
      </c>
      <c r="F229">
        <v>-1.06</v>
      </c>
      <c r="G229">
        <v>0.47</v>
      </c>
    </row>
    <row r="230" spans="1:7" x14ac:dyDescent="0.2">
      <c r="A230" s="1">
        <v>36585</v>
      </c>
      <c r="B230">
        <v>2.4500000000000002</v>
      </c>
      <c r="C230">
        <v>18.309999999999999</v>
      </c>
      <c r="D230">
        <v>-9.93</v>
      </c>
      <c r="E230">
        <v>-18.37</v>
      </c>
      <c r="F230">
        <v>-0.51</v>
      </c>
      <c r="G230">
        <v>0.43</v>
      </c>
    </row>
    <row r="231" spans="1:7" x14ac:dyDescent="0.2">
      <c r="A231" s="1">
        <v>36556</v>
      </c>
      <c r="B231">
        <v>-4.74</v>
      </c>
      <c r="C231">
        <v>4.1100000000000003</v>
      </c>
      <c r="D231">
        <v>-0.31</v>
      </c>
      <c r="E231">
        <v>-6.19</v>
      </c>
      <c r="F231">
        <v>4.68</v>
      </c>
      <c r="G231">
        <v>0.41</v>
      </c>
    </row>
    <row r="232" spans="1:7" x14ac:dyDescent="0.2">
      <c r="A232" s="1">
        <v>36525</v>
      </c>
      <c r="B232">
        <v>7.72</v>
      </c>
      <c r="C232">
        <v>5.53</v>
      </c>
      <c r="D232">
        <v>-8.67</v>
      </c>
      <c r="E232">
        <v>-7.57</v>
      </c>
      <c r="F232">
        <v>-5.16</v>
      </c>
      <c r="G232">
        <v>0.44</v>
      </c>
    </row>
    <row r="233" spans="1:7" x14ac:dyDescent="0.2">
      <c r="A233" s="1">
        <v>36494</v>
      </c>
      <c r="B233">
        <v>3.37</v>
      </c>
      <c r="C233">
        <v>5.92</v>
      </c>
      <c r="D233">
        <v>-6.5</v>
      </c>
      <c r="E233">
        <v>-3.8</v>
      </c>
      <c r="F233">
        <v>-1.56</v>
      </c>
      <c r="G233">
        <v>0.36</v>
      </c>
    </row>
    <row r="234" spans="1:7" x14ac:dyDescent="0.2">
      <c r="A234" s="1">
        <v>36464</v>
      </c>
      <c r="B234">
        <v>6.13</v>
      </c>
      <c r="C234">
        <v>-7.09</v>
      </c>
      <c r="D234">
        <v>-2.88</v>
      </c>
      <c r="E234">
        <v>-1.74</v>
      </c>
      <c r="F234">
        <v>-1.27</v>
      </c>
      <c r="G234">
        <v>0.39</v>
      </c>
    </row>
    <row r="235" spans="1:7" x14ac:dyDescent="0.2">
      <c r="A235" s="1">
        <v>36433</v>
      </c>
      <c r="B235">
        <v>-2.81</v>
      </c>
      <c r="C235">
        <v>2.58</v>
      </c>
      <c r="D235">
        <v>-3.39</v>
      </c>
      <c r="E235">
        <v>-0.67</v>
      </c>
      <c r="F235">
        <v>-1.03</v>
      </c>
      <c r="G235">
        <v>0.39</v>
      </c>
    </row>
    <row r="236" spans="1:7" x14ac:dyDescent="0.2">
      <c r="A236" s="1">
        <v>36403</v>
      </c>
      <c r="B236">
        <v>-1.38</v>
      </c>
      <c r="C236">
        <v>-1.93</v>
      </c>
      <c r="D236">
        <v>-1.31</v>
      </c>
      <c r="E236">
        <v>-0.27</v>
      </c>
      <c r="F236">
        <v>0.32</v>
      </c>
      <c r="G236">
        <v>0.39</v>
      </c>
    </row>
    <row r="237" spans="1:7" x14ac:dyDescent="0.2">
      <c r="A237" s="1">
        <v>36372</v>
      </c>
      <c r="B237">
        <v>-3.47</v>
      </c>
      <c r="C237">
        <v>2.5099999999999998</v>
      </c>
      <c r="D237">
        <v>-0.77</v>
      </c>
      <c r="E237">
        <v>0.42</v>
      </c>
      <c r="F237">
        <v>3.09</v>
      </c>
      <c r="G237">
        <v>0.38</v>
      </c>
    </row>
    <row r="238" spans="1:7" x14ac:dyDescent="0.2">
      <c r="A238" s="1">
        <v>36341</v>
      </c>
      <c r="B238">
        <v>4.7699999999999996</v>
      </c>
      <c r="C238">
        <v>2.2599999999999998</v>
      </c>
      <c r="D238">
        <v>-3.59</v>
      </c>
      <c r="E238">
        <v>1.32</v>
      </c>
      <c r="F238">
        <v>-3.39</v>
      </c>
      <c r="G238">
        <v>0.4</v>
      </c>
    </row>
    <row r="239" spans="1:7" x14ac:dyDescent="0.2">
      <c r="A239" s="1">
        <v>36311</v>
      </c>
      <c r="B239">
        <v>-2.46</v>
      </c>
      <c r="C239">
        <v>3.73</v>
      </c>
      <c r="D239">
        <v>2.4</v>
      </c>
      <c r="E239">
        <v>1.0900000000000001</v>
      </c>
      <c r="F239">
        <v>3.34</v>
      </c>
      <c r="G239">
        <v>0.34</v>
      </c>
    </row>
    <row r="240" spans="1:7" x14ac:dyDescent="0.2">
      <c r="A240" s="1">
        <v>36280</v>
      </c>
      <c r="B240">
        <v>4.33</v>
      </c>
      <c r="C240">
        <v>4.6500000000000004</v>
      </c>
      <c r="D240">
        <v>2.5099999999999998</v>
      </c>
      <c r="E240">
        <v>-2.42</v>
      </c>
      <c r="F240">
        <v>0.92</v>
      </c>
      <c r="G240">
        <v>0.37</v>
      </c>
    </row>
    <row r="241" spans="1:7" x14ac:dyDescent="0.2">
      <c r="A241" s="1">
        <v>36250</v>
      </c>
      <c r="B241">
        <v>3.45</v>
      </c>
      <c r="C241">
        <v>-4.3</v>
      </c>
      <c r="D241">
        <v>-2.64</v>
      </c>
      <c r="E241">
        <v>-4.2</v>
      </c>
      <c r="F241">
        <v>-1.38</v>
      </c>
      <c r="G241">
        <v>0.43</v>
      </c>
    </row>
    <row r="242" spans="1:7" x14ac:dyDescent="0.2">
      <c r="A242" s="1">
        <v>36219</v>
      </c>
      <c r="B242">
        <v>-4.08</v>
      </c>
      <c r="C242">
        <v>-5.15</v>
      </c>
      <c r="D242">
        <v>1.4</v>
      </c>
      <c r="E242">
        <v>-1.71</v>
      </c>
      <c r="F242">
        <v>4.09</v>
      </c>
      <c r="G242">
        <v>0.35</v>
      </c>
    </row>
    <row r="243" spans="1:7" x14ac:dyDescent="0.2">
      <c r="A243" s="1">
        <v>36191</v>
      </c>
      <c r="B243">
        <v>3.5</v>
      </c>
      <c r="C243">
        <v>-0.75</v>
      </c>
      <c r="D243">
        <v>-4.03</v>
      </c>
      <c r="E243">
        <v>-2.69</v>
      </c>
      <c r="F243">
        <v>-6.88</v>
      </c>
      <c r="G243">
        <v>0.35</v>
      </c>
    </row>
    <row r="244" spans="1:7" x14ac:dyDescent="0.2">
      <c r="A244" s="1">
        <v>36160</v>
      </c>
      <c r="B244">
        <v>6.16</v>
      </c>
      <c r="C244">
        <v>-1.5</v>
      </c>
      <c r="D244">
        <v>-4.46</v>
      </c>
      <c r="E244">
        <v>-0.75</v>
      </c>
      <c r="F244">
        <v>-3.35</v>
      </c>
      <c r="G244">
        <v>0.38</v>
      </c>
    </row>
    <row r="245" spans="1:7" x14ac:dyDescent="0.2">
      <c r="A245" s="1">
        <v>36129</v>
      </c>
      <c r="B245">
        <v>6.1</v>
      </c>
      <c r="C245">
        <v>0.65</v>
      </c>
      <c r="D245">
        <v>-3.14</v>
      </c>
      <c r="E245">
        <v>-1.25</v>
      </c>
      <c r="F245">
        <v>-1.1499999999999999</v>
      </c>
      <c r="G245">
        <v>0.31</v>
      </c>
    </row>
    <row r="246" spans="1:7" x14ac:dyDescent="0.2">
      <c r="A246" s="1">
        <v>36099</v>
      </c>
      <c r="B246">
        <v>7.13</v>
      </c>
      <c r="C246">
        <v>-3.53</v>
      </c>
      <c r="D246">
        <v>-2.2000000000000002</v>
      </c>
      <c r="E246">
        <v>0.59</v>
      </c>
      <c r="F246">
        <v>0.27</v>
      </c>
      <c r="G246">
        <v>0.32</v>
      </c>
    </row>
    <row r="247" spans="1:7" x14ac:dyDescent="0.2">
      <c r="A247" s="1">
        <v>36068</v>
      </c>
      <c r="B247">
        <v>6.15</v>
      </c>
      <c r="C247">
        <v>-0.82</v>
      </c>
      <c r="D247">
        <v>-3.31</v>
      </c>
      <c r="E247">
        <v>-1.52</v>
      </c>
      <c r="F247">
        <v>-2.9</v>
      </c>
      <c r="G247">
        <v>0.46</v>
      </c>
    </row>
    <row r="248" spans="1:7" x14ac:dyDescent="0.2">
      <c r="A248" s="1">
        <v>36038</v>
      </c>
      <c r="B248">
        <v>-16.079999999999998</v>
      </c>
      <c r="C248">
        <v>-5.01</v>
      </c>
      <c r="D248">
        <v>3.41</v>
      </c>
      <c r="E248">
        <v>3.48</v>
      </c>
      <c r="F248">
        <v>5.84</v>
      </c>
      <c r="G248">
        <v>0.43</v>
      </c>
    </row>
    <row r="249" spans="1:7" x14ac:dyDescent="0.2">
      <c r="A249" s="1">
        <v>36007</v>
      </c>
      <c r="B249">
        <v>-2.46</v>
      </c>
      <c r="C249">
        <v>-5.32</v>
      </c>
      <c r="D249">
        <v>-0.97</v>
      </c>
      <c r="E249">
        <v>1.82</v>
      </c>
      <c r="F249">
        <v>0.45</v>
      </c>
      <c r="G249">
        <v>0.4</v>
      </c>
    </row>
    <row r="250" spans="1:7" x14ac:dyDescent="0.2">
      <c r="A250" s="1">
        <v>35976</v>
      </c>
      <c r="B250">
        <v>3.18</v>
      </c>
      <c r="C250">
        <v>-3.67</v>
      </c>
      <c r="D250">
        <v>-2.3199999999999998</v>
      </c>
      <c r="E250">
        <v>-0.52</v>
      </c>
      <c r="F250">
        <v>-2.91</v>
      </c>
      <c r="G250">
        <v>0.41</v>
      </c>
    </row>
    <row r="251" spans="1:7" x14ac:dyDescent="0.2">
      <c r="A251" s="1">
        <v>35946</v>
      </c>
      <c r="B251">
        <v>-3.07</v>
      </c>
      <c r="C251">
        <v>-3.11</v>
      </c>
      <c r="D251">
        <v>4.16</v>
      </c>
      <c r="E251">
        <v>0.97</v>
      </c>
      <c r="F251">
        <v>2.54</v>
      </c>
      <c r="G251">
        <v>0.4</v>
      </c>
    </row>
    <row r="252" spans="1:7" x14ac:dyDescent="0.2">
      <c r="A252" s="1">
        <v>35915</v>
      </c>
      <c r="B252">
        <v>0.73</v>
      </c>
      <c r="C252">
        <v>-0.01</v>
      </c>
      <c r="D252">
        <v>0.74</v>
      </c>
      <c r="E252">
        <v>-2.13</v>
      </c>
      <c r="F252">
        <v>-0.23</v>
      </c>
      <c r="G252">
        <v>0.43</v>
      </c>
    </row>
    <row r="253" spans="1:7" x14ac:dyDescent="0.2">
      <c r="A253" s="1">
        <v>35885</v>
      </c>
      <c r="B253">
        <v>4.76</v>
      </c>
      <c r="C253">
        <v>-0.66</v>
      </c>
      <c r="D253">
        <v>1.06</v>
      </c>
      <c r="E253">
        <v>-1.02</v>
      </c>
      <c r="F253">
        <v>-0.48</v>
      </c>
      <c r="G253">
        <v>0.39</v>
      </c>
    </row>
    <row r="254" spans="1:7" x14ac:dyDescent="0.2">
      <c r="A254" s="1">
        <v>35854</v>
      </c>
      <c r="B254">
        <v>7.04</v>
      </c>
      <c r="C254">
        <v>-0.02</v>
      </c>
      <c r="D254">
        <v>-0.13</v>
      </c>
      <c r="E254">
        <v>-0.87</v>
      </c>
      <c r="F254">
        <v>-2.42</v>
      </c>
      <c r="G254">
        <v>0.39</v>
      </c>
    </row>
    <row r="255" spans="1:7" x14ac:dyDescent="0.2">
      <c r="A255" s="1">
        <v>35826</v>
      </c>
      <c r="B255">
        <v>0.15</v>
      </c>
      <c r="C255">
        <v>-1.4</v>
      </c>
      <c r="D255">
        <v>-1.45</v>
      </c>
      <c r="E255">
        <v>0.46</v>
      </c>
      <c r="F255">
        <v>-0.83</v>
      </c>
      <c r="G255">
        <v>0.43</v>
      </c>
    </row>
    <row r="256" spans="1:7" x14ac:dyDescent="0.2">
      <c r="A256" s="1">
        <v>35795</v>
      </c>
      <c r="B256">
        <v>1.32</v>
      </c>
      <c r="C256">
        <v>-2.0099999999999998</v>
      </c>
      <c r="D256">
        <v>3.46</v>
      </c>
      <c r="E256">
        <v>1.18</v>
      </c>
      <c r="F256">
        <v>1.91</v>
      </c>
      <c r="G256">
        <v>0.48</v>
      </c>
    </row>
    <row r="257" spans="1:7" x14ac:dyDescent="0.2">
      <c r="A257" s="1">
        <v>35764</v>
      </c>
      <c r="B257">
        <v>2.98</v>
      </c>
      <c r="C257">
        <v>-5.03</v>
      </c>
      <c r="D257">
        <v>0.78</v>
      </c>
      <c r="E257">
        <v>3.07</v>
      </c>
      <c r="F257">
        <v>1.66</v>
      </c>
      <c r="G257">
        <v>0.39</v>
      </c>
    </row>
    <row r="258" spans="1:7" x14ac:dyDescent="0.2">
      <c r="A258" s="1">
        <v>35734</v>
      </c>
      <c r="B258">
        <v>-3.8</v>
      </c>
      <c r="C258">
        <v>-0.5</v>
      </c>
      <c r="D258">
        <v>1.96</v>
      </c>
      <c r="E258">
        <v>1.0900000000000001</v>
      </c>
      <c r="F258">
        <v>1.89</v>
      </c>
      <c r="G258">
        <v>0.42</v>
      </c>
    </row>
    <row r="259" spans="1:7" x14ac:dyDescent="0.2">
      <c r="A259" s="1">
        <v>35703</v>
      </c>
      <c r="B259">
        <v>5.35</v>
      </c>
      <c r="C259">
        <v>2.56</v>
      </c>
      <c r="D259">
        <v>0.02</v>
      </c>
      <c r="E259">
        <v>-1.39</v>
      </c>
      <c r="F259">
        <v>-0.91</v>
      </c>
      <c r="G259">
        <v>0.44</v>
      </c>
    </row>
    <row r="260" spans="1:7" x14ac:dyDescent="0.2">
      <c r="A260" s="1">
        <v>35673</v>
      </c>
      <c r="B260">
        <v>-4.1500000000000004</v>
      </c>
      <c r="C260">
        <v>7.66</v>
      </c>
      <c r="D260">
        <v>1.38</v>
      </c>
      <c r="E260">
        <v>-0.94</v>
      </c>
      <c r="F260">
        <v>-0.03</v>
      </c>
      <c r="G260">
        <v>0.41</v>
      </c>
    </row>
    <row r="261" spans="1:7" x14ac:dyDescent="0.2">
      <c r="A261" s="1">
        <v>35642</v>
      </c>
      <c r="B261">
        <v>7.33</v>
      </c>
      <c r="C261">
        <v>-2.83</v>
      </c>
      <c r="D261">
        <v>0.84</v>
      </c>
      <c r="E261">
        <v>-0.24</v>
      </c>
      <c r="F261">
        <v>-2.54</v>
      </c>
      <c r="G261">
        <v>0.43</v>
      </c>
    </row>
    <row r="262" spans="1:7" x14ac:dyDescent="0.2">
      <c r="A262" s="1">
        <v>35611</v>
      </c>
      <c r="B262">
        <v>4.0999999999999996</v>
      </c>
      <c r="C262">
        <v>1.26</v>
      </c>
      <c r="D262">
        <v>1.23</v>
      </c>
      <c r="E262">
        <v>1.02</v>
      </c>
      <c r="F262">
        <v>0.54</v>
      </c>
      <c r="G262">
        <v>0.37</v>
      </c>
    </row>
    <row r="263" spans="1:7" x14ac:dyDescent="0.2">
      <c r="A263" s="1">
        <v>35581</v>
      </c>
      <c r="B263">
        <v>6.74</v>
      </c>
      <c r="C263">
        <v>4.6500000000000004</v>
      </c>
      <c r="D263">
        <v>-3.87</v>
      </c>
      <c r="E263">
        <v>-0.98</v>
      </c>
      <c r="F263">
        <v>-2.9</v>
      </c>
      <c r="G263">
        <v>0.49</v>
      </c>
    </row>
    <row r="264" spans="1:7" x14ac:dyDescent="0.2">
      <c r="A264" s="1">
        <v>35550</v>
      </c>
      <c r="B264">
        <v>4.04</v>
      </c>
      <c r="C264">
        <v>-5.74</v>
      </c>
      <c r="D264">
        <v>-7.0000000000000007E-2</v>
      </c>
      <c r="E264">
        <v>3.29</v>
      </c>
      <c r="F264">
        <v>-0.91</v>
      </c>
      <c r="G264">
        <v>0.43</v>
      </c>
    </row>
    <row r="265" spans="1:7" x14ac:dyDescent="0.2">
      <c r="A265" s="1">
        <v>35520</v>
      </c>
      <c r="B265">
        <v>-5.0199999999999996</v>
      </c>
      <c r="C265">
        <v>-0.48</v>
      </c>
      <c r="D265">
        <v>3.81</v>
      </c>
      <c r="E265">
        <v>0.35</v>
      </c>
      <c r="F265">
        <v>1.67</v>
      </c>
      <c r="G265">
        <v>0.43</v>
      </c>
    </row>
    <row r="266" spans="1:7" x14ac:dyDescent="0.2">
      <c r="A266" s="1">
        <v>35489</v>
      </c>
      <c r="B266">
        <v>-0.49</v>
      </c>
      <c r="C266">
        <v>-2.52</v>
      </c>
      <c r="D266">
        <v>5.19</v>
      </c>
      <c r="E266">
        <v>0.73</v>
      </c>
      <c r="F266">
        <v>3.4</v>
      </c>
      <c r="G266">
        <v>0.39</v>
      </c>
    </row>
    <row r="267" spans="1:7" x14ac:dyDescent="0.2">
      <c r="A267" s="1">
        <v>35461</v>
      </c>
      <c r="B267">
        <v>4.9800000000000004</v>
      </c>
      <c r="C267">
        <v>-1.82</v>
      </c>
      <c r="D267">
        <v>-1.64</v>
      </c>
      <c r="E267">
        <v>1.27</v>
      </c>
      <c r="F267">
        <v>-0.27</v>
      </c>
      <c r="G267">
        <v>0.45</v>
      </c>
    </row>
    <row r="268" spans="1:7" x14ac:dyDescent="0.2">
      <c r="A268" s="1">
        <v>35430</v>
      </c>
      <c r="B268">
        <v>-1.7</v>
      </c>
      <c r="C268">
        <v>3.22</v>
      </c>
      <c r="D268">
        <v>0.9</v>
      </c>
      <c r="E268">
        <v>0.56999999999999995</v>
      </c>
      <c r="F268">
        <v>1.51</v>
      </c>
      <c r="G268">
        <v>0.46</v>
      </c>
    </row>
    <row r="269" spans="1:7" x14ac:dyDescent="0.2">
      <c r="A269" s="1">
        <v>35399</v>
      </c>
      <c r="B269">
        <v>6.25</v>
      </c>
      <c r="C269">
        <v>-3.79</v>
      </c>
      <c r="D269">
        <v>1.1599999999999999</v>
      </c>
      <c r="E269">
        <v>2.0099999999999998</v>
      </c>
      <c r="F269">
        <v>-0.73</v>
      </c>
      <c r="G269">
        <v>0.41</v>
      </c>
    </row>
    <row r="270" spans="1:7" x14ac:dyDescent="0.2">
      <c r="A270" s="1">
        <v>35369</v>
      </c>
      <c r="B270">
        <v>0.86</v>
      </c>
      <c r="C270">
        <v>-3.89</v>
      </c>
      <c r="D270">
        <v>5.12</v>
      </c>
      <c r="E270">
        <v>1.32</v>
      </c>
      <c r="F270">
        <v>2.97</v>
      </c>
      <c r="G270">
        <v>0.42</v>
      </c>
    </row>
    <row r="271" spans="1:7" x14ac:dyDescent="0.2">
      <c r="A271" s="1">
        <v>35338</v>
      </c>
      <c r="B271">
        <v>5.01</v>
      </c>
      <c r="C271">
        <v>-1.32</v>
      </c>
      <c r="D271">
        <v>-3.14</v>
      </c>
      <c r="E271">
        <v>1.51</v>
      </c>
      <c r="F271">
        <v>-2.1800000000000002</v>
      </c>
      <c r="G271">
        <v>0.44</v>
      </c>
    </row>
    <row r="272" spans="1:7" x14ac:dyDescent="0.2">
      <c r="A272" s="1">
        <v>35308</v>
      </c>
      <c r="B272">
        <v>2.77</v>
      </c>
      <c r="C272">
        <v>2.54</v>
      </c>
      <c r="D272">
        <v>-0.46</v>
      </c>
      <c r="E272">
        <v>-0.3</v>
      </c>
      <c r="F272">
        <v>-2.4300000000000002</v>
      </c>
      <c r="G272">
        <v>0.41</v>
      </c>
    </row>
    <row r="273" spans="1:7" x14ac:dyDescent="0.2">
      <c r="A273" s="1">
        <v>35277</v>
      </c>
      <c r="B273">
        <v>-5.97</v>
      </c>
      <c r="C273">
        <v>-3.68</v>
      </c>
      <c r="D273">
        <v>4.45</v>
      </c>
      <c r="E273">
        <v>2.84</v>
      </c>
      <c r="F273">
        <v>2.6</v>
      </c>
      <c r="G273">
        <v>0.45</v>
      </c>
    </row>
    <row r="274" spans="1:7" x14ac:dyDescent="0.2">
      <c r="A274" s="1">
        <v>35246</v>
      </c>
      <c r="B274">
        <v>-1.1399999999999999</v>
      </c>
      <c r="C274">
        <v>-3.47</v>
      </c>
      <c r="D274">
        <v>1.56</v>
      </c>
      <c r="E274">
        <v>3.47</v>
      </c>
      <c r="F274">
        <v>1.08</v>
      </c>
      <c r="G274">
        <v>0.4</v>
      </c>
    </row>
    <row r="275" spans="1:7" x14ac:dyDescent="0.2">
      <c r="A275" s="1">
        <v>35216</v>
      </c>
      <c r="B275">
        <v>2.36</v>
      </c>
      <c r="C275">
        <v>3.17</v>
      </c>
      <c r="D275">
        <v>-1.2</v>
      </c>
      <c r="E275">
        <v>0.43</v>
      </c>
      <c r="F275">
        <v>-0.22</v>
      </c>
      <c r="G275">
        <v>0.42</v>
      </c>
    </row>
    <row r="276" spans="1:7" x14ac:dyDescent="0.2">
      <c r="A276" s="1">
        <v>35185</v>
      </c>
      <c r="B276">
        <v>2.06</v>
      </c>
      <c r="C276">
        <v>4.6399999999999997</v>
      </c>
      <c r="D276">
        <v>-3.9</v>
      </c>
      <c r="E276">
        <v>0.17</v>
      </c>
      <c r="F276">
        <v>-2.2000000000000002</v>
      </c>
      <c r="G276">
        <v>0.46</v>
      </c>
    </row>
    <row r="277" spans="1:7" x14ac:dyDescent="0.2">
      <c r="A277" s="1">
        <v>35155</v>
      </c>
      <c r="B277">
        <v>0.73</v>
      </c>
      <c r="C277">
        <v>1.54</v>
      </c>
      <c r="D277">
        <v>1</v>
      </c>
      <c r="E277">
        <v>1.3</v>
      </c>
      <c r="F277">
        <v>-0.97</v>
      </c>
      <c r="G277">
        <v>0.39</v>
      </c>
    </row>
    <row r="278" spans="1:7" x14ac:dyDescent="0.2">
      <c r="A278" s="1">
        <v>35124</v>
      </c>
      <c r="B278">
        <v>1.33</v>
      </c>
      <c r="C278">
        <v>1.82</v>
      </c>
      <c r="D278">
        <v>-1.42</v>
      </c>
      <c r="E278">
        <v>0.4</v>
      </c>
      <c r="F278">
        <v>-1.8</v>
      </c>
      <c r="G278">
        <v>0.39</v>
      </c>
    </row>
    <row r="279" spans="1:7" x14ac:dyDescent="0.2">
      <c r="A279" s="1">
        <v>35095</v>
      </c>
      <c r="B279">
        <v>2.2599999999999998</v>
      </c>
      <c r="C279">
        <v>-2.59</v>
      </c>
      <c r="D279">
        <v>0.3</v>
      </c>
      <c r="E279">
        <v>-0.63</v>
      </c>
      <c r="F279">
        <v>2.2799999999999998</v>
      </c>
      <c r="G279">
        <v>0.43</v>
      </c>
    </row>
    <row r="280" spans="1:7" x14ac:dyDescent="0.2">
      <c r="A280" s="1">
        <v>35064</v>
      </c>
      <c r="B280">
        <v>1.03</v>
      </c>
      <c r="C280">
        <v>0.67</v>
      </c>
      <c r="D280">
        <v>0.86</v>
      </c>
      <c r="E280">
        <v>-1.32</v>
      </c>
      <c r="F280">
        <v>2.99</v>
      </c>
      <c r="G280">
        <v>0.49</v>
      </c>
    </row>
    <row r="281" spans="1:7" x14ac:dyDescent="0.2">
      <c r="A281" s="1">
        <v>35033</v>
      </c>
      <c r="B281">
        <v>3.96</v>
      </c>
      <c r="C281">
        <v>-1.17</v>
      </c>
      <c r="D281">
        <v>0.94</v>
      </c>
      <c r="E281">
        <v>-0.83</v>
      </c>
      <c r="F281">
        <v>1.19</v>
      </c>
      <c r="G281">
        <v>0.42</v>
      </c>
    </row>
    <row r="282" spans="1:7" x14ac:dyDescent="0.2">
      <c r="A282" s="1">
        <v>35003</v>
      </c>
      <c r="B282">
        <v>-1.52</v>
      </c>
      <c r="C282">
        <v>-4.04</v>
      </c>
      <c r="D282">
        <v>-0.75</v>
      </c>
      <c r="E282">
        <v>2.17</v>
      </c>
      <c r="F282">
        <v>-0.04</v>
      </c>
      <c r="G282">
        <v>0.47</v>
      </c>
    </row>
    <row r="283" spans="1:7" x14ac:dyDescent="0.2">
      <c r="A283" s="1">
        <v>34972</v>
      </c>
      <c r="B283">
        <v>3.35</v>
      </c>
      <c r="C283">
        <v>-1.88</v>
      </c>
      <c r="D283">
        <v>-0.76</v>
      </c>
      <c r="E283">
        <v>1.31</v>
      </c>
      <c r="F283">
        <v>0.36</v>
      </c>
      <c r="G283">
        <v>0.43</v>
      </c>
    </row>
    <row r="284" spans="1:7" x14ac:dyDescent="0.2">
      <c r="A284" s="1">
        <v>34942</v>
      </c>
      <c r="B284">
        <v>0.55000000000000004</v>
      </c>
      <c r="C284">
        <v>1.84</v>
      </c>
      <c r="D284">
        <v>2.71</v>
      </c>
      <c r="E284">
        <v>-1.38</v>
      </c>
      <c r="F284">
        <v>1.64</v>
      </c>
      <c r="G284">
        <v>0.47</v>
      </c>
    </row>
    <row r="285" spans="1:7" x14ac:dyDescent="0.2">
      <c r="A285" s="1">
        <v>34911</v>
      </c>
      <c r="B285">
        <v>3.72</v>
      </c>
      <c r="C285">
        <v>2.1</v>
      </c>
      <c r="D285">
        <v>-1.68</v>
      </c>
      <c r="E285">
        <v>0.51</v>
      </c>
      <c r="F285">
        <v>-1.71</v>
      </c>
      <c r="G285">
        <v>0.45</v>
      </c>
    </row>
    <row r="286" spans="1:7" x14ac:dyDescent="0.2">
      <c r="A286" s="1">
        <v>34880</v>
      </c>
      <c r="B286">
        <v>2.72</v>
      </c>
      <c r="C286">
        <v>2.95</v>
      </c>
      <c r="D286">
        <v>-2.27</v>
      </c>
      <c r="E286">
        <v>-0.48</v>
      </c>
      <c r="F286">
        <v>-2.4300000000000002</v>
      </c>
      <c r="G286">
        <v>0.47</v>
      </c>
    </row>
    <row r="287" spans="1:7" x14ac:dyDescent="0.2">
      <c r="A287" s="1">
        <v>34850</v>
      </c>
      <c r="B287">
        <v>2.9</v>
      </c>
      <c r="C287">
        <v>-2.06</v>
      </c>
      <c r="D287">
        <v>1.69</v>
      </c>
      <c r="E287">
        <v>0.46</v>
      </c>
      <c r="F287">
        <v>0.09</v>
      </c>
      <c r="G287">
        <v>0.54</v>
      </c>
    </row>
    <row r="288" spans="1:7" x14ac:dyDescent="0.2">
      <c r="A288" s="1">
        <v>34819</v>
      </c>
      <c r="B288">
        <v>2.11</v>
      </c>
      <c r="C288">
        <v>-0.34</v>
      </c>
      <c r="D288">
        <v>2.2599999999999998</v>
      </c>
      <c r="E288">
        <v>0.05</v>
      </c>
      <c r="F288">
        <v>1.01</v>
      </c>
      <c r="G288">
        <v>0.44</v>
      </c>
    </row>
    <row r="289" spans="1:7" x14ac:dyDescent="0.2">
      <c r="A289" s="1">
        <v>34789</v>
      </c>
      <c r="B289">
        <v>2.19</v>
      </c>
      <c r="C289">
        <v>-0.73</v>
      </c>
      <c r="D289">
        <v>-1.07</v>
      </c>
      <c r="E289">
        <v>-0.33</v>
      </c>
      <c r="F289">
        <v>0.19</v>
      </c>
      <c r="G289">
        <v>0.46</v>
      </c>
    </row>
    <row r="290" spans="1:7" x14ac:dyDescent="0.2">
      <c r="A290" s="1">
        <v>34758</v>
      </c>
      <c r="B290">
        <v>3.63</v>
      </c>
      <c r="C290">
        <v>-0.55000000000000004</v>
      </c>
      <c r="D290">
        <v>1.08</v>
      </c>
      <c r="E290">
        <v>0.57999999999999996</v>
      </c>
      <c r="F290">
        <v>-0.33</v>
      </c>
      <c r="G290">
        <v>0.4</v>
      </c>
    </row>
    <row r="291" spans="1:7" x14ac:dyDescent="0.2">
      <c r="A291" s="1">
        <v>34730</v>
      </c>
      <c r="B291">
        <v>1.8</v>
      </c>
      <c r="C291">
        <v>-2.76</v>
      </c>
      <c r="D291">
        <v>0.83</v>
      </c>
      <c r="E291">
        <v>0.61</v>
      </c>
      <c r="F291">
        <v>-0.84</v>
      </c>
      <c r="G291">
        <v>0.42</v>
      </c>
    </row>
    <row r="292" spans="1:7" x14ac:dyDescent="0.2">
      <c r="A292" s="1">
        <v>34699</v>
      </c>
      <c r="B292">
        <v>0.86</v>
      </c>
      <c r="C292">
        <v>-0.02</v>
      </c>
      <c r="D292">
        <v>0.55000000000000004</v>
      </c>
      <c r="E292">
        <v>0.42</v>
      </c>
      <c r="F292">
        <v>0.31</v>
      </c>
      <c r="G292">
        <v>0.44</v>
      </c>
    </row>
    <row r="293" spans="1:7" x14ac:dyDescent="0.2">
      <c r="A293" s="1">
        <v>34668</v>
      </c>
      <c r="B293">
        <v>-4.04</v>
      </c>
      <c r="C293">
        <v>0.12</v>
      </c>
      <c r="D293">
        <v>-0.94</v>
      </c>
      <c r="E293">
        <v>0.8</v>
      </c>
      <c r="F293">
        <v>-0.45</v>
      </c>
      <c r="G293">
        <v>0.37</v>
      </c>
    </row>
    <row r="294" spans="1:7" x14ac:dyDescent="0.2">
      <c r="A294" s="1">
        <v>34638</v>
      </c>
      <c r="B294">
        <v>1.34</v>
      </c>
      <c r="C294">
        <v>-2.29</v>
      </c>
      <c r="D294">
        <v>-1.73</v>
      </c>
      <c r="E294">
        <v>0.57999999999999996</v>
      </c>
      <c r="F294">
        <v>-0.64</v>
      </c>
      <c r="G294">
        <v>0.38</v>
      </c>
    </row>
    <row r="295" spans="1:7" x14ac:dyDescent="0.2">
      <c r="A295" s="1">
        <v>34607</v>
      </c>
      <c r="B295">
        <v>-2.31</v>
      </c>
      <c r="C295">
        <v>2.66</v>
      </c>
      <c r="D295">
        <v>-1.9</v>
      </c>
      <c r="E295">
        <v>0.61</v>
      </c>
      <c r="F295">
        <v>0.95</v>
      </c>
      <c r="G295">
        <v>0.37</v>
      </c>
    </row>
    <row r="296" spans="1:7" x14ac:dyDescent="0.2">
      <c r="A296" s="1">
        <v>34577</v>
      </c>
      <c r="B296">
        <v>4.01</v>
      </c>
      <c r="C296">
        <v>1.28</v>
      </c>
      <c r="D296">
        <v>-2.82</v>
      </c>
      <c r="E296">
        <v>0.87</v>
      </c>
      <c r="F296">
        <v>-1.45</v>
      </c>
      <c r="G296">
        <v>0.37</v>
      </c>
    </row>
    <row r="297" spans="1:7" x14ac:dyDescent="0.2">
      <c r="A297" s="1">
        <v>34546</v>
      </c>
      <c r="B297">
        <v>2.82</v>
      </c>
      <c r="C297">
        <v>-1.84</v>
      </c>
      <c r="D297">
        <v>0.59</v>
      </c>
      <c r="E297">
        <v>-0.88</v>
      </c>
      <c r="F297">
        <v>0.14000000000000001</v>
      </c>
      <c r="G297">
        <v>0.28000000000000003</v>
      </c>
    </row>
    <row r="298" spans="1:7" x14ac:dyDescent="0.2">
      <c r="A298" s="1">
        <v>34515</v>
      </c>
      <c r="B298">
        <v>-3.03</v>
      </c>
      <c r="C298">
        <v>-0.52</v>
      </c>
      <c r="D298">
        <v>1.7</v>
      </c>
      <c r="E298">
        <v>1.1599999999999999</v>
      </c>
      <c r="F298">
        <v>1.51</v>
      </c>
      <c r="G298">
        <v>0.31</v>
      </c>
    </row>
    <row r="299" spans="1:7" x14ac:dyDescent="0.2">
      <c r="A299" s="1">
        <v>34485</v>
      </c>
      <c r="B299">
        <v>0.57999999999999996</v>
      </c>
      <c r="C299">
        <v>-2.4700000000000002</v>
      </c>
      <c r="D299">
        <v>0.2</v>
      </c>
      <c r="E299">
        <v>0.9</v>
      </c>
      <c r="F299">
        <v>0.71</v>
      </c>
      <c r="G299">
        <v>0.31</v>
      </c>
    </row>
    <row r="300" spans="1:7" x14ac:dyDescent="0.2">
      <c r="A300" s="1">
        <v>34454</v>
      </c>
      <c r="B300">
        <v>0.68</v>
      </c>
      <c r="C300">
        <v>-1.05</v>
      </c>
      <c r="D300">
        <v>1.68</v>
      </c>
      <c r="E300">
        <v>1.01</v>
      </c>
      <c r="F300">
        <v>1.1200000000000001</v>
      </c>
      <c r="G300">
        <v>0.27</v>
      </c>
    </row>
    <row r="301" spans="1:7" x14ac:dyDescent="0.2">
      <c r="A301" s="1">
        <v>34424</v>
      </c>
      <c r="B301">
        <v>-4.78</v>
      </c>
      <c r="C301">
        <v>-1.02</v>
      </c>
      <c r="D301">
        <v>1.31</v>
      </c>
      <c r="E301">
        <v>0.77</v>
      </c>
      <c r="F301">
        <v>1.25</v>
      </c>
      <c r="G301">
        <v>0.27</v>
      </c>
    </row>
    <row r="302" spans="1:7" x14ac:dyDescent="0.2">
      <c r="A302" s="1">
        <v>34393</v>
      </c>
      <c r="B302">
        <v>-2.5499999999999998</v>
      </c>
      <c r="C302">
        <v>2.65</v>
      </c>
      <c r="D302">
        <v>-1.44</v>
      </c>
      <c r="E302">
        <v>2.4500000000000002</v>
      </c>
      <c r="F302">
        <v>-1.05</v>
      </c>
      <c r="G302">
        <v>0.21</v>
      </c>
    </row>
    <row r="303" spans="1:7" x14ac:dyDescent="0.2">
      <c r="A303" s="1">
        <v>34365</v>
      </c>
      <c r="B303">
        <v>2.87</v>
      </c>
      <c r="C303">
        <v>-0.15</v>
      </c>
      <c r="D303">
        <v>2.09</v>
      </c>
      <c r="E303">
        <v>-2.2799999999999998</v>
      </c>
      <c r="F303">
        <v>1.47</v>
      </c>
      <c r="G303">
        <v>0.25</v>
      </c>
    </row>
    <row r="304" spans="1:7" x14ac:dyDescent="0.2">
      <c r="A304" s="1">
        <v>34334</v>
      </c>
      <c r="B304">
        <v>1.65</v>
      </c>
      <c r="C304">
        <v>1.36</v>
      </c>
      <c r="D304">
        <v>0.56999999999999995</v>
      </c>
      <c r="E304">
        <v>0.7</v>
      </c>
      <c r="F304">
        <v>-0.3</v>
      </c>
      <c r="G304">
        <v>0.23</v>
      </c>
    </row>
    <row r="305" spans="1:7" x14ac:dyDescent="0.2">
      <c r="A305" s="1">
        <v>34303</v>
      </c>
      <c r="B305">
        <v>-1.89</v>
      </c>
      <c r="C305">
        <v>-1.43</v>
      </c>
      <c r="D305">
        <v>-0.27</v>
      </c>
      <c r="E305">
        <v>1.55</v>
      </c>
      <c r="F305">
        <v>-0.96</v>
      </c>
      <c r="G305">
        <v>0.25</v>
      </c>
    </row>
    <row r="306" spans="1:7" x14ac:dyDescent="0.2">
      <c r="A306" s="1">
        <v>34273</v>
      </c>
      <c r="B306">
        <v>1.41</v>
      </c>
      <c r="C306">
        <v>1.61</v>
      </c>
      <c r="D306">
        <v>-1.54</v>
      </c>
      <c r="E306">
        <v>-0.1</v>
      </c>
      <c r="F306">
        <v>0.6</v>
      </c>
      <c r="G306">
        <v>0.22</v>
      </c>
    </row>
    <row r="307" spans="1:7" x14ac:dyDescent="0.2">
      <c r="A307" s="1">
        <v>34242</v>
      </c>
      <c r="B307">
        <v>-0.12</v>
      </c>
      <c r="C307">
        <v>3.07</v>
      </c>
      <c r="D307">
        <v>-0.45</v>
      </c>
      <c r="E307">
        <v>0.77</v>
      </c>
      <c r="F307">
        <v>-0.09</v>
      </c>
      <c r="G307">
        <v>0.26</v>
      </c>
    </row>
    <row r="308" spans="1:7" x14ac:dyDescent="0.2">
      <c r="A308" s="1">
        <v>34212</v>
      </c>
      <c r="B308">
        <v>3.71</v>
      </c>
      <c r="C308">
        <v>0.25</v>
      </c>
      <c r="D308">
        <v>-0.45</v>
      </c>
      <c r="E308">
        <v>-1.1599999999999999</v>
      </c>
      <c r="F308">
        <v>-0.03</v>
      </c>
      <c r="G308">
        <v>0.25</v>
      </c>
    </row>
    <row r="309" spans="1:7" x14ac:dyDescent="0.2">
      <c r="A309" s="1">
        <v>34181</v>
      </c>
      <c r="B309">
        <v>-0.34</v>
      </c>
      <c r="C309">
        <v>0.9</v>
      </c>
      <c r="D309">
        <v>3.24</v>
      </c>
      <c r="E309">
        <v>-2.1800000000000002</v>
      </c>
      <c r="F309">
        <v>2.02</v>
      </c>
      <c r="G309">
        <v>0.24</v>
      </c>
    </row>
    <row r="310" spans="1:7" x14ac:dyDescent="0.2">
      <c r="A310" s="1">
        <v>34150</v>
      </c>
      <c r="B310">
        <v>0.31</v>
      </c>
      <c r="C310">
        <v>0.11</v>
      </c>
      <c r="D310">
        <v>2.62</v>
      </c>
      <c r="E310">
        <v>-1.06</v>
      </c>
      <c r="F310">
        <v>1.0900000000000001</v>
      </c>
      <c r="G310">
        <v>0.25</v>
      </c>
    </row>
    <row r="311" spans="1:7" x14ac:dyDescent="0.2">
      <c r="A311" s="1">
        <v>34120</v>
      </c>
      <c r="B311">
        <v>2.89</v>
      </c>
      <c r="C311">
        <v>1.88</v>
      </c>
      <c r="D311">
        <v>-3.41</v>
      </c>
      <c r="E311">
        <v>-0.01</v>
      </c>
      <c r="F311">
        <v>-1.18</v>
      </c>
      <c r="G311">
        <v>0.22</v>
      </c>
    </row>
    <row r="312" spans="1:7" x14ac:dyDescent="0.2">
      <c r="A312" s="1">
        <v>34089</v>
      </c>
      <c r="B312">
        <v>-3.05</v>
      </c>
      <c r="C312">
        <v>-0.86</v>
      </c>
      <c r="D312">
        <v>2.61</v>
      </c>
      <c r="E312">
        <v>-3.69</v>
      </c>
      <c r="F312">
        <v>1.52</v>
      </c>
      <c r="G312">
        <v>0.24</v>
      </c>
    </row>
    <row r="313" spans="1:7" x14ac:dyDescent="0.2">
      <c r="A313" s="1">
        <v>34059</v>
      </c>
      <c r="B313">
        <v>2.2999999999999998</v>
      </c>
      <c r="C313">
        <v>0.05</v>
      </c>
      <c r="D313">
        <v>1.22</v>
      </c>
      <c r="E313">
        <v>-0.28999999999999998</v>
      </c>
      <c r="F313">
        <v>0.92</v>
      </c>
      <c r="G313">
        <v>0.25</v>
      </c>
    </row>
    <row r="314" spans="1:7" x14ac:dyDescent="0.2">
      <c r="A314" s="1">
        <v>34028</v>
      </c>
      <c r="B314">
        <v>0.12</v>
      </c>
      <c r="C314">
        <v>-3.42</v>
      </c>
      <c r="D314">
        <v>6.42</v>
      </c>
      <c r="E314">
        <v>-0.5</v>
      </c>
      <c r="F314">
        <v>4.05</v>
      </c>
      <c r="G314">
        <v>0.22</v>
      </c>
    </row>
    <row r="315" spans="1:7" x14ac:dyDescent="0.2">
      <c r="A315" s="1">
        <v>34000</v>
      </c>
      <c r="B315">
        <v>0.93</v>
      </c>
      <c r="C315">
        <v>2.09</v>
      </c>
      <c r="D315">
        <v>5.87</v>
      </c>
      <c r="E315">
        <v>-1.77</v>
      </c>
      <c r="F315">
        <v>2.78</v>
      </c>
      <c r="G315">
        <v>0.23</v>
      </c>
    </row>
    <row r="316" spans="1:7" x14ac:dyDescent="0.2">
      <c r="A316" s="1">
        <v>33969</v>
      </c>
      <c r="B316">
        <v>1.53</v>
      </c>
      <c r="C316">
        <v>1.64</v>
      </c>
      <c r="D316">
        <v>2.52</v>
      </c>
      <c r="E316">
        <v>-0.44</v>
      </c>
      <c r="F316">
        <v>0.75</v>
      </c>
      <c r="G316">
        <v>0.28000000000000003</v>
      </c>
    </row>
    <row r="317" spans="1:7" x14ac:dyDescent="0.2">
      <c r="A317" s="1">
        <v>33938</v>
      </c>
      <c r="B317">
        <v>4.13</v>
      </c>
      <c r="C317">
        <v>3.91</v>
      </c>
      <c r="D317">
        <v>-1.48</v>
      </c>
      <c r="E317">
        <v>-0.84</v>
      </c>
      <c r="F317">
        <v>-1.91</v>
      </c>
      <c r="G317">
        <v>0.23</v>
      </c>
    </row>
    <row r="318" spans="1:7" x14ac:dyDescent="0.2">
      <c r="A318" s="1">
        <v>33908</v>
      </c>
      <c r="B318">
        <v>1.02</v>
      </c>
      <c r="C318">
        <v>2.02</v>
      </c>
      <c r="D318">
        <v>-2.1</v>
      </c>
      <c r="E318">
        <v>1.31</v>
      </c>
      <c r="F318">
        <v>-0.8</v>
      </c>
      <c r="G318">
        <v>0.23</v>
      </c>
    </row>
    <row r="319" spans="1:7" x14ac:dyDescent="0.2">
      <c r="A319" s="1">
        <v>33877</v>
      </c>
      <c r="B319">
        <v>1.19</v>
      </c>
      <c r="C319">
        <v>0.48</v>
      </c>
      <c r="D319">
        <v>-0.21</v>
      </c>
      <c r="E319">
        <v>1.54</v>
      </c>
      <c r="F319">
        <v>-0.5</v>
      </c>
      <c r="G319">
        <v>0.26</v>
      </c>
    </row>
    <row r="320" spans="1:7" x14ac:dyDescent="0.2">
      <c r="A320" s="1">
        <v>33847</v>
      </c>
      <c r="B320">
        <v>-2.38</v>
      </c>
      <c r="C320">
        <v>-0.42</v>
      </c>
      <c r="D320">
        <v>-1.03</v>
      </c>
      <c r="E320">
        <v>3.79</v>
      </c>
      <c r="F320">
        <v>-1.62</v>
      </c>
      <c r="G320">
        <v>0.26</v>
      </c>
    </row>
    <row r="321" spans="1:7" x14ac:dyDescent="0.2">
      <c r="A321" s="1">
        <v>33816</v>
      </c>
      <c r="B321">
        <v>3.77</v>
      </c>
      <c r="C321">
        <v>-0.61</v>
      </c>
      <c r="D321">
        <v>-0.53</v>
      </c>
      <c r="E321">
        <v>1.56</v>
      </c>
      <c r="F321">
        <v>-0.72</v>
      </c>
      <c r="G321">
        <v>0.31</v>
      </c>
    </row>
    <row r="322" spans="1:7" x14ac:dyDescent="0.2">
      <c r="A322" s="1">
        <v>33785</v>
      </c>
      <c r="B322">
        <v>-2.34</v>
      </c>
      <c r="C322">
        <v>-2.71</v>
      </c>
      <c r="D322">
        <v>3.4</v>
      </c>
      <c r="E322">
        <v>-0.03</v>
      </c>
      <c r="F322">
        <v>1.07</v>
      </c>
      <c r="G322">
        <v>0.32</v>
      </c>
    </row>
    <row r="323" spans="1:7" x14ac:dyDescent="0.2">
      <c r="A323" s="1">
        <v>33755</v>
      </c>
      <c r="B323">
        <v>0.3</v>
      </c>
      <c r="C323">
        <v>0.21</v>
      </c>
      <c r="D323">
        <v>1.28</v>
      </c>
      <c r="E323">
        <v>-0.96</v>
      </c>
      <c r="F323">
        <v>0.43</v>
      </c>
      <c r="G323">
        <v>0.28000000000000003</v>
      </c>
    </row>
    <row r="324" spans="1:7" x14ac:dyDescent="0.2">
      <c r="A324" s="1">
        <v>33724</v>
      </c>
      <c r="B324">
        <v>1.07</v>
      </c>
      <c r="C324">
        <v>-5.73</v>
      </c>
      <c r="D324">
        <v>4.3099999999999996</v>
      </c>
      <c r="E324">
        <v>1.71</v>
      </c>
      <c r="F324">
        <v>2.2200000000000002</v>
      </c>
      <c r="G324">
        <v>0.32</v>
      </c>
    </row>
    <row r="325" spans="1:7" x14ac:dyDescent="0.2">
      <c r="A325" s="1">
        <v>33694</v>
      </c>
      <c r="B325">
        <v>-2.66</v>
      </c>
      <c r="C325">
        <v>-0.9</v>
      </c>
      <c r="D325">
        <v>3.65</v>
      </c>
      <c r="E325">
        <v>-0.08</v>
      </c>
      <c r="F325">
        <v>1.93</v>
      </c>
      <c r="G325">
        <v>0.34</v>
      </c>
    </row>
    <row r="326" spans="1:7" x14ac:dyDescent="0.2">
      <c r="A326" s="1">
        <v>33663</v>
      </c>
      <c r="B326">
        <v>1.0900000000000001</v>
      </c>
      <c r="C326">
        <v>1.35</v>
      </c>
      <c r="D326">
        <v>6.37</v>
      </c>
      <c r="E326">
        <v>0.09</v>
      </c>
      <c r="F326">
        <v>2.04</v>
      </c>
      <c r="G326">
        <v>0.28000000000000003</v>
      </c>
    </row>
    <row r="327" spans="1:7" x14ac:dyDescent="0.2">
      <c r="A327" s="1">
        <v>33634</v>
      </c>
      <c r="B327">
        <v>-0.59</v>
      </c>
      <c r="C327">
        <v>9.26</v>
      </c>
      <c r="D327">
        <v>4.51</v>
      </c>
      <c r="E327">
        <v>-1.33</v>
      </c>
      <c r="F327">
        <v>3.15</v>
      </c>
      <c r="G327">
        <v>0.34</v>
      </c>
    </row>
    <row r="328" spans="1:7" x14ac:dyDescent="0.2">
      <c r="A328" s="1">
        <v>33603</v>
      </c>
      <c r="B328">
        <v>10.84</v>
      </c>
      <c r="C328">
        <v>-2.42</v>
      </c>
      <c r="D328">
        <v>-4.03</v>
      </c>
      <c r="E328">
        <v>3.58</v>
      </c>
      <c r="F328">
        <v>-3.12</v>
      </c>
      <c r="G328">
        <v>0.38</v>
      </c>
    </row>
    <row r="329" spans="1:7" x14ac:dyDescent="0.2">
      <c r="A329" s="1">
        <v>33572</v>
      </c>
      <c r="B329">
        <v>-4.1900000000000004</v>
      </c>
      <c r="C329">
        <v>-0.87</v>
      </c>
      <c r="D329">
        <v>-1.93</v>
      </c>
      <c r="E329">
        <v>1.08</v>
      </c>
      <c r="F329">
        <v>0.12</v>
      </c>
      <c r="G329">
        <v>0.39</v>
      </c>
    </row>
    <row r="330" spans="1:7" x14ac:dyDescent="0.2">
      <c r="A330" s="1">
        <v>33542</v>
      </c>
      <c r="B330">
        <v>1.29</v>
      </c>
      <c r="C330">
        <v>0.95</v>
      </c>
      <c r="D330">
        <v>-0.43</v>
      </c>
      <c r="E330">
        <v>-1.73</v>
      </c>
      <c r="F330">
        <v>-0.28999999999999998</v>
      </c>
      <c r="G330">
        <v>0.42</v>
      </c>
    </row>
    <row r="331" spans="1:7" x14ac:dyDescent="0.2">
      <c r="A331" s="1">
        <v>33511</v>
      </c>
      <c r="B331">
        <v>-1.59</v>
      </c>
      <c r="C331">
        <v>1.55</v>
      </c>
      <c r="D331">
        <v>-1</v>
      </c>
      <c r="E331">
        <v>-1.81</v>
      </c>
      <c r="F331">
        <v>0.16</v>
      </c>
      <c r="G331">
        <v>0.46</v>
      </c>
    </row>
    <row r="332" spans="1:7" x14ac:dyDescent="0.2">
      <c r="A332" s="1">
        <v>33481</v>
      </c>
      <c r="B332">
        <v>2.3199999999999998</v>
      </c>
      <c r="C332">
        <v>1.44</v>
      </c>
      <c r="D332">
        <v>-0.78</v>
      </c>
      <c r="E332">
        <v>0.88</v>
      </c>
      <c r="F332">
        <v>-0.55000000000000004</v>
      </c>
      <c r="G332">
        <v>0.46</v>
      </c>
    </row>
    <row r="333" spans="1:7" x14ac:dyDescent="0.2">
      <c r="A333" s="1">
        <v>33450</v>
      </c>
      <c r="B333">
        <v>4.24</v>
      </c>
      <c r="C333">
        <v>-0.96</v>
      </c>
      <c r="D333">
        <v>-1.25</v>
      </c>
      <c r="E333">
        <v>1.61</v>
      </c>
      <c r="F333">
        <v>-1.41</v>
      </c>
      <c r="G333">
        <v>0.49</v>
      </c>
    </row>
    <row r="334" spans="1:7" x14ac:dyDescent="0.2">
      <c r="A334" s="1">
        <v>33419</v>
      </c>
      <c r="B334">
        <v>-4.9400000000000004</v>
      </c>
      <c r="C334">
        <v>0.17</v>
      </c>
      <c r="D334">
        <v>1.21</v>
      </c>
      <c r="E334">
        <v>1.75</v>
      </c>
      <c r="F334">
        <v>0.63</v>
      </c>
      <c r="G334">
        <v>0.42</v>
      </c>
    </row>
    <row r="335" spans="1:7" x14ac:dyDescent="0.2">
      <c r="A335" s="1">
        <v>33389</v>
      </c>
      <c r="B335">
        <v>3.65</v>
      </c>
      <c r="C335">
        <v>0.17</v>
      </c>
      <c r="D335">
        <v>-0.56999999999999995</v>
      </c>
      <c r="E335">
        <v>2.11</v>
      </c>
      <c r="F335">
        <v>-2.4500000000000002</v>
      </c>
      <c r="G335">
        <v>0.47</v>
      </c>
    </row>
    <row r="336" spans="1:7" x14ac:dyDescent="0.2">
      <c r="A336" s="1">
        <v>33358</v>
      </c>
      <c r="B336">
        <v>-0.28000000000000003</v>
      </c>
      <c r="C336">
        <v>0.33</v>
      </c>
      <c r="D336">
        <v>1.42</v>
      </c>
      <c r="E336">
        <v>0.53</v>
      </c>
      <c r="F336">
        <v>0.71</v>
      </c>
      <c r="G336">
        <v>0.53</v>
      </c>
    </row>
    <row r="337" spans="1:7" x14ac:dyDescent="0.2">
      <c r="A337" s="1">
        <v>33328</v>
      </c>
      <c r="B337">
        <v>2.65</v>
      </c>
      <c r="C337">
        <v>3.82</v>
      </c>
      <c r="D337">
        <v>-1.23</v>
      </c>
      <c r="E337">
        <v>-0.39</v>
      </c>
      <c r="F337">
        <v>-0.99</v>
      </c>
      <c r="G337">
        <v>0.44</v>
      </c>
    </row>
    <row r="338" spans="1:7" x14ac:dyDescent="0.2">
      <c r="A338" s="1">
        <v>33297</v>
      </c>
      <c r="B338">
        <v>7.19</v>
      </c>
      <c r="C338">
        <v>3.96</v>
      </c>
      <c r="D338">
        <v>-0.54</v>
      </c>
      <c r="E338">
        <v>-0.27</v>
      </c>
      <c r="F338">
        <v>-0.16</v>
      </c>
      <c r="G338">
        <v>0.48</v>
      </c>
    </row>
    <row r="339" spans="1:7" x14ac:dyDescent="0.2">
      <c r="A339" s="1">
        <v>33269</v>
      </c>
      <c r="B339">
        <v>4.6900000000000004</v>
      </c>
      <c r="C339">
        <v>3.86</v>
      </c>
      <c r="D339">
        <v>-1.84</v>
      </c>
      <c r="E339">
        <v>1.55</v>
      </c>
      <c r="F339">
        <v>-4.08</v>
      </c>
      <c r="G339">
        <v>0.52</v>
      </c>
    </row>
    <row r="340" spans="1:7" x14ac:dyDescent="0.2">
      <c r="A340" s="1">
        <v>33238</v>
      </c>
      <c r="B340">
        <v>2.46</v>
      </c>
      <c r="C340">
        <v>0.61</v>
      </c>
      <c r="D340">
        <v>-1.54</v>
      </c>
      <c r="E340">
        <v>2.86</v>
      </c>
      <c r="F340">
        <v>-2</v>
      </c>
      <c r="G340">
        <v>0.6</v>
      </c>
    </row>
    <row r="341" spans="1:7" x14ac:dyDescent="0.2">
      <c r="A341" s="1">
        <v>33207</v>
      </c>
      <c r="B341">
        <v>6.35</v>
      </c>
      <c r="C341">
        <v>-0.06</v>
      </c>
      <c r="D341">
        <v>-3.16</v>
      </c>
      <c r="E341">
        <v>0.82</v>
      </c>
      <c r="F341">
        <v>-4.75</v>
      </c>
      <c r="G341">
        <v>0.56999999999999995</v>
      </c>
    </row>
    <row r="342" spans="1:7" x14ac:dyDescent="0.2">
      <c r="A342" s="1">
        <v>33177</v>
      </c>
      <c r="B342">
        <v>-1.92</v>
      </c>
      <c r="C342">
        <v>-5.07</v>
      </c>
      <c r="D342">
        <v>0.22</v>
      </c>
      <c r="E342">
        <v>2.87</v>
      </c>
      <c r="F342">
        <v>-0.49</v>
      </c>
      <c r="G342">
        <v>0.68</v>
      </c>
    </row>
    <row r="343" spans="1:7" x14ac:dyDescent="0.2">
      <c r="A343" s="1">
        <v>33146</v>
      </c>
      <c r="B343">
        <v>-6.12</v>
      </c>
      <c r="C343">
        <v>-3.78</v>
      </c>
      <c r="D343">
        <v>0.73</v>
      </c>
      <c r="E343">
        <v>-0.16</v>
      </c>
      <c r="F343">
        <v>3.71</v>
      </c>
      <c r="G343">
        <v>0.6</v>
      </c>
    </row>
    <row r="344" spans="1:7" x14ac:dyDescent="0.2">
      <c r="A344" s="1">
        <v>33116</v>
      </c>
      <c r="B344">
        <v>-10.15</v>
      </c>
      <c r="C344">
        <v>-3.85</v>
      </c>
      <c r="D344">
        <v>1.58</v>
      </c>
      <c r="E344">
        <v>-0.43</v>
      </c>
      <c r="F344">
        <v>2.99</v>
      </c>
      <c r="G344">
        <v>0.66</v>
      </c>
    </row>
    <row r="345" spans="1:7" x14ac:dyDescent="0.2">
      <c r="A345" s="1">
        <v>33085</v>
      </c>
      <c r="B345">
        <v>-1.9</v>
      </c>
      <c r="C345">
        <v>-3.27</v>
      </c>
      <c r="D345">
        <v>-0.01</v>
      </c>
      <c r="E345">
        <v>-0.27</v>
      </c>
      <c r="F345">
        <v>3.1</v>
      </c>
      <c r="G345">
        <v>0.68</v>
      </c>
    </row>
    <row r="346" spans="1:7" x14ac:dyDescent="0.2">
      <c r="A346" s="1">
        <v>33054</v>
      </c>
      <c r="B346">
        <v>-1.0900000000000001</v>
      </c>
      <c r="C346">
        <v>1.38</v>
      </c>
      <c r="D346">
        <v>-1.94</v>
      </c>
      <c r="E346">
        <v>-1</v>
      </c>
      <c r="F346">
        <v>-0.34</v>
      </c>
      <c r="G346">
        <v>0.63</v>
      </c>
    </row>
    <row r="347" spans="1:7" x14ac:dyDescent="0.2">
      <c r="A347" s="1">
        <v>33024</v>
      </c>
      <c r="B347">
        <v>8.42</v>
      </c>
      <c r="C347">
        <v>-2.4</v>
      </c>
      <c r="D347">
        <v>-3.74</v>
      </c>
      <c r="E347">
        <v>1.65</v>
      </c>
      <c r="F347">
        <v>-1.57</v>
      </c>
      <c r="G347">
        <v>0.68</v>
      </c>
    </row>
    <row r="348" spans="1:7" x14ac:dyDescent="0.2">
      <c r="A348" s="1">
        <v>32993</v>
      </c>
      <c r="B348">
        <v>-3.36</v>
      </c>
      <c r="C348">
        <v>-0.4</v>
      </c>
      <c r="D348">
        <v>-2.5499999999999998</v>
      </c>
      <c r="E348">
        <v>1.72</v>
      </c>
      <c r="F348">
        <v>-0.98</v>
      </c>
      <c r="G348">
        <v>0.69</v>
      </c>
    </row>
    <row r="349" spans="1:7" x14ac:dyDescent="0.2">
      <c r="A349" s="1">
        <v>32963</v>
      </c>
      <c r="B349">
        <v>1.83</v>
      </c>
      <c r="C349">
        <v>1.64</v>
      </c>
      <c r="D349">
        <v>-2.9</v>
      </c>
      <c r="E349">
        <v>2.15</v>
      </c>
      <c r="F349">
        <v>-1.02</v>
      </c>
      <c r="G349">
        <v>0.64</v>
      </c>
    </row>
    <row r="350" spans="1:7" x14ac:dyDescent="0.2">
      <c r="A350" s="1">
        <v>32932</v>
      </c>
      <c r="B350">
        <v>1.1100000000000001</v>
      </c>
      <c r="C350">
        <v>1.18</v>
      </c>
      <c r="D350">
        <v>0.61</v>
      </c>
      <c r="E350">
        <v>-0.19</v>
      </c>
      <c r="F350">
        <v>-0.64</v>
      </c>
      <c r="G350">
        <v>0.56999999999999995</v>
      </c>
    </row>
    <row r="351" spans="1:7" x14ac:dyDescent="0.2">
      <c r="A351" s="1">
        <v>32904</v>
      </c>
      <c r="B351">
        <v>-7.85</v>
      </c>
      <c r="C351">
        <v>-1.33</v>
      </c>
      <c r="D351">
        <v>0.87</v>
      </c>
      <c r="E351">
        <v>-1.1299999999999999</v>
      </c>
      <c r="F351">
        <v>1.32</v>
      </c>
      <c r="G351">
        <v>0.56999999999999995</v>
      </c>
    </row>
    <row r="352" spans="1:7" x14ac:dyDescent="0.2">
      <c r="A352" s="1">
        <v>32873</v>
      </c>
      <c r="B352">
        <v>1.1599999999999999</v>
      </c>
      <c r="C352">
        <v>-2.2999999999999998</v>
      </c>
      <c r="D352">
        <v>0.28000000000000003</v>
      </c>
      <c r="E352">
        <v>-0.1</v>
      </c>
      <c r="F352">
        <v>1.45</v>
      </c>
      <c r="G352">
        <v>0.61</v>
      </c>
    </row>
    <row r="353" spans="1:7" x14ac:dyDescent="0.2">
      <c r="A353" s="1">
        <v>32842</v>
      </c>
      <c r="B353">
        <v>1.03</v>
      </c>
      <c r="C353">
        <v>-1.3</v>
      </c>
      <c r="D353">
        <v>-1.1200000000000001</v>
      </c>
      <c r="E353">
        <v>-0.91</v>
      </c>
      <c r="F353">
        <v>1.47</v>
      </c>
      <c r="G353">
        <v>0.69</v>
      </c>
    </row>
    <row r="354" spans="1:7" x14ac:dyDescent="0.2">
      <c r="A354" s="1">
        <v>32812</v>
      </c>
      <c r="B354">
        <v>-3.67</v>
      </c>
      <c r="C354">
        <v>-3.33</v>
      </c>
      <c r="D354">
        <v>-1.03</v>
      </c>
      <c r="E354">
        <v>0</v>
      </c>
      <c r="F354">
        <v>0.02</v>
      </c>
      <c r="G354">
        <v>0.68</v>
      </c>
    </row>
    <row r="355" spans="1:7" x14ac:dyDescent="0.2">
      <c r="A355" s="1">
        <v>32781</v>
      </c>
      <c r="B355">
        <v>-0.76</v>
      </c>
      <c r="C355">
        <v>0.46</v>
      </c>
      <c r="D355">
        <v>-1.34</v>
      </c>
      <c r="E355">
        <v>1.4</v>
      </c>
      <c r="F355">
        <v>0.59</v>
      </c>
      <c r="G355">
        <v>0.65</v>
      </c>
    </row>
    <row r="356" spans="1:7" x14ac:dyDescent="0.2">
      <c r="A356" s="1">
        <v>32751</v>
      </c>
      <c r="B356">
        <v>1.44</v>
      </c>
      <c r="C356">
        <v>0.43</v>
      </c>
      <c r="D356">
        <v>0.72</v>
      </c>
      <c r="E356">
        <v>0.41</v>
      </c>
      <c r="F356">
        <v>-0.5</v>
      </c>
      <c r="G356">
        <v>0.74</v>
      </c>
    </row>
    <row r="357" spans="1:7" x14ac:dyDescent="0.2">
      <c r="A357" s="1">
        <v>32720</v>
      </c>
      <c r="B357">
        <v>7.2</v>
      </c>
      <c r="C357">
        <v>-4.04</v>
      </c>
      <c r="D357">
        <v>-2.84</v>
      </c>
      <c r="E357">
        <v>1.99</v>
      </c>
      <c r="F357">
        <v>-0.62</v>
      </c>
      <c r="G357">
        <v>0.7</v>
      </c>
    </row>
    <row r="358" spans="1:7" x14ac:dyDescent="0.2">
      <c r="A358" s="1">
        <v>32689</v>
      </c>
      <c r="B358">
        <v>-1.35</v>
      </c>
      <c r="C358">
        <v>-1.08</v>
      </c>
      <c r="D358">
        <v>2.19</v>
      </c>
      <c r="E358">
        <v>0.24</v>
      </c>
      <c r="F358">
        <v>1.52</v>
      </c>
      <c r="G358">
        <v>0.71</v>
      </c>
    </row>
    <row r="359" spans="1:7" x14ac:dyDescent="0.2">
      <c r="A359" s="1">
        <v>32659</v>
      </c>
      <c r="B359">
        <v>3.35</v>
      </c>
      <c r="C359">
        <v>-0.01</v>
      </c>
      <c r="D359">
        <v>-0.82</v>
      </c>
      <c r="E359">
        <v>0.49</v>
      </c>
      <c r="F359">
        <v>-0.04</v>
      </c>
      <c r="G359">
        <v>0.79</v>
      </c>
    </row>
    <row r="360" spans="1:7" x14ac:dyDescent="0.2">
      <c r="A360" s="1">
        <v>32628</v>
      </c>
      <c r="B360">
        <v>4.33</v>
      </c>
      <c r="C360">
        <v>-0.7</v>
      </c>
      <c r="D360">
        <v>-1.45</v>
      </c>
      <c r="E360">
        <v>0.76</v>
      </c>
      <c r="F360">
        <v>-0.54</v>
      </c>
      <c r="G360">
        <v>0.67</v>
      </c>
    </row>
    <row r="361" spans="1:7" x14ac:dyDescent="0.2">
      <c r="A361" s="1">
        <v>32598</v>
      </c>
      <c r="B361">
        <v>1.57</v>
      </c>
      <c r="C361">
        <v>0.76</v>
      </c>
      <c r="D361">
        <v>0.46</v>
      </c>
      <c r="E361">
        <v>0.01</v>
      </c>
      <c r="F361">
        <v>0.79</v>
      </c>
      <c r="G361">
        <v>0.67</v>
      </c>
    </row>
    <row r="362" spans="1:7" x14ac:dyDescent="0.2">
      <c r="A362" s="1">
        <v>32567</v>
      </c>
      <c r="B362">
        <v>-2.25</v>
      </c>
      <c r="C362">
        <v>2.67</v>
      </c>
      <c r="D362">
        <v>0.87</v>
      </c>
      <c r="E362">
        <v>-0.82</v>
      </c>
      <c r="F362">
        <v>1.89</v>
      </c>
      <c r="G362">
        <v>0.61</v>
      </c>
    </row>
    <row r="363" spans="1:7" x14ac:dyDescent="0.2">
      <c r="A363" s="1">
        <v>32539</v>
      </c>
      <c r="B363">
        <v>6.1</v>
      </c>
      <c r="C363">
        <v>-2.23</v>
      </c>
      <c r="D363">
        <v>0.51</v>
      </c>
      <c r="E363">
        <v>-1.03</v>
      </c>
      <c r="F363">
        <v>0.16</v>
      </c>
      <c r="G363">
        <v>0.55000000000000004</v>
      </c>
    </row>
    <row r="364" spans="1:7" x14ac:dyDescent="0.2">
      <c r="A364" s="1">
        <v>32508</v>
      </c>
      <c r="B364">
        <v>1.49</v>
      </c>
      <c r="C364">
        <v>2.0099999999999998</v>
      </c>
      <c r="D364">
        <v>-1.55</v>
      </c>
      <c r="E364">
        <v>0.64</v>
      </c>
      <c r="F364">
        <v>-0.37</v>
      </c>
      <c r="G364">
        <v>0.63</v>
      </c>
    </row>
    <row r="365" spans="1:7" x14ac:dyDescent="0.2">
      <c r="A365" s="1">
        <v>32477</v>
      </c>
      <c r="B365">
        <v>-2.29</v>
      </c>
      <c r="C365">
        <v>-1.66</v>
      </c>
      <c r="D365">
        <v>1.24</v>
      </c>
      <c r="E365">
        <v>-0.31</v>
      </c>
      <c r="F365">
        <v>1.6</v>
      </c>
      <c r="G365">
        <v>0.56999999999999995</v>
      </c>
    </row>
    <row r="366" spans="1:7" x14ac:dyDescent="0.2">
      <c r="A366" s="1">
        <v>32447</v>
      </c>
      <c r="B366">
        <v>1.1499999999999999</v>
      </c>
      <c r="C366">
        <v>-2.95</v>
      </c>
      <c r="D366">
        <v>1.71</v>
      </c>
      <c r="E366">
        <v>1.4</v>
      </c>
      <c r="F366">
        <v>1.04</v>
      </c>
      <c r="G366">
        <v>0.61</v>
      </c>
    </row>
    <row r="367" spans="1:7" x14ac:dyDescent="0.2">
      <c r="A367" s="1">
        <v>32416</v>
      </c>
      <c r="B367">
        <v>3.3</v>
      </c>
      <c r="C367">
        <v>-1.31</v>
      </c>
      <c r="D367">
        <v>-0.68</v>
      </c>
      <c r="E367">
        <v>1.72</v>
      </c>
      <c r="F367">
        <v>-0.48</v>
      </c>
      <c r="G367">
        <v>0.62</v>
      </c>
    </row>
    <row r="368" spans="1:7" x14ac:dyDescent="0.2">
      <c r="A368" s="1">
        <v>32386</v>
      </c>
      <c r="B368">
        <v>-3.31</v>
      </c>
      <c r="C368">
        <v>-0.02</v>
      </c>
      <c r="D368">
        <v>2.0299999999999998</v>
      </c>
      <c r="E368">
        <v>-0.76</v>
      </c>
      <c r="F368">
        <v>1.74</v>
      </c>
      <c r="G368">
        <v>0.59</v>
      </c>
    </row>
    <row r="369" spans="1:7" x14ac:dyDescent="0.2">
      <c r="A369" s="1">
        <v>32355</v>
      </c>
      <c r="B369">
        <v>-1.25</v>
      </c>
      <c r="C369">
        <v>-0.17</v>
      </c>
      <c r="D369">
        <v>2.27</v>
      </c>
      <c r="E369">
        <v>-0.59</v>
      </c>
      <c r="F369">
        <v>1.45</v>
      </c>
      <c r="G369">
        <v>0.51</v>
      </c>
    </row>
    <row r="370" spans="1:7" x14ac:dyDescent="0.2">
      <c r="A370" s="1">
        <v>32324</v>
      </c>
      <c r="B370">
        <v>4.79</v>
      </c>
      <c r="C370">
        <v>2.19</v>
      </c>
      <c r="D370">
        <v>-1.07</v>
      </c>
      <c r="E370">
        <v>1.42</v>
      </c>
      <c r="F370">
        <v>-3.25</v>
      </c>
      <c r="G370">
        <v>0.49</v>
      </c>
    </row>
    <row r="371" spans="1:7" x14ac:dyDescent="0.2">
      <c r="A371" s="1">
        <v>32294</v>
      </c>
      <c r="B371">
        <v>-0.28999999999999998</v>
      </c>
      <c r="C371">
        <v>-2.59</v>
      </c>
      <c r="D371">
        <v>2.2999999999999998</v>
      </c>
      <c r="E371">
        <v>-0.7</v>
      </c>
      <c r="F371">
        <v>0.38</v>
      </c>
      <c r="G371">
        <v>0.51</v>
      </c>
    </row>
    <row r="372" spans="1:7" x14ac:dyDescent="0.2">
      <c r="A372" s="1">
        <v>32263</v>
      </c>
      <c r="B372">
        <v>0.56000000000000005</v>
      </c>
      <c r="C372">
        <v>1.1200000000000001</v>
      </c>
      <c r="D372">
        <v>1.69</v>
      </c>
      <c r="E372">
        <v>-0.23</v>
      </c>
      <c r="F372">
        <v>1.9</v>
      </c>
      <c r="G372">
        <v>0.46</v>
      </c>
    </row>
    <row r="373" spans="1:7" x14ac:dyDescent="0.2">
      <c r="A373" s="1">
        <v>32233</v>
      </c>
      <c r="B373">
        <v>-2.27</v>
      </c>
      <c r="C373">
        <v>6.26</v>
      </c>
      <c r="D373">
        <v>0.74</v>
      </c>
      <c r="E373">
        <v>-0.16</v>
      </c>
      <c r="F373">
        <v>1.91</v>
      </c>
      <c r="G373">
        <v>0.44</v>
      </c>
    </row>
    <row r="374" spans="1:7" x14ac:dyDescent="0.2">
      <c r="A374" s="1">
        <v>32202</v>
      </c>
      <c r="B374">
        <v>4.75</v>
      </c>
      <c r="C374">
        <v>3.32</v>
      </c>
      <c r="D374">
        <v>-1.65</v>
      </c>
      <c r="E374">
        <v>1.56</v>
      </c>
      <c r="F374">
        <v>-0.11</v>
      </c>
      <c r="G374">
        <v>0.46</v>
      </c>
    </row>
    <row r="375" spans="1:7" x14ac:dyDescent="0.2">
      <c r="A375" s="1">
        <v>32173</v>
      </c>
      <c r="B375">
        <v>4.21</v>
      </c>
      <c r="C375">
        <v>-0.54</v>
      </c>
      <c r="D375">
        <v>5.08</v>
      </c>
      <c r="E375">
        <v>-1.1200000000000001</v>
      </c>
      <c r="F375">
        <v>2.09</v>
      </c>
      <c r="G375">
        <v>0.28999999999999998</v>
      </c>
    </row>
    <row r="376" spans="1:7" x14ac:dyDescent="0.2">
      <c r="A376" s="1">
        <v>32142</v>
      </c>
      <c r="B376">
        <v>6.81</v>
      </c>
      <c r="C376">
        <v>0.09</v>
      </c>
      <c r="D376">
        <v>-4.49</v>
      </c>
      <c r="E376">
        <v>3.01</v>
      </c>
      <c r="F376">
        <v>-2.36</v>
      </c>
      <c r="G376">
        <v>0.39</v>
      </c>
    </row>
    <row r="377" spans="1:7" x14ac:dyDescent="0.2">
      <c r="A377" s="1">
        <v>32111</v>
      </c>
      <c r="B377">
        <v>-7.77</v>
      </c>
      <c r="C377">
        <v>2.83</v>
      </c>
      <c r="D377">
        <v>3.14</v>
      </c>
      <c r="E377">
        <v>-1.92</v>
      </c>
      <c r="F377">
        <v>0.71</v>
      </c>
      <c r="G377">
        <v>0.35</v>
      </c>
    </row>
    <row r="378" spans="1:7" x14ac:dyDescent="0.2">
      <c r="A378" s="1">
        <v>32081</v>
      </c>
      <c r="B378">
        <v>-23.24</v>
      </c>
      <c r="C378">
        <v>-8.09</v>
      </c>
      <c r="D378">
        <v>4.2300000000000004</v>
      </c>
      <c r="E378">
        <v>2.0099999999999998</v>
      </c>
      <c r="F378">
        <v>2.39</v>
      </c>
      <c r="G378">
        <v>0.6</v>
      </c>
    </row>
    <row r="379" spans="1:7" x14ac:dyDescent="0.2">
      <c r="A379" s="1">
        <v>32050</v>
      </c>
      <c r="B379">
        <v>-2.59</v>
      </c>
      <c r="C379">
        <v>0.37</v>
      </c>
      <c r="D379">
        <v>0.28000000000000003</v>
      </c>
      <c r="E379">
        <v>-0.9</v>
      </c>
      <c r="F379">
        <v>1.89</v>
      </c>
      <c r="G379">
        <v>0.45</v>
      </c>
    </row>
    <row r="380" spans="1:7" x14ac:dyDescent="0.2">
      <c r="A380" s="1">
        <v>32020</v>
      </c>
      <c r="B380">
        <v>3.52</v>
      </c>
      <c r="C380">
        <v>-0.9</v>
      </c>
      <c r="D380">
        <v>-0.9</v>
      </c>
      <c r="E380">
        <v>2.0299999999999998</v>
      </c>
      <c r="F380">
        <v>-1.59</v>
      </c>
      <c r="G380">
        <v>0.47</v>
      </c>
    </row>
    <row r="381" spans="1:7" x14ac:dyDescent="0.2">
      <c r="A381" s="1">
        <v>31989</v>
      </c>
      <c r="B381">
        <v>3.85</v>
      </c>
      <c r="C381">
        <v>-1.1100000000000001</v>
      </c>
      <c r="D381">
        <v>0.66</v>
      </c>
      <c r="E381">
        <v>-0.5</v>
      </c>
      <c r="F381">
        <v>1.56</v>
      </c>
      <c r="G381">
        <v>0.46</v>
      </c>
    </row>
    <row r="382" spans="1:7" x14ac:dyDescent="0.2">
      <c r="A382" s="1">
        <v>31958</v>
      </c>
      <c r="B382">
        <v>3.94</v>
      </c>
      <c r="C382">
        <v>-2.29</v>
      </c>
      <c r="D382">
        <v>1.07</v>
      </c>
      <c r="E382">
        <v>1.73</v>
      </c>
      <c r="F382">
        <v>0.83</v>
      </c>
      <c r="G382">
        <v>0.48</v>
      </c>
    </row>
    <row r="383" spans="1:7" x14ac:dyDescent="0.2">
      <c r="A383" s="1">
        <v>31928</v>
      </c>
      <c r="B383">
        <v>0.11</v>
      </c>
      <c r="C383">
        <v>-0.59</v>
      </c>
      <c r="D383">
        <v>0.13</v>
      </c>
      <c r="E383">
        <v>0.52</v>
      </c>
      <c r="F383">
        <v>1.32</v>
      </c>
      <c r="G383">
        <v>0.38</v>
      </c>
    </row>
    <row r="384" spans="1:7" x14ac:dyDescent="0.2">
      <c r="A384" s="1">
        <v>31897</v>
      </c>
      <c r="B384">
        <v>-2.11</v>
      </c>
      <c r="C384">
        <v>-1.55</v>
      </c>
      <c r="D384">
        <v>-0.33</v>
      </c>
      <c r="E384">
        <v>-0.46</v>
      </c>
      <c r="F384">
        <v>1.22</v>
      </c>
      <c r="G384">
        <v>0.44</v>
      </c>
    </row>
    <row r="385" spans="1:7" x14ac:dyDescent="0.2">
      <c r="A385" s="1">
        <v>31867</v>
      </c>
      <c r="B385">
        <v>1.64</v>
      </c>
      <c r="C385">
        <v>0.21</v>
      </c>
      <c r="D385">
        <v>1.66</v>
      </c>
      <c r="E385">
        <v>1.36</v>
      </c>
      <c r="F385">
        <v>4.03</v>
      </c>
      <c r="G385">
        <v>0.47</v>
      </c>
    </row>
    <row r="386" spans="1:7" x14ac:dyDescent="0.2">
      <c r="A386" s="1">
        <v>31836</v>
      </c>
      <c r="B386">
        <v>4.3899999999999997</v>
      </c>
      <c r="C386">
        <v>3.41</v>
      </c>
      <c r="D386">
        <v>-5.99</v>
      </c>
      <c r="E386">
        <v>-0.9</v>
      </c>
      <c r="F386">
        <v>-2.76</v>
      </c>
      <c r="G386">
        <v>0.43</v>
      </c>
    </row>
    <row r="387" spans="1:7" x14ac:dyDescent="0.2">
      <c r="A387" s="1">
        <v>31808</v>
      </c>
      <c r="B387">
        <v>12.47</v>
      </c>
      <c r="C387">
        <v>-1.51</v>
      </c>
      <c r="D387">
        <v>-3.18</v>
      </c>
      <c r="E387">
        <v>0.2</v>
      </c>
      <c r="F387">
        <v>-1.0900000000000001</v>
      </c>
      <c r="G387">
        <v>0.42</v>
      </c>
    </row>
    <row r="388" spans="1:7" x14ac:dyDescent="0.2">
      <c r="A388" s="1">
        <v>31777</v>
      </c>
      <c r="B388">
        <v>-3.27</v>
      </c>
      <c r="C388">
        <v>7.0000000000000007E-2</v>
      </c>
      <c r="D388">
        <v>0.37</v>
      </c>
      <c r="E388">
        <v>0.83</v>
      </c>
      <c r="F388">
        <v>-0.03</v>
      </c>
      <c r="G388">
        <v>0.49</v>
      </c>
    </row>
    <row r="389" spans="1:7" x14ac:dyDescent="0.2">
      <c r="A389" s="1">
        <v>31746</v>
      </c>
      <c r="B389">
        <v>1.17</v>
      </c>
      <c r="C389">
        <v>-1.88</v>
      </c>
      <c r="D389">
        <v>-0.06</v>
      </c>
      <c r="E389">
        <v>1.1200000000000001</v>
      </c>
      <c r="F389">
        <v>0.61</v>
      </c>
      <c r="G389">
        <v>0.39</v>
      </c>
    </row>
    <row r="390" spans="1:7" x14ac:dyDescent="0.2">
      <c r="A390" s="1">
        <v>31716</v>
      </c>
      <c r="B390">
        <v>4.66</v>
      </c>
      <c r="C390">
        <v>-2.33</v>
      </c>
      <c r="D390">
        <v>-1.32</v>
      </c>
      <c r="E390">
        <v>0.13</v>
      </c>
      <c r="F390">
        <v>0.89</v>
      </c>
      <c r="G390">
        <v>0.46</v>
      </c>
    </row>
    <row r="391" spans="1:7" x14ac:dyDescent="0.2">
      <c r="A391" s="1">
        <v>31685</v>
      </c>
      <c r="B391">
        <v>-8.6</v>
      </c>
      <c r="C391">
        <v>1.97</v>
      </c>
      <c r="D391">
        <v>3.19</v>
      </c>
      <c r="E391">
        <v>-0.05</v>
      </c>
      <c r="F391">
        <v>3.62</v>
      </c>
      <c r="G391">
        <v>0.45</v>
      </c>
    </row>
    <row r="392" spans="1:7" x14ac:dyDescent="0.2">
      <c r="A392" s="1">
        <v>31655</v>
      </c>
      <c r="B392">
        <v>6.07</v>
      </c>
      <c r="C392">
        <v>-4.3600000000000003</v>
      </c>
      <c r="D392">
        <v>3.52</v>
      </c>
      <c r="E392">
        <v>-1.74</v>
      </c>
      <c r="F392">
        <v>3.24</v>
      </c>
      <c r="G392">
        <v>0.46</v>
      </c>
    </row>
    <row r="393" spans="1:7" x14ac:dyDescent="0.2">
      <c r="A393" s="1">
        <v>31624</v>
      </c>
      <c r="B393">
        <v>-6.45</v>
      </c>
      <c r="C393">
        <v>-3.54</v>
      </c>
      <c r="D393">
        <v>4.78</v>
      </c>
      <c r="E393">
        <v>-0.56999999999999995</v>
      </c>
      <c r="F393">
        <v>0.61</v>
      </c>
      <c r="G393">
        <v>0.52</v>
      </c>
    </row>
    <row r="394" spans="1:7" x14ac:dyDescent="0.2">
      <c r="A394" s="1">
        <v>31593</v>
      </c>
      <c r="B394">
        <v>1.03</v>
      </c>
      <c r="C394">
        <v>-0.87</v>
      </c>
      <c r="D394">
        <v>1.4</v>
      </c>
      <c r="E394">
        <v>1.83</v>
      </c>
      <c r="F394">
        <v>0.87</v>
      </c>
      <c r="G394">
        <v>0.52</v>
      </c>
    </row>
    <row r="395" spans="1:7" x14ac:dyDescent="0.2">
      <c r="A395" s="1">
        <v>31563</v>
      </c>
      <c r="B395">
        <v>4.62</v>
      </c>
      <c r="C395">
        <v>-1.26</v>
      </c>
      <c r="D395">
        <v>-0.11</v>
      </c>
      <c r="E395">
        <v>2.08</v>
      </c>
      <c r="F395">
        <v>1.1100000000000001</v>
      </c>
      <c r="G395">
        <v>0.49</v>
      </c>
    </row>
    <row r="396" spans="1:7" x14ac:dyDescent="0.2">
      <c r="A396" s="1">
        <v>31532</v>
      </c>
      <c r="B396">
        <v>-1.31</v>
      </c>
      <c r="C396">
        <v>2.92</v>
      </c>
      <c r="D396">
        <v>-2.85</v>
      </c>
      <c r="E396">
        <v>2.91</v>
      </c>
      <c r="F396">
        <v>0.02</v>
      </c>
      <c r="G396">
        <v>0.52</v>
      </c>
    </row>
    <row r="397" spans="1:7" x14ac:dyDescent="0.2">
      <c r="A397" s="1">
        <v>31502</v>
      </c>
      <c r="B397">
        <v>4.88</v>
      </c>
      <c r="C397">
        <v>-0.56999999999999995</v>
      </c>
      <c r="D397">
        <v>-0.44</v>
      </c>
      <c r="E397">
        <v>1.1200000000000001</v>
      </c>
      <c r="F397">
        <v>0.99</v>
      </c>
      <c r="G397">
        <v>0.6</v>
      </c>
    </row>
    <row r="398" spans="1:7" x14ac:dyDescent="0.2">
      <c r="A398" s="1">
        <v>31471</v>
      </c>
      <c r="B398">
        <v>7.13</v>
      </c>
      <c r="C398">
        <v>-0.76</v>
      </c>
      <c r="D398">
        <v>-0.94</v>
      </c>
      <c r="E398">
        <v>1.1499999999999999</v>
      </c>
      <c r="F398">
        <v>-1.39</v>
      </c>
      <c r="G398">
        <v>0.53</v>
      </c>
    </row>
    <row r="399" spans="1:7" x14ac:dyDescent="0.2">
      <c r="A399" s="1">
        <v>31443</v>
      </c>
      <c r="B399">
        <v>0.65</v>
      </c>
      <c r="C399">
        <v>1.01</v>
      </c>
      <c r="D399">
        <v>0.53</v>
      </c>
      <c r="E399">
        <v>-2.02</v>
      </c>
      <c r="F399">
        <v>-2.0499999999999998</v>
      </c>
      <c r="G399">
        <v>0.56000000000000005</v>
      </c>
    </row>
    <row r="400" spans="1:7" x14ac:dyDescent="0.2">
      <c r="A400" s="1">
        <v>31412</v>
      </c>
      <c r="B400">
        <v>3.88</v>
      </c>
      <c r="C400">
        <v>-0.39</v>
      </c>
      <c r="D400">
        <v>-1.53</v>
      </c>
      <c r="E400">
        <v>0.97</v>
      </c>
      <c r="F400">
        <v>-1.8</v>
      </c>
      <c r="G400">
        <v>0.65</v>
      </c>
    </row>
    <row r="401" spans="1:7" x14ac:dyDescent="0.2">
      <c r="A401" s="1">
        <v>31381</v>
      </c>
      <c r="B401">
        <v>6.48</v>
      </c>
      <c r="C401">
        <v>0</v>
      </c>
      <c r="D401">
        <v>-2.87</v>
      </c>
      <c r="E401">
        <v>0.28999999999999998</v>
      </c>
      <c r="F401">
        <v>-2.33</v>
      </c>
      <c r="G401">
        <v>0.61</v>
      </c>
    </row>
    <row r="402" spans="1:7" x14ac:dyDescent="0.2">
      <c r="A402" s="1">
        <v>31351</v>
      </c>
      <c r="B402">
        <v>4.0199999999999996</v>
      </c>
      <c r="C402">
        <v>-1.55</v>
      </c>
      <c r="D402">
        <v>0.78</v>
      </c>
      <c r="E402">
        <v>0.92</v>
      </c>
      <c r="F402">
        <v>-1.1100000000000001</v>
      </c>
      <c r="G402">
        <v>0.65</v>
      </c>
    </row>
    <row r="403" spans="1:7" x14ac:dyDescent="0.2">
      <c r="A403" s="1">
        <v>31320</v>
      </c>
      <c r="B403">
        <v>-4.54</v>
      </c>
      <c r="C403">
        <v>-1.81</v>
      </c>
      <c r="D403">
        <v>1.32</v>
      </c>
      <c r="E403">
        <v>1.1599999999999999</v>
      </c>
      <c r="F403">
        <v>1.61</v>
      </c>
      <c r="G403">
        <v>0.6</v>
      </c>
    </row>
    <row r="404" spans="1:7" x14ac:dyDescent="0.2">
      <c r="A404" s="1">
        <v>31290</v>
      </c>
      <c r="B404">
        <v>-1.02</v>
      </c>
      <c r="C404">
        <v>-0.32</v>
      </c>
      <c r="D404">
        <v>2.2799999999999998</v>
      </c>
      <c r="E404">
        <v>-0.04</v>
      </c>
      <c r="F404">
        <v>1.88</v>
      </c>
      <c r="G404">
        <v>0.55000000000000004</v>
      </c>
    </row>
    <row r="405" spans="1:7" x14ac:dyDescent="0.2">
      <c r="A405" s="1">
        <v>31259</v>
      </c>
      <c r="B405">
        <v>-0.74</v>
      </c>
      <c r="C405">
        <v>2.89</v>
      </c>
      <c r="D405">
        <v>-1.63</v>
      </c>
      <c r="E405">
        <v>-0.45</v>
      </c>
      <c r="F405">
        <v>-0.31</v>
      </c>
      <c r="G405">
        <v>0.62</v>
      </c>
    </row>
    <row r="406" spans="1:7" x14ac:dyDescent="0.2">
      <c r="A406" s="1">
        <v>31228</v>
      </c>
      <c r="B406">
        <v>1.27</v>
      </c>
      <c r="C406">
        <v>0.48</v>
      </c>
      <c r="D406">
        <v>0.7</v>
      </c>
      <c r="E406">
        <v>1.5</v>
      </c>
      <c r="F406">
        <v>-0.59</v>
      </c>
      <c r="G406">
        <v>0.55000000000000004</v>
      </c>
    </row>
    <row r="407" spans="1:7" x14ac:dyDescent="0.2">
      <c r="A407" s="1">
        <v>31198</v>
      </c>
      <c r="B407">
        <v>5.09</v>
      </c>
      <c r="C407">
        <v>-2.33</v>
      </c>
      <c r="D407">
        <v>-0.86</v>
      </c>
      <c r="E407">
        <v>1.3</v>
      </c>
      <c r="F407">
        <v>-1.39</v>
      </c>
      <c r="G407">
        <v>0.66</v>
      </c>
    </row>
    <row r="408" spans="1:7" x14ac:dyDescent="0.2">
      <c r="A408" s="1">
        <v>31167</v>
      </c>
      <c r="B408">
        <v>-0.96</v>
      </c>
      <c r="C408">
        <v>-0.1</v>
      </c>
      <c r="D408">
        <v>3.73</v>
      </c>
      <c r="E408">
        <v>1.59</v>
      </c>
      <c r="F408">
        <v>0.71</v>
      </c>
      <c r="G408">
        <v>0.72</v>
      </c>
    </row>
    <row r="409" spans="1:7" x14ac:dyDescent="0.2">
      <c r="A409" s="1">
        <v>31137</v>
      </c>
      <c r="B409">
        <v>-0.84</v>
      </c>
      <c r="C409">
        <v>-1.48</v>
      </c>
      <c r="D409">
        <v>4.0999999999999996</v>
      </c>
      <c r="E409">
        <v>1.18</v>
      </c>
      <c r="F409">
        <v>2.94</v>
      </c>
      <c r="G409">
        <v>0.62</v>
      </c>
    </row>
    <row r="410" spans="1:7" x14ac:dyDescent="0.2">
      <c r="A410" s="1">
        <v>31106</v>
      </c>
      <c r="B410">
        <v>1.22</v>
      </c>
      <c r="C410">
        <v>1</v>
      </c>
      <c r="D410">
        <v>-0.12</v>
      </c>
      <c r="E410">
        <v>1.26</v>
      </c>
      <c r="F410">
        <v>1.03</v>
      </c>
      <c r="G410">
        <v>0.57999999999999996</v>
      </c>
    </row>
    <row r="411" spans="1:7" x14ac:dyDescent="0.2">
      <c r="A411" s="1">
        <v>31078</v>
      </c>
      <c r="B411">
        <v>7.99</v>
      </c>
      <c r="C411">
        <v>3.49</v>
      </c>
      <c r="D411">
        <v>-5.43</v>
      </c>
      <c r="E411">
        <v>-0.83</v>
      </c>
      <c r="F411">
        <v>-3.36</v>
      </c>
      <c r="G411">
        <v>0.65</v>
      </c>
    </row>
    <row r="412" spans="1:7" x14ac:dyDescent="0.2">
      <c r="A412" s="1">
        <v>31047</v>
      </c>
      <c r="B412">
        <v>1.84</v>
      </c>
      <c r="C412">
        <v>-0.69</v>
      </c>
      <c r="D412">
        <v>-0.17</v>
      </c>
      <c r="E412">
        <v>1.21</v>
      </c>
      <c r="F412">
        <v>-1.26</v>
      </c>
      <c r="G412">
        <v>0.64</v>
      </c>
    </row>
    <row r="413" spans="1:7" x14ac:dyDescent="0.2">
      <c r="A413" s="1">
        <v>31016</v>
      </c>
      <c r="B413">
        <v>-1.76</v>
      </c>
      <c r="C413">
        <v>-0.98</v>
      </c>
      <c r="D413">
        <v>4.08</v>
      </c>
      <c r="E413">
        <v>0.81</v>
      </c>
      <c r="F413">
        <v>2.08</v>
      </c>
      <c r="G413">
        <v>0.73</v>
      </c>
    </row>
    <row r="414" spans="1:7" x14ac:dyDescent="0.2">
      <c r="A414" s="1">
        <v>30986</v>
      </c>
      <c r="B414">
        <v>-0.84</v>
      </c>
      <c r="C414">
        <v>-1.43</v>
      </c>
      <c r="D414">
        <v>0.51</v>
      </c>
      <c r="E414">
        <v>1.17</v>
      </c>
      <c r="F414">
        <v>-1.1599999999999999</v>
      </c>
      <c r="G414">
        <v>1</v>
      </c>
    </row>
    <row r="415" spans="1:7" x14ac:dyDescent="0.2">
      <c r="A415" s="1">
        <v>30955</v>
      </c>
      <c r="B415">
        <v>-0.8</v>
      </c>
      <c r="C415">
        <v>0</v>
      </c>
      <c r="D415">
        <v>5.32</v>
      </c>
      <c r="E415">
        <v>1.4</v>
      </c>
      <c r="F415">
        <v>2.5299999999999998</v>
      </c>
      <c r="G415">
        <v>0.86</v>
      </c>
    </row>
    <row r="416" spans="1:7" x14ac:dyDescent="0.2">
      <c r="A416" s="1">
        <v>30925</v>
      </c>
      <c r="B416">
        <v>10.28</v>
      </c>
      <c r="C416">
        <v>-0.3</v>
      </c>
      <c r="D416">
        <v>-1.85</v>
      </c>
      <c r="E416">
        <v>-0.89</v>
      </c>
      <c r="F416">
        <v>-0.81</v>
      </c>
      <c r="G416">
        <v>0.83</v>
      </c>
    </row>
    <row r="417" spans="1:7" x14ac:dyDescent="0.2">
      <c r="A417" s="1">
        <v>30894</v>
      </c>
      <c r="B417">
        <v>-2.74</v>
      </c>
      <c r="C417">
        <v>-2.2200000000000002</v>
      </c>
      <c r="D417">
        <v>0.49</v>
      </c>
      <c r="E417">
        <v>3.69</v>
      </c>
      <c r="F417">
        <v>-2.17</v>
      </c>
      <c r="G417">
        <v>0.82</v>
      </c>
    </row>
    <row r="418" spans="1:7" x14ac:dyDescent="0.2">
      <c r="A418" s="1">
        <v>30863</v>
      </c>
      <c r="B418">
        <v>1.82</v>
      </c>
      <c r="C418">
        <v>7.0000000000000007E-2</v>
      </c>
      <c r="D418">
        <v>-2.6</v>
      </c>
      <c r="E418">
        <v>3.08</v>
      </c>
      <c r="F418">
        <v>-1.51</v>
      </c>
      <c r="G418">
        <v>0.75</v>
      </c>
    </row>
    <row r="419" spans="1:7" x14ac:dyDescent="0.2">
      <c r="A419" s="1">
        <v>30833</v>
      </c>
      <c r="B419">
        <v>-5.97</v>
      </c>
      <c r="C419">
        <v>0.08</v>
      </c>
      <c r="D419">
        <v>0.26</v>
      </c>
      <c r="E419">
        <v>2.3199999999999998</v>
      </c>
      <c r="F419">
        <v>-0.5</v>
      </c>
      <c r="G419">
        <v>0.78</v>
      </c>
    </row>
    <row r="420" spans="1:7" x14ac:dyDescent="0.2">
      <c r="A420" s="1">
        <v>30802</v>
      </c>
      <c r="B420">
        <v>-0.51</v>
      </c>
      <c r="C420">
        <v>-1.01</v>
      </c>
      <c r="D420">
        <v>1.29</v>
      </c>
      <c r="E420">
        <v>3.27</v>
      </c>
      <c r="F420">
        <v>0.76</v>
      </c>
      <c r="G420">
        <v>0.81</v>
      </c>
    </row>
    <row r="421" spans="1:7" x14ac:dyDescent="0.2">
      <c r="A421" s="1">
        <v>30772</v>
      </c>
      <c r="B421">
        <v>0.63</v>
      </c>
      <c r="C421">
        <v>-0.28000000000000003</v>
      </c>
      <c r="D421">
        <v>0.48</v>
      </c>
      <c r="E421">
        <v>-0.93</v>
      </c>
      <c r="F421">
        <v>1.0900000000000001</v>
      </c>
      <c r="G421">
        <v>0.73</v>
      </c>
    </row>
    <row r="422" spans="1:7" x14ac:dyDescent="0.2">
      <c r="A422" s="1">
        <v>30741</v>
      </c>
      <c r="B422">
        <v>-4.82</v>
      </c>
      <c r="C422">
        <v>-1.62</v>
      </c>
      <c r="D422">
        <v>3.36</v>
      </c>
      <c r="E422">
        <v>0.82</v>
      </c>
      <c r="F422">
        <v>1.57</v>
      </c>
      <c r="G422">
        <v>0.71</v>
      </c>
    </row>
    <row r="423" spans="1:7" x14ac:dyDescent="0.2">
      <c r="A423" s="1">
        <v>30712</v>
      </c>
      <c r="B423">
        <v>-1.92</v>
      </c>
      <c r="C423">
        <v>-7.0000000000000007E-2</v>
      </c>
      <c r="D423">
        <v>7.63</v>
      </c>
      <c r="E423">
        <v>-0.93</v>
      </c>
      <c r="F423">
        <v>3</v>
      </c>
      <c r="G423">
        <v>0.76</v>
      </c>
    </row>
    <row r="424" spans="1:7" x14ac:dyDescent="0.2">
      <c r="A424" s="1">
        <v>30681</v>
      </c>
      <c r="B424">
        <v>-1.78</v>
      </c>
      <c r="C424">
        <v>-0.47</v>
      </c>
      <c r="D424">
        <v>1.67</v>
      </c>
      <c r="E424">
        <v>1.59</v>
      </c>
      <c r="F424">
        <v>1.21</v>
      </c>
      <c r="G424">
        <v>0.73</v>
      </c>
    </row>
    <row r="425" spans="1:7" x14ac:dyDescent="0.2">
      <c r="A425" s="1">
        <v>30650</v>
      </c>
      <c r="B425">
        <v>2.16</v>
      </c>
      <c r="C425">
        <v>1.88</v>
      </c>
      <c r="D425">
        <v>-0.62</v>
      </c>
      <c r="E425">
        <v>-0.48</v>
      </c>
      <c r="F425">
        <v>0.64</v>
      </c>
      <c r="G425">
        <v>0.7</v>
      </c>
    </row>
    <row r="426" spans="1:7" x14ac:dyDescent="0.2">
      <c r="A426" s="1">
        <v>30620</v>
      </c>
      <c r="B426">
        <v>-3.44</v>
      </c>
      <c r="C426">
        <v>-3.82</v>
      </c>
      <c r="D426">
        <v>5.0599999999999996</v>
      </c>
      <c r="E426">
        <v>-0.81</v>
      </c>
      <c r="F426">
        <v>2.97</v>
      </c>
      <c r="G426">
        <v>0.76</v>
      </c>
    </row>
    <row r="427" spans="1:7" x14ac:dyDescent="0.2">
      <c r="A427" s="1">
        <v>30589</v>
      </c>
      <c r="B427">
        <v>0.91</v>
      </c>
      <c r="C427">
        <v>0.25</v>
      </c>
      <c r="D427">
        <v>1.0900000000000001</v>
      </c>
      <c r="E427">
        <v>1.21</v>
      </c>
      <c r="F427">
        <v>0.59</v>
      </c>
      <c r="G427">
        <v>0.76</v>
      </c>
    </row>
    <row r="428" spans="1:7" x14ac:dyDescent="0.2">
      <c r="A428" s="1">
        <v>30559</v>
      </c>
      <c r="B428">
        <v>-0.5</v>
      </c>
      <c r="C428">
        <v>-4.34</v>
      </c>
      <c r="D428">
        <v>5.55</v>
      </c>
      <c r="E428">
        <v>0.45</v>
      </c>
      <c r="F428">
        <v>1.95</v>
      </c>
      <c r="G428">
        <v>0.76</v>
      </c>
    </row>
    <row r="429" spans="1:7" x14ac:dyDescent="0.2">
      <c r="A429" s="1">
        <v>30528</v>
      </c>
      <c r="B429">
        <v>-4.07</v>
      </c>
      <c r="C429">
        <v>0.98</v>
      </c>
      <c r="D429">
        <v>5.62</v>
      </c>
      <c r="E429">
        <v>-0.03</v>
      </c>
      <c r="F429">
        <v>2.84</v>
      </c>
      <c r="G429">
        <v>0.74</v>
      </c>
    </row>
    <row r="430" spans="1:7" x14ac:dyDescent="0.2">
      <c r="A430" s="1">
        <v>30497</v>
      </c>
      <c r="B430">
        <v>3.07</v>
      </c>
      <c r="C430">
        <v>1.1499999999999999</v>
      </c>
      <c r="D430">
        <v>-3.87</v>
      </c>
      <c r="E430">
        <v>2.52</v>
      </c>
      <c r="F430">
        <v>-0.89</v>
      </c>
      <c r="G430">
        <v>0.67</v>
      </c>
    </row>
    <row r="431" spans="1:7" x14ac:dyDescent="0.2">
      <c r="A431" s="1">
        <v>30467</v>
      </c>
      <c r="B431">
        <v>0.52</v>
      </c>
      <c r="C431">
        <v>6.22</v>
      </c>
      <c r="D431">
        <v>-1.4</v>
      </c>
      <c r="E431">
        <v>-1.85</v>
      </c>
      <c r="F431">
        <v>-1.53</v>
      </c>
      <c r="G431">
        <v>0.69</v>
      </c>
    </row>
    <row r="432" spans="1:7" x14ac:dyDescent="0.2">
      <c r="A432" s="1">
        <v>30436</v>
      </c>
      <c r="B432">
        <v>6.67</v>
      </c>
      <c r="C432">
        <v>0.49</v>
      </c>
      <c r="D432">
        <v>0.6</v>
      </c>
      <c r="E432">
        <v>-0.16</v>
      </c>
      <c r="F432">
        <v>1.6</v>
      </c>
      <c r="G432">
        <v>0.71</v>
      </c>
    </row>
    <row r="433" spans="1:7" x14ac:dyDescent="0.2">
      <c r="A433" s="1">
        <v>30406</v>
      </c>
      <c r="B433">
        <v>2.82</v>
      </c>
      <c r="C433">
        <v>1.42</v>
      </c>
      <c r="D433">
        <v>2.0699999999999998</v>
      </c>
      <c r="E433">
        <v>-7.0000000000000007E-2</v>
      </c>
      <c r="F433">
        <v>2.81</v>
      </c>
      <c r="G433">
        <v>0.63</v>
      </c>
    </row>
    <row r="434" spans="1:7" x14ac:dyDescent="0.2">
      <c r="A434" s="1">
        <v>30375</v>
      </c>
      <c r="B434">
        <v>2.59</v>
      </c>
      <c r="C434">
        <v>2.9</v>
      </c>
      <c r="D434">
        <v>0.67</v>
      </c>
      <c r="E434">
        <v>-0.56999999999999995</v>
      </c>
      <c r="F434">
        <v>1.02</v>
      </c>
      <c r="G434">
        <v>0.62</v>
      </c>
    </row>
    <row r="435" spans="1:7" x14ac:dyDescent="0.2">
      <c r="A435" s="1">
        <v>30347</v>
      </c>
      <c r="B435">
        <v>3.6</v>
      </c>
      <c r="C435">
        <v>3.28</v>
      </c>
      <c r="D435">
        <v>-0.86</v>
      </c>
      <c r="E435">
        <v>-1.5</v>
      </c>
      <c r="F435">
        <v>-0.46</v>
      </c>
      <c r="G435">
        <v>0.69</v>
      </c>
    </row>
    <row r="436" spans="1:7" x14ac:dyDescent="0.2">
      <c r="A436" s="1">
        <v>30316</v>
      </c>
      <c r="B436">
        <v>0.55000000000000004</v>
      </c>
      <c r="C436">
        <v>-0.01</v>
      </c>
      <c r="D436">
        <v>0.01</v>
      </c>
      <c r="E436">
        <v>-7.0000000000000007E-2</v>
      </c>
      <c r="F436">
        <v>1.03</v>
      </c>
      <c r="G436">
        <v>0.67</v>
      </c>
    </row>
    <row r="437" spans="1:7" x14ac:dyDescent="0.2">
      <c r="A437" s="1">
        <v>30285</v>
      </c>
      <c r="B437">
        <v>4.67</v>
      </c>
      <c r="C437">
        <v>4.53</v>
      </c>
      <c r="D437">
        <v>-1.96</v>
      </c>
      <c r="E437">
        <v>-1.05</v>
      </c>
      <c r="F437">
        <v>0.32</v>
      </c>
      <c r="G437">
        <v>0.63</v>
      </c>
    </row>
    <row r="438" spans="1:7" x14ac:dyDescent="0.2">
      <c r="A438" s="1">
        <v>30255</v>
      </c>
      <c r="B438">
        <v>11.3</v>
      </c>
      <c r="C438">
        <v>1.92</v>
      </c>
      <c r="D438">
        <v>-3.68</v>
      </c>
      <c r="E438">
        <v>0.3</v>
      </c>
      <c r="F438">
        <v>-0.37</v>
      </c>
      <c r="G438">
        <v>0.59</v>
      </c>
    </row>
    <row r="439" spans="1:7" x14ac:dyDescent="0.2">
      <c r="A439" s="1">
        <v>30224</v>
      </c>
      <c r="B439">
        <v>1.29</v>
      </c>
      <c r="C439">
        <v>2.57</v>
      </c>
      <c r="D439">
        <v>0.34</v>
      </c>
      <c r="E439">
        <v>2.12</v>
      </c>
      <c r="F439">
        <v>-0.04</v>
      </c>
      <c r="G439">
        <v>0.51</v>
      </c>
    </row>
    <row r="440" spans="1:7" x14ac:dyDescent="0.2">
      <c r="A440" s="1">
        <v>30194</v>
      </c>
      <c r="B440">
        <v>11.14</v>
      </c>
      <c r="C440">
        <v>-4.29</v>
      </c>
      <c r="D440">
        <v>1.1599999999999999</v>
      </c>
      <c r="E440">
        <v>-1.96</v>
      </c>
      <c r="F440">
        <v>0.18</v>
      </c>
      <c r="G440">
        <v>0.76</v>
      </c>
    </row>
    <row r="441" spans="1:7" x14ac:dyDescent="0.2">
      <c r="A441" s="1">
        <v>30163</v>
      </c>
      <c r="B441">
        <v>-3.19</v>
      </c>
      <c r="C441">
        <v>0.95</v>
      </c>
      <c r="D441">
        <v>0.15</v>
      </c>
      <c r="E441">
        <v>1.03</v>
      </c>
      <c r="F441">
        <v>1.54</v>
      </c>
      <c r="G441">
        <v>1.05</v>
      </c>
    </row>
    <row r="442" spans="1:7" x14ac:dyDescent="0.2">
      <c r="A442" s="1">
        <v>30132</v>
      </c>
      <c r="B442">
        <v>-3.09</v>
      </c>
      <c r="C442">
        <v>-0.51</v>
      </c>
      <c r="D442">
        <v>1.54</v>
      </c>
      <c r="E442">
        <v>0.03</v>
      </c>
      <c r="F442">
        <v>2.72</v>
      </c>
      <c r="G442">
        <v>0.96</v>
      </c>
    </row>
    <row r="443" spans="1:7" x14ac:dyDescent="0.2">
      <c r="A443" s="1">
        <v>30102</v>
      </c>
      <c r="B443">
        <v>-3.99</v>
      </c>
      <c r="C443">
        <v>0.56000000000000005</v>
      </c>
      <c r="D443">
        <v>1.81</v>
      </c>
      <c r="E443">
        <v>0.91</v>
      </c>
      <c r="F443">
        <v>-0.09</v>
      </c>
      <c r="G443">
        <v>1.06</v>
      </c>
    </row>
    <row r="444" spans="1:7" x14ac:dyDescent="0.2">
      <c r="A444" s="1">
        <v>30071</v>
      </c>
      <c r="B444">
        <v>3.27</v>
      </c>
      <c r="C444">
        <v>1.1499999999999999</v>
      </c>
      <c r="D444">
        <v>-2.78</v>
      </c>
      <c r="E444">
        <v>1.51</v>
      </c>
      <c r="F444">
        <v>-0.15</v>
      </c>
      <c r="G444">
        <v>1.1299999999999999</v>
      </c>
    </row>
    <row r="445" spans="1:7" x14ac:dyDescent="0.2">
      <c r="A445" s="1">
        <v>30041</v>
      </c>
      <c r="B445">
        <v>-1.87</v>
      </c>
      <c r="C445">
        <v>0</v>
      </c>
      <c r="D445">
        <v>3.78</v>
      </c>
      <c r="E445">
        <v>-1.44</v>
      </c>
      <c r="F445">
        <v>2.37</v>
      </c>
      <c r="G445">
        <v>0.98</v>
      </c>
    </row>
    <row r="446" spans="1:7" x14ac:dyDescent="0.2">
      <c r="A446" s="1">
        <v>30010</v>
      </c>
      <c r="B446">
        <v>-5.86</v>
      </c>
      <c r="C446">
        <v>0.37</v>
      </c>
      <c r="D446">
        <v>6.1</v>
      </c>
      <c r="E446">
        <v>-3.38</v>
      </c>
      <c r="F446">
        <v>4.57</v>
      </c>
      <c r="G446">
        <v>0.92</v>
      </c>
    </row>
    <row r="447" spans="1:7" x14ac:dyDescent="0.2">
      <c r="A447" s="1">
        <v>29982</v>
      </c>
      <c r="B447">
        <v>-3.24</v>
      </c>
      <c r="C447">
        <v>-1.18</v>
      </c>
      <c r="D447">
        <v>3.17</v>
      </c>
      <c r="E447">
        <v>-1.52</v>
      </c>
      <c r="F447">
        <v>2.08</v>
      </c>
      <c r="G447">
        <v>0.8</v>
      </c>
    </row>
    <row r="448" spans="1:7" x14ac:dyDescent="0.2">
      <c r="A448" s="1">
        <v>29951</v>
      </c>
      <c r="B448">
        <v>-3.65</v>
      </c>
      <c r="C448">
        <v>1.19</v>
      </c>
      <c r="D448">
        <v>0.74</v>
      </c>
      <c r="E448">
        <v>0.19</v>
      </c>
      <c r="F448">
        <v>2.41</v>
      </c>
      <c r="G448">
        <v>0.87</v>
      </c>
    </row>
    <row r="449" spans="1:7" x14ac:dyDescent="0.2">
      <c r="A449" s="1">
        <v>29920</v>
      </c>
      <c r="B449">
        <v>3.36</v>
      </c>
      <c r="C449">
        <v>-1.38</v>
      </c>
      <c r="D449">
        <v>1.9</v>
      </c>
      <c r="E449">
        <v>0.1</v>
      </c>
      <c r="F449">
        <v>0.63</v>
      </c>
      <c r="G449">
        <v>1.07</v>
      </c>
    </row>
    <row r="450" spans="1:7" x14ac:dyDescent="0.2">
      <c r="A450" s="1">
        <v>29890</v>
      </c>
      <c r="B450">
        <v>4.92</v>
      </c>
      <c r="C450">
        <v>2.2400000000000002</v>
      </c>
      <c r="D450">
        <v>-4.21</v>
      </c>
      <c r="E450">
        <v>3.29</v>
      </c>
      <c r="F450">
        <v>-2.76</v>
      </c>
      <c r="G450">
        <v>1.21</v>
      </c>
    </row>
    <row r="451" spans="1:7" x14ac:dyDescent="0.2">
      <c r="A451" s="1">
        <v>29859</v>
      </c>
      <c r="B451">
        <v>-7.17</v>
      </c>
      <c r="C451">
        <v>-2.4900000000000002</v>
      </c>
      <c r="D451">
        <v>5.2</v>
      </c>
      <c r="E451">
        <v>-0.02</v>
      </c>
      <c r="F451">
        <v>2.79</v>
      </c>
      <c r="G451">
        <v>1.24</v>
      </c>
    </row>
    <row r="452" spans="1:7" x14ac:dyDescent="0.2">
      <c r="A452" s="1">
        <v>29829</v>
      </c>
      <c r="B452">
        <v>-7.04</v>
      </c>
      <c r="C452">
        <v>-1.81</v>
      </c>
      <c r="D452">
        <v>4.84</v>
      </c>
      <c r="E452">
        <v>-0.25</v>
      </c>
      <c r="F452">
        <v>1.46</v>
      </c>
      <c r="G452">
        <v>1.28</v>
      </c>
    </row>
    <row r="453" spans="1:7" x14ac:dyDescent="0.2">
      <c r="A453" s="1">
        <v>29798</v>
      </c>
      <c r="B453">
        <v>-1.54</v>
      </c>
      <c r="C453">
        <v>-1.97</v>
      </c>
      <c r="D453">
        <v>-0.66</v>
      </c>
      <c r="E453">
        <v>1.08</v>
      </c>
      <c r="F453">
        <v>-3.04</v>
      </c>
      <c r="G453">
        <v>1.24</v>
      </c>
    </row>
    <row r="454" spans="1:7" x14ac:dyDescent="0.2">
      <c r="A454" s="1">
        <v>29767</v>
      </c>
      <c r="B454">
        <v>-2.36</v>
      </c>
      <c r="C454">
        <v>-0.97</v>
      </c>
      <c r="D454">
        <v>5.13</v>
      </c>
      <c r="E454">
        <v>-1.35</v>
      </c>
      <c r="F454">
        <v>2.68</v>
      </c>
      <c r="G454">
        <v>1.35</v>
      </c>
    </row>
    <row r="455" spans="1:7" x14ac:dyDescent="0.2">
      <c r="A455" s="1">
        <v>29737</v>
      </c>
      <c r="B455">
        <v>0.11</v>
      </c>
      <c r="C455">
        <v>2.4500000000000002</v>
      </c>
      <c r="D455">
        <v>-0.43</v>
      </c>
      <c r="E455">
        <v>0.33</v>
      </c>
      <c r="F455">
        <v>-1.6</v>
      </c>
      <c r="G455">
        <v>1.1499999999999999</v>
      </c>
    </row>
    <row r="456" spans="1:7" x14ac:dyDescent="0.2">
      <c r="A456" s="1">
        <v>29706</v>
      </c>
      <c r="B456">
        <v>-2.11</v>
      </c>
      <c r="C456">
        <v>4.5999999999999996</v>
      </c>
      <c r="D456">
        <v>2.2599999999999998</v>
      </c>
      <c r="E456">
        <v>0.82</v>
      </c>
      <c r="F456">
        <v>1.2</v>
      </c>
      <c r="G456">
        <v>1.08</v>
      </c>
    </row>
    <row r="457" spans="1:7" x14ac:dyDescent="0.2">
      <c r="A457" s="1">
        <v>29676</v>
      </c>
      <c r="B457">
        <v>3.56</v>
      </c>
      <c r="C457">
        <v>3.08</v>
      </c>
      <c r="D457">
        <v>0.67</v>
      </c>
      <c r="E457">
        <v>-2.34</v>
      </c>
      <c r="F457">
        <v>-0.53</v>
      </c>
      <c r="G457">
        <v>1.21</v>
      </c>
    </row>
    <row r="458" spans="1:7" x14ac:dyDescent="0.2">
      <c r="A458" s="1">
        <v>29645</v>
      </c>
      <c r="B458">
        <v>0.56999999999999995</v>
      </c>
      <c r="C458">
        <v>-0.49</v>
      </c>
      <c r="D458">
        <v>0.97</v>
      </c>
      <c r="E458">
        <v>0.19</v>
      </c>
      <c r="F458">
        <v>2.25</v>
      </c>
      <c r="G458">
        <v>1.07</v>
      </c>
    </row>
    <row r="459" spans="1:7" x14ac:dyDescent="0.2">
      <c r="A459" s="1">
        <v>29617</v>
      </c>
      <c r="B459">
        <v>-5.04</v>
      </c>
      <c r="C459">
        <v>3.37</v>
      </c>
      <c r="D459">
        <v>6.84</v>
      </c>
      <c r="E459">
        <v>-3.54</v>
      </c>
      <c r="F459">
        <v>4.3499999999999996</v>
      </c>
      <c r="G459">
        <v>1.04</v>
      </c>
    </row>
    <row r="460" spans="1:7" x14ac:dyDescent="0.2">
      <c r="A460" s="1">
        <v>29586</v>
      </c>
      <c r="B460">
        <v>-4.5199999999999996</v>
      </c>
      <c r="C460">
        <v>-0.31</v>
      </c>
      <c r="D460">
        <v>2.68</v>
      </c>
      <c r="E460">
        <v>-1.25</v>
      </c>
      <c r="F460">
        <v>1.18</v>
      </c>
      <c r="G460">
        <v>1.31</v>
      </c>
    </row>
    <row r="461" spans="1:7" x14ac:dyDescent="0.2">
      <c r="A461" s="1">
        <v>29555</v>
      </c>
      <c r="B461">
        <v>9.59</v>
      </c>
      <c r="C461">
        <v>-3.4</v>
      </c>
      <c r="D461">
        <v>-8.35</v>
      </c>
      <c r="E461">
        <v>4.53</v>
      </c>
      <c r="F461">
        <v>-5.74</v>
      </c>
      <c r="G461">
        <v>0.96</v>
      </c>
    </row>
    <row r="462" spans="1:7" x14ac:dyDescent="0.2">
      <c r="A462" s="1">
        <v>29525</v>
      </c>
      <c r="B462">
        <v>1.06</v>
      </c>
      <c r="C462">
        <v>2.33</v>
      </c>
      <c r="D462">
        <v>-2.74</v>
      </c>
      <c r="E462">
        <v>1.67</v>
      </c>
      <c r="F462">
        <v>-1.22</v>
      </c>
      <c r="G462">
        <v>0.95</v>
      </c>
    </row>
    <row r="463" spans="1:7" x14ac:dyDescent="0.2">
      <c r="A463" s="1">
        <v>29494</v>
      </c>
      <c r="B463">
        <v>2.19</v>
      </c>
      <c r="C463">
        <v>0.57999999999999996</v>
      </c>
      <c r="D463">
        <v>-4.79</v>
      </c>
      <c r="E463">
        <v>2.0299999999999998</v>
      </c>
      <c r="F463">
        <v>-2.81</v>
      </c>
      <c r="G463">
        <v>0.75</v>
      </c>
    </row>
    <row r="464" spans="1:7" x14ac:dyDescent="0.2">
      <c r="A464" s="1">
        <v>29464</v>
      </c>
      <c r="B464">
        <v>1.8</v>
      </c>
      <c r="C464">
        <v>4.26</v>
      </c>
      <c r="D464">
        <v>-2.64</v>
      </c>
      <c r="E464">
        <v>2.1</v>
      </c>
      <c r="F464">
        <v>-0.8</v>
      </c>
      <c r="G464">
        <v>0.64</v>
      </c>
    </row>
    <row r="465" spans="1:7" x14ac:dyDescent="0.2">
      <c r="A465" s="1">
        <v>29433</v>
      </c>
      <c r="B465">
        <v>6.49</v>
      </c>
      <c r="C465">
        <v>3.93</v>
      </c>
      <c r="D465">
        <v>-6.3</v>
      </c>
      <c r="E465">
        <v>3.94</v>
      </c>
      <c r="F465">
        <v>-2.46</v>
      </c>
      <c r="G465">
        <v>0.53</v>
      </c>
    </row>
    <row r="466" spans="1:7" x14ac:dyDescent="0.2">
      <c r="A466" s="1">
        <v>29402</v>
      </c>
      <c r="B466">
        <v>3.06</v>
      </c>
      <c r="C466">
        <v>1.47</v>
      </c>
      <c r="D466">
        <v>-0.89</v>
      </c>
      <c r="E466">
        <v>-0.09</v>
      </c>
      <c r="F466">
        <v>-0.95</v>
      </c>
      <c r="G466">
        <v>0.61</v>
      </c>
    </row>
    <row r="467" spans="1:7" x14ac:dyDescent="0.2">
      <c r="A467" s="1">
        <v>29372</v>
      </c>
      <c r="B467">
        <v>5.26</v>
      </c>
      <c r="C467">
        <v>2.1</v>
      </c>
      <c r="D467">
        <v>0.39</v>
      </c>
      <c r="E467">
        <v>0.31</v>
      </c>
      <c r="F467">
        <v>-0.47</v>
      </c>
      <c r="G467">
        <v>0.81</v>
      </c>
    </row>
    <row r="468" spans="1:7" x14ac:dyDescent="0.2">
      <c r="A468" s="1">
        <v>29341</v>
      </c>
      <c r="B468">
        <v>3.97</v>
      </c>
      <c r="C468">
        <v>1</v>
      </c>
      <c r="D468">
        <v>1.06</v>
      </c>
      <c r="E468">
        <v>-2.09</v>
      </c>
      <c r="F468">
        <v>0.54</v>
      </c>
      <c r="G468">
        <v>1.26</v>
      </c>
    </row>
    <row r="469" spans="1:7" x14ac:dyDescent="0.2">
      <c r="A469" s="1">
        <v>29311</v>
      </c>
      <c r="B469">
        <v>-12.9</v>
      </c>
      <c r="C469">
        <v>-6.97</v>
      </c>
      <c r="D469">
        <v>-1.06</v>
      </c>
      <c r="E469">
        <v>1.38</v>
      </c>
      <c r="F469">
        <v>-1.34</v>
      </c>
      <c r="G469">
        <v>1.21</v>
      </c>
    </row>
    <row r="470" spans="1:7" x14ac:dyDescent="0.2">
      <c r="A470" s="1">
        <v>29280</v>
      </c>
      <c r="B470">
        <v>-1.22</v>
      </c>
      <c r="C470">
        <v>-1.49</v>
      </c>
      <c r="D470">
        <v>0.62</v>
      </c>
      <c r="E470">
        <v>0.11</v>
      </c>
      <c r="F470">
        <v>3.04</v>
      </c>
      <c r="G470">
        <v>0.89</v>
      </c>
    </row>
    <row r="471" spans="1:7" x14ac:dyDescent="0.2">
      <c r="A471" s="1">
        <v>29251</v>
      </c>
      <c r="B471">
        <v>5.51</v>
      </c>
      <c r="C471">
        <v>1.9</v>
      </c>
      <c r="D471">
        <v>1.8</v>
      </c>
      <c r="E471">
        <v>-1.67</v>
      </c>
      <c r="F471">
        <v>2.0099999999999998</v>
      </c>
      <c r="G471">
        <v>0.8</v>
      </c>
    </row>
    <row r="472" spans="1:7" x14ac:dyDescent="0.2">
      <c r="A472" s="1">
        <v>29220</v>
      </c>
      <c r="B472">
        <v>1.79</v>
      </c>
      <c r="C472">
        <v>4.34</v>
      </c>
      <c r="D472">
        <v>-1.98</v>
      </c>
      <c r="E472">
        <v>-0.67</v>
      </c>
      <c r="F472">
        <v>-1.01</v>
      </c>
      <c r="G472">
        <v>0.95</v>
      </c>
    </row>
    <row r="473" spans="1:7" x14ac:dyDescent="0.2">
      <c r="A473" s="1">
        <v>29189</v>
      </c>
      <c r="B473">
        <v>5.21</v>
      </c>
      <c r="C473">
        <v>2.44</v>
      </c>
      <c r="D473">
        <v>-3.25</v>
      </c>
      <c r="E473">
        <v>0.11</v>
      </c>
      <c r="F473">
        <v>-2</v>
      </c>
      <c r="G473">
        <v>0.99</v>
      </c>
    </row>
    <row r="474" spans="1:7" x14ac:dyDescent="0.2">
      <c r="A474" s="1">
        <v>29159</v>
      </c>
      <c r="B474">
        <v>-8.1</v>
      </c>
      <c r="C474">
        <v>-3.46</v>
      </c>
      <c r="D474">
        <v>-1.86</v>
      </c>
      <c r="E474">
        <v>1.04</v>
      </c>
      <c r="F474">
        <v>0.24</v>
      </c>
      <c r="G474">
        <v>0.87</v>
      </c>
    </row>
    <row r="475" spans="1:7" x14ac:dyDescent="0.2">
      <c r="A475" s="1">
        <v>29128</v>
      </c>
      <c r="B475">
        <v>-0.82</v>
      </c>
      <c r="C475">
        <v>-0.27</v>
      </c>
      <c r="D475">
        <v>-0.87</v>
      </c>
      <c r="E475">
        <v>1.02</v>
      </c>
      <c r="F475">
        <v>0.54</v>
      </c>
      <c r="G475">
        <v>0.83</v>
      </c>
    </row>
    <row r="476" spans="1:7" x14ac:dyDescent="0.2">
      <c r="A476" s="1">
        <v>29098</v>
      </c>
      <c r="B476">
        <v>5.53</v>
      </c>
      <c r="C476">
        <v>1.97</v>
      </c>
      <c r="D476">
        <v>-1.55</v>
      </c>
      <c r="E476">
        <v>1.58</v>
      </c>
      <c r="F476">
        <v>-1.45</v>
      </c>
      <c r="G476">
        <v>0.77</v>
      </c>
    </row>
    <row r="477" spans="1:7" x14ac:dyDescent="0.2">
      <c r="A477" s="1">
        <v>29067</v>
      </c>
      <c r="B477">
        <v>0.82</v>
      </c>
      <c r="C477">
        <v>1.24</v>
      </c>
      <c r="D477">
        <v>1.7</v>
      </c>
      <c r="E477">
        <v>-0.2</v>
      </c>
      <c r="F477">
        <v>0.59</v>
      </c>
      <c r="G477">
        <v>0.77</v>
      </c>
    </row>
    <row r="478" spans="1:7" x14ac:dyDescent="0.2">
      <c r="A478" s="1">
        <v>29036</v>
      </c>
      <c r="B478">
        <v>3.85</v>
      </c>
      <c r="C478">
        <v>0.99</v>
      </c>
      <c r="D478">
        <v>1.48</v>
      </c>
      <c r="E478">
        <v>-1.61</v>
      </c>
      <c r="F478">
        <v>-0.45</v>
      </c>
      <c r="G478">
        <v>0.81</v>
      </c>
    </row>
    <row r="479" spans="1:7" x14ac:dyDescent="0.2">
      <c r="A479" s="1">
        <v>29006</v>
      </c>
      <c r="B479">
        <v>-2.21</v>
      </c>
      <c r="C479">
        <v>0.5</v>
      </c>
      <c r="D479">
        <v>1.92</v>
      </c>
      <c r="E479">
        <v>-0.88</v>
      </c>
      <c r="F479">
        <v>-0.84</v>
      </c>
      <c r="G479">
        <v>0.82</v>
      </c>
    </row>
    <row r="480" spans="1:7" x14ac:dyDescent="0.2">
      <c r="A480" s="1">
        <v>28975</v>
      </c>
      <c r="B480">
        <v>-0.06</v>
      </c>
      <c r="C480">
        <v>2.4</v>
      </c>
      <c r="D480">
        <v>1.05</v>
      </c>
      <c r="E480">
        <v>1.05</v>
      </c>
      <c r="F480">
        <v>0.21</v>
      </c>
      <c r="G480">
        <v>0.8</v>
      </c>
    </row>
    <row r="481" spans="1:7" x14ac:dyDescent="0.2">
      <c r="A481" s="1">
        <v>28945</v>
      </c>
      <c r="B481">
        <v>5.68</v>
      </c>
      <c r="C481">
        <v>3.16</v>
      </c>
      <c r="D481">
        <v>-0.67</v>
      </c>
      <c r="E481">
        <v>0.62</v>
      </c>
      <c r="F481">
        <v>0.28000000000000003</v>
      </c>
      <c r="G481">
        <v>0.81</v>
      </c>
    </row>
    <row r="482" spans="1:7" x14ac:dyDescent="0.2">
      <c r="A482" s="1">
        <v>28914</v>
      </c>
      <c r="B482">
        <v>-3.56</v>
      </c>
      <c r="C482">
        <v>0.55000000000000004</v>
      </c>
      <c r="D482">
        <v>1.2</v>
      </c>
      <c r="E482">
        <v>-1.1399999999999999</v>
      </c>
      <c r="F482">
        <v>1.04</v>
      </c>
      <c r="G482">
        <v>0.73</v>
      </c>
    </row>
    <row r="483" spans="1:7" x14ac:dyDescent="0.2">
      <c r="A483" s="1">
        <v>28886</v>
      </c>
      <c r="B483">
        <v>4.2300000000000004</v>
      </c>
      <c r="C483">
        <v>3.84</v>
      </c>
      <c r="D483">
        <v>2.27</v>
      </c>
      <c r="E483">
        <v>-2.5</v>
      </c>
      <c r="F483">
        <v>1.57</v>
      </c>
      <c r="G483">
        <v>0.77</v>
      </c>
    </row>
    <row r="484" spans="1:7" x14ac:dyDescent="0.2">
      <c r="A484" s="1">
        <v>28855</v>
      </c>
      <c r="B484">
        <v>0.88</v>
      </c>
      <c r="C484">
        <v>1.07</v>
      </c>
      <c r="D484">
        <v>-2.19</v>
      </c>
      <c r="E484">
        <v>1.96</v>
      </c>
      <c r="F484">
        <v>-1.38</v>
      </c>
      <c r="G484">
        <v>0.78</v>
      </c>
    </row>
    <row r="485" spans="1:7" x14ac:dyDescent="0.2">
      <c r="A485" s="1">
        <v>28824</v>
      </c>
      <c r="B485">
        <v>2.71</v>
      </c>
      <c r="C485">
        <v>2.85</v>
      </c>
      <c r="D485">
        <v>-2.2200000000000002</v>
      </c>
      <c r="E485">
        <v>1.0900000000000001</v>
      </c>
      <c r="F485">
        <v>-1.21</v>
      </c>
      <c r="G485">
        <v>0.7</v>
      </c>
    </row>
    <row r="486" spans="1:7" x14ac:dyDescent="0.2">
      <c r="A486" s="1">
        <v>28794</v>
      </c>
      <c r="B486">
        <v>-11.91</v>
      </c>
      <c r="C486">
        <v>-10.050000000000001</v>
      </c>
      <c r="D486">
        <v>1.36</v>
      </c>
      <c r="E486">
        <v>0.17</v>
      </c>
      <c r="F486">
        <v>1.03</v>
      </c>
      <c r="G486">
        <v>0.68</v>
      </c>
    </row>
    <row r="487" spans="1:7" x14ac:dyDescent="0.2">
      <c r="A487" s="1">
        <v>28763</v>
      </c>
      <c r="B487">
        <v>-1.43</v>
      </c>
      <c r="C487">
        <v>-0.28000000000000003</v>
      </c>
      <c r="D487">
        <v>1.87</v>
      </c>
      <c r="E487">
        <v>-0.68</v>
      </c>
      <c r="F487">
        <v>1.8</v>
      </c>
      <c r="G487">
        <v>0.62</v>
      </c>
    </row>
    <row r="488" spans="1:7" x14ac:dyDescent="0.2">
      <c r="A488" s="1">
        <v>28733</v>
      </c>
      <c r="B488">
        <v>3.75</v>
      </c>
      <c r="C488">
        <v>4.93</v>
      </c>
      <c r="D488">
        <v>-0.46</v>
      </c>
      <c r="E488">
        <v>1.39</v>
      </c>
      <c r="F488">
        <v>0.42</v>
      </c>
      <c r="G488">
        <v>0.56000000000000005</v>
      </c>
    </row>
    <row r="489" spans="1:7" x14ac:dyDescent="0.2">
      <c r="A489" s="1">
        <v>28702</v>
      </c>
      <c r="B489">
        <v>5.1100000000000003</v>
      </c>
      <c r="C489">
        <v>0.15</v>
      </c>
      <c r="D489">
        <v>-1.1100000000000001</v>
      </c>
      <c r="E489">
        <v>1.58</v>
      </c>
      <c r="F489">
        <v>-0.78</v>
      </c>
      <c r="G489">
        <v>0.56000000000000005</v>
      </c>
    </row>
    <row r="490" spans="1:7" x14ac:dyDescent="0.2">
      <c r="A490" s="1">
        <v>28671</v>
      </c>
      <c r="B490">
        <v>-1.69</v>
      </c>
      <c r="C490">
        <v>1.59</v>
      </c>
      <c r="D490">
        <v>0.59</v>
      </c>
      <c r="E490">
        <v>-1.44</v>
      </c>
      <c r="F490">
        <v>-0.02</v>
      </c>
      <c r="G490">
        <v>0.54</v>
      </c>
    </row>
    <row r="491" spans="1:7" x14ac:dyDescent="0.2">
      <c r="A491" s="1">
        <v>28641</v>
      </c>
      <c r="B491">
        <v>1.76</v>
      </c>
      <c r="C491">
        <v>4.5599999999999996</v>
      </c>
      <c r="D491">
        <v>-0.62</v>
      </c>
      <c r="E491">
        <v>0.27</v>
      </c>
      <c r="F491">
        <v>0.36</v>
      </c>
      <c r="G491">
        <v>0.51</v>
      </c>
    </row>
    <row r="492" spans="1:7" x14ac:dyDescent="0.2">
      <c r="A492" s="1">
        <v>28610</v>
      </c>
      <c r="B492">
        <v>7.88</v>
      </c>
      <c r="C492">
        <v>-0.31</v>
      </c>
      <c r="D492">
        <v>-3.54</v>
      </c>
      <c r="E492">
        <v>2.82</v>
      </c>
      <c r="F492">
        <v>-1.35</v>
      </c>
      <c r="G492">
        <v>0.54</v>
      </c>
    </row>
    <row r="493" spans="1:7" x14ac:dyDescent="0.2">
      <c r="A493" s="1">
        <v>28580</v>
      </c>
      <c r="B493">
        <v>2.85</v>
      </c>
      <c r="C493">
        <v>3.72</v>
      </c>
      <c r="D493">
        <v>1.2</v>
      </c>
      <c r="E493">
        <v>-0.6</v>
      </c>
      <c r="F493">
        <v>1.88</v>
      </c>
      <c r="G493">
        <v>0.53</v>
      </c>
    </row>
    <row r="494" spans="1:7" x14ac:dyDescent="0.2">
      <c r="A494" s="1">
        <v>28549</v>
      </c>
      <c r="B494">
        <v>-1.38</v>
      </c>
      <c r="C494">
        <v>3.67</v>
      </c>
      <c r="D494">
        <v>0.76</v>
      </c>
      <c r="E494">
        <v>0.36</v>
      </c>
      <c r="F494">
        <v>1.04</v>
      </c>
      <c r="G494">
        <v>0.46</v>
      </c>
    </row>
    <row r="495" spans="1:7" x14ac:dyDescent="0.2">
      <c r="A495" s="1">
        <v>28521</v>
      </c>
      <c r="B495">
        <v>-6.01</v>
      </c>
      <c r="C495">
        <v>2.69</v>
      </c>
      <c r="D495">
        <v>3.31</v>
      </c>
      <c r="E495">
        <v>-1.67</v>
      </c>
      <c r="F495">
        <v>1.53</v>
      </c>
      <c r="G495">
        <v>0.49</v>
      </c>
    </row>
    <row r="496" spans="1:7" x14ac:dyDescent="0.2">
      <c r="A496" s="1">
        <v>28490</v>
      </c>
      <c r="B496">
        <v>0.27</v>
      </c>
      <c r="C496">
        <v>1.6</v>
      </c>
      <c r="D496">
        <v>-0.37</v>
      </c>
      <c r="E496">
        <v>0.94</v>
      </c>
      <c r="F496">
        <v>-0.65</v>
      </c>
      <c r="G496">
        <v>0.49</v>
      </c>
    </row>
    <row r="497" spans="1:7" x14ac:dyDescent="0.2">
      <c r="A497" s="1">
        <v>28459</v>
      </c>
      <c r="B497">
        <v>4</v>
      </c>
      <c r="C497">
        <v>3.62</v>
      </c>
      <c r="D497">
        <v>0.31</v>
      </c>
      <c r="E497">
        <v>-0.05</v>
      </c>
      <c r="F497">
        <v>0.65</v>
      </c>
      <c r="G497">
        <v>0.5</v>
      </c>
    </row>
    <row r="498" spans="1:7" x14ac:dyDescent="0.2">
      <c r="A498" s="1">
        <v>28429</v>
      </c>
      <c r="B498">
        <v>-4.38</v>
      </c>
      <c r="C498">
        <v>1.5</v>
      </c>
      <c r="D498">
        <v>1.72</v>
      </c>
      <c r="E498">
        <v>-0.3</v>
      </c>
      <c r="F498">
        <v>-0.46</v>
      </c>
      <c r="G498">
        <v>0.49</v>
      </c>
    </row>
    <row r="499" spans="1:7" x14ac:dyDescent="0.2">
      <c r="A499" s="1">
        <v>28398</v>
      </c>
      <c r="B499">
        <v>-0.27</v>
      </c>
      <c r="C499">
        <v>1.56</v>
      </c>
      <c r="D499">
        <v>-0.49</v>
      </c>
      <c r="E499">
        <v>1.23</v>
      </c>
      <c r="F499">
        <v>-0.84</v>
      </c>
      <c r="G499">
        <v>0.43</v>
      </c>
    </row>
    <row r="500" spans="1:7" x14ac:dyDescent="0.2">
      <c r="A500" s="1">
        <v>28368</v>
      </c>
      <c r="B500">
        <v>-1.75</v>
      </c>
      <c r="C500">
        <v>0.89</v>
      </c>
      <c r="D500">
        <v>-2.79</v>
      </c>
      <c r="E500">
        <v>0.96</v>
      </c>
      <c r="F500">
        <v>-0.62</v>
      </c>
      <c r="G500">
        <v>0.44</v>
      </c>
    </row>
    <row r="501" spans="1:7" x14ac:dyDescent="0.2">
      <c r="A501" s="1">
        <v>28337</v>
      </c>
      <c r="B501">
        <v>-1.69</v>
      </c>
      <c r="C501">
        <v>1.82</v>
      </c>
      <c r="D501">
        <v>-0.59</v>
      </c>
      <c r="E501">
        <v>0.83</v>
      </c>
      <c r="F501">
        <v>0.01</v>
      </c>
      <c r="G501">
        <v>0.42</v>
      </c>
    </row>
    <row r="502" spans="1:7" x14ac:dyDescent="0.2">
      <c r="A502" s="1">
        <v>28306</v>
      </c>
      <c r="B502">
        <v>4.71</v>
      </c>
      <c r="C502">
        <v>2.0699999999999998</v>
      </c>
      <c r="D502">
        <v>-0.64</v>
      </c>
      <c r="E502">
        <v>0.88</v>
      </c>
      <c r="F502">
        <v>-1.22</v>
      </c>
      <c r="G502">
        <v>0.4</v>
      </c>
    </row>
    <row r="503" spans="1:7" x14ac:dyDescent="0.2">
      <c r="A503" s="1">
        <v>28276</v>
      </c>
      <c r="B503">
        <v>-1.45</v>
      </c>
      <c r="C503">
        <v>1.28</v>
      </c>
      <c r="D503">
        <v>0.84</v>
      </c>
      <c r="E503">
        <v>0.33</v>
      </c>
      <c r="F503">
        <v>0.11</v>
      </c>
      <c r="G503">
        <v>0.37</v>
      </c>
    </row>
    <row r="504" spans="1:7" x14ac:dyDescent="0.2">
      <c r="A504" s="1">
        <v>28245</v>
      </c>
      <c r="B504">
        <v>0.15</v>
      </c>
      <c r="C504">
        <v>0.59</v>
      </c>
      <c r="D504">
        <v>3.45</v>
      </c>
      <c r="E504">
        <v>-2.0299999999999998</v>
      </c>
      <c r="F504">
        <v>1.1599999999999999</v>
      </c>
      <c r="G504">
        <v>0.38</v>
      </c>
    </row>
    <row r="505" spans="1:7" x14ac:dyDescent="0.2">
      <c r="A505" s="1">
        <v>28215</v>
      </c>
      <c r="B505">
        <v>-1.37</v>
      </c>
      <c r="C505">
        <v>1.29</v>
      </c>
      <c r="D505">
        <v>1.02</v>
      </c>
      <c r="E505">
        <v>-0.32</v>
      </c>
      <c r="F505">
        <v>-0.09</v>
      </c>
      <c r="G505">
        <v>0.38</v>
      </c>
    </row>
    <row r="506" spans="1:7" x14ac:dyDescent="0.2">
      <c r="A506" s="1">
        <v>28184</v>
      </c>
      <c r="B506">
        <v>-1.94</v>
      </c>
      <c r="C506">
        <v>1.1100000000000001</v>
      </c>
      <c r="D506">
        <v>0.5</v>
      </c>
      <c r="E506">
        <v>-0.13</v>
      </c>
      <c r="F506">
        <v>-0.19</v>
      </c>
      <c r="G506">
        <v>0.35</v>
      </c>
    </row>
    <row r="507" spans="1:7" x14ac:dyDescent="0.2">
      <c r="A507" s="1">
        <v>28156</v>
      </c>
      <c r="B507">
        <v>-4.05</v>
      </c>
      <c r="C507">
        <v>5.9</v>
      </c>
      <c r="D507">
        <v>4.26</v>
      </c>
      <c r="E507">
        <v>-0.53</v>
      </c>
      <c r="F507">
        <v>1.93</v>
      </c>
      <c r="G507">
        <v>0.36</v>
      </c>
    </row>
    <row r="508" spans="1:7" x14ac:dyDescent="0.2">
      <c r="A508" s="1">
        <v>28125</v>
      </c>
      <c r="B508">
        <v>5.65</v>
      </c>
      <c r="C508">
        <v>3.61</v>
      </c>
      <c r="D508">
        <v>2.2200000000000002</v>
      </c>
      <c r="E508">
        <v>-0.62</v>
      </c>
      <c r="F508">
        <v>2.23</v>
      </c>
      <c r="G508">
        <v>0.4</v>
      </c>
    </row>
    <row r="509" spans="1:7" x14ac:dyDescent="0.2">
      <c r="A509" s="1">
        <v>28094</v>
      </c>
      <c r="B509">
        <v>0.36</v>
      </c>
      <c r="C509">
        <v>2.65</v>
      </c>
      <c r="D509">
        <v>1.51</v>
      </c>
      <c r="E509">
        <v>-1.39</v>
      </c>
      <c r="F509">
        <v>0.08</v>
      </c>
      <c r="G509">
        <v>0.4</v>
      </c>
    </row>
    <row r="510" spans="1:7" x14ac:dyDescent="0.2">
      <c r="A510" s="1">
        <v>28064</v>
      </c>
      <c r="B510">
        <v>-2.42</v>
      </c>
      <c r="C510">
        <v>0.16</v>
      </c>
      <c r="D510">
        <v>-0.13</v>
      </c>
      <c r="E510">
        <v>-0.22</v>
      </c>
      <c r="F510">
        <v>-0.31</v>
      </c>
      <c r="G510">
        <v>0.41</v>
      </c>
    </row>
    <row r="511" spans="1:7" x14ac:dyDescent="0.2">
      <c r="A511" s="1">
        <v>28033</v>
      </c>
      <c r="B511">
        <v>2.0699999999999998</v>
      </c>
      <c r="C511">
        <v>0.12</v>
      </c>
      <c r="D511">
        <v>-0.28999999999999998</v>
      </c>
      <c r="E511">
        <v>0.99</v>
      </c>
      <c r="F511">
        <v>-1.1399999999999999</v>
      </c>
      <c r="G511">
        <v>0.44</v>
      </c>
    </row>
    <row r="512" spans="1:7" x14ac:dyDescent="0.2">
      <c r="A512" s="1">
        <v>28003</v>
      </c>
      <c r="B512">
        <v>-0.56000000000000005</v>
      </c>
      <c r="C512">
        <v>-2.0299999999999998</v>
      </c>
      <c r="D512">
        <v>0.79</v>
      </c>
      <c r="E512">
        <v>-0.46</v>
      </c>
      <c r="F512">
        <v>-0.59</v>
      </c>
      <c r="G512">
        <v>0.42</v>
      </c>
    </row>
    <row r="513" spans="1:7" x14ac:dyDescent="0.2">
      <c r="A513" s="1">
        <v>27972</v>
      </c>
      <c r="B513">
        <v>-1.07</v>
      </c>
      <c r="C513">
        <v>0.62</v>
      </c>
      <c r="D513">
        <v>1.74</v>
      </c>
      <c r="E513">
        <v>-1.0900000000000001</v>
      </c>
      <c r="F513">
        <v>0.28999999999999998</v>
      </c>
      <c r="G513">
        <v>0.47</v>
      </c>
    </row>
    <row r="514" spans="1:7" x14ac:dyDescent="0.2">
      <c r="A514" s="1">
        <v>27941</v>
      </c>
      <c r="B514">
        <v>4.05</v>
      </c>
      <c r="C514">
        <v>-1.1299999999999999</v>
      </c>
      <c r="D514">
        <v>0.68</v>
      </c>
      <c r="E514">
        <v>-0.59</v>
      </c>
      <c r="F514">
        <v>0.93</v>
      </c>
      <c r="G514">
        <v>0.43</v>
      </c>
    </row>
    <row r="515" spans="1:7" x14ac:dyDescent="0.2">
      <c r="A515" s="1">
        <v>27911</v>
      </c>
      <c r="B515">
        <v>-1.34</v>
      </c>
      <c r="C515">
        <v>-1.1200000000000001</v>
      </c>
      <c r="D515">
        <v>-1.32</v>
      </c>
      <c r="E515">
        <v>2.4700000000000002</v>
      </c>
      <c r="F515">
        <v>-1.42</v>
      </c>
      <c r="G515">
        <v>0.37</v>
      </c>
    </row>
    <row r="516" spans="1:7" x14ac:dyDescent="0.2">
      <c r="A516" s="1">
        <v>27880</v>
      </c>
      <c r="B516">
        <v>-1.49</v>
      </c>
      <c r="C516">
        <v>0.14000000000000001</v>
      </c>
      <c r="D516">
        <v>-0.06</v>
      </c>
      <c r="E516">
        <v>0.39</v>
      </c>
      <c r="F516">
        <v>-1.1000000000000001</v>
      </c>
      <c r="G516">
        <v>0.42</v>
      </c>
    </row>
    <row r="517" spans="1:7" x14ac:dyDescent="0.2">
      <c r="A517" s="1">
        <v>27850</v>
      </c>
      <c r="B517">
        <v>2.3199999999999998</v>
      </c>
      <c r="C517">
        <v>-1.34</v>
      </c>
      <c r="D517">
        <v>-0.04</v>
      </c>
      <c r="E517">
        <v>-0.38</v>
      </c>
      <c r="F517">
        <v>1.0900000000000001</v>
      </c>
      <c r="G517">
        <v>0.4</v>
      </c>
    </row>
    <row r="518" spans="1:7" x14ac:dyDescent="0.2">
      <c r="A518" s="1">
        <v>27819</v>
      </c>
      <c r="B518">
        <v>0.32</v>
      </c>
      <c r="C518">
        <v>7.97</v>
      </c>
      <c r="D518">
        <v>5.78</v>
      </c>
      <c r="E518">
        <v>-2.58</v>
      </c>
      <c r="F518">
        <v>3.84</v>
      </c>
      <c r="G518">
        <v>0.34</v>
      </c>
    </row>
    <row r="519" spans="1:7" x14ac:dyDescent="0.2">
      <c r="A519" s="1">
        <v>27790</v>
      </c>
      <c r="B519">
        <v>12.16</v>
      </c>
      <c r="C519">
        <v>6.35</v>
      </c>
      <c r="D519">
        <v>8.58</v>
      </c>
      <c r="E519">
        <v>-1.9</v>
      </c>
      <c r="F519">
        <v>2.36</v>
      </c>
      <c r="G519">
        <v>0.47</v>
      </c>
    </row>
    <row r="520" spans="1:7" x14ac:dyDescent="0.2">
      <c r="A520" s="1">
        <v>27759</v>
      </c>
      <c r="B520">
        <v>-1.6</v>
      </c>
      <c r="C520">
        <v>-0.03</v>
      </c>
      <c r="D520">
        <v>1.76</v>
      </c>
      <c r="E520">
        <v>-0.12</v>
      </c>
      <c r="F520">
        <v>0.6</v>
      </c>
      <c r="G520">
        <v>0.48</v>
      </c>
    </row>
    <row r="521" spans="1:7" x14ac:dyDescent="0.2">
      <c r="A521" s="1">
        <v>27728</v>
      </c>
      <c r="B521">
        <v>2.64</v>
      </c>
      <c r="C521">
        <v>-1.07</v>
      </c>
      <c r="D521">
        <v>1.99</v>
      </c>
      <c r="E521">
        <v>-0.62</v>
      </c>
      <c r="F521">
        <v>1.71</v>
      </c>
      <c r="G521">
        <v>0.41</v>
      </c>
    </row>
    <row r="522" spans="1:7" x14ac:dyDescent="0.2">
      <c r="A522" s="1">
        <v>27698</v>
      </c>
      <c r="B522">
        <v>5.31</v>
      </c>
      <c r="C522">
        <v>-4.2300000000000004</v>
      </c>
      <c r="D522">
        <v>0.3</v>
      </c>
      <c r="E522">
        <v>-0.46</v>
      </c>
      <c r="F522">
        <v>2.27</v>
      </c>
      <c r="G522">
        <v>0.56000000000000005</v>
      </c>
    </row>
    <row r="523" spans="1:7" x14ac:dyDescent="0.2">
      <c r="A523" s="1">
        <v>27667</v>
      </c>
      <c r="B523">
        <v>-4.26</v>
      </c>
      <c r="C523">
        <v>0.02</v>
      </c>
      <c r="D523">
        <v>0.34</v>
      </c>
      <c r="E523">
        <v>0.53</v>
      </c>
      <c r="F523">
        <v>0.5</v>
      </c>
      <c r="G523">
        <v>0.53</v>
      </c>
    </row>
    <row r="524" spans="1:7" x14ac:dyDescent="0.2">
      <c r="A524" s="1">
        <v>27637</v>
      </c>
      <c r="B524">
        <v>-2.85</v>
      </c>
      <c r="C524">
        <v>-2.79</v>
      </c>
      <c r="D524">
        <v>-0.9</v>
      </c>
      <c r="E524">
        <v>1.03</v>
      </c>
      <c r="F524">
        <v>-0.89</v>
      </c>
      <c r="G524">
        <v>0.48</v>
      </c>
    </row>
    <row r="525" spans="1:7" x14ac:dyDescent="0.2">
      <c r="A525" s="1">
        <v>27606</v>
      </c>
      <c r="B525">
        <v>-6.59</v>
      </c>
      <c r="C525">
        <v>3.42</v>
      </c>
      <c r="D525">
        <v>1.7</v>
      </c>
      <c r="E525">
        <v>0.43</v>
      </c>
      <c r="F525">
        <v>1.19</v>
      </c>
      <c r="G525">
        <v>0.48</v>
      </c>
    </row>
    <row r="526" spans="1:7" x14ac:dyDescent="0.2">
      <c r="A526" s="1">
        <v>27575</v>
      </c>
      <c r="B526">
        <v>4.83</v>
      </c>
      <c r="C526">
        <v>1.32</v>
      </c>
      <c r="D526">
        <v>1.32</v>
      </c>
      <c r="E526">
        <v>-2.62</v>
      </c>
      <c r="F526">
        <v>1.06</v>
      </c>
      <c r="G526">
        <v>0.41</v>
      </c>
    </row>
    <row r="527" spans="1:7" x14ac:dyDescent="0.2">
      <c r="A527" s="1">
        <v>27545</v>
      </c>
      <c r="B527">
        <v>5.19</v>
      </c>
      <c r="C527">
        <v>2.89</v>
      </c>
      <c r="D527">
        <v>-4.0199999999999996</v>
      </c>
      <c r="E527">
        <v>-1.05</v>
      </c>
      <c r="F527">
        <v>-0.61</v>
      </c>
      <c r="G527">
        <v>0.44</v>
      </c>
    </row>
    <row r="528" spans="1:7" x14ac:dyDescent="0.2">
      <c r="A528" s="1">
        <v>27514</v>
      </c>
      <c r="B528">
        <v>4.2300000000000004</v>
      </c>
      <c r="C528">
        <v>-0.59</v>
      </c>
      <c r="D528">
        <v>-1.1100000000000001</v>
      </c>
      <c r="E528">
        <v>1.37</v>
      </c>
      <c r="F528">
        <v>-1.35</v>
      </c>
      <c r="G528">
        <v>0.44</v>
      </c>
    </row>
    <row r="529" spans="1:7" x14ac:dyDescent="0.2">
      <c r="A529" s="1">
        <v>27484</v>
      </c>
      <c r="B529">
        <v>2.66</v>
      </c>
      <c r="C529">
        <v>3.98</v>
      </c>
      <c r="D529">
        <v>2.4900000000000002</v>
      </c>
      <c r="E529">
        <v>1.23</v>
      </c>
      <c r="F529">
        <v>-1.25</v>
      </c>
      <c r="G529">
        <v>0.41</v>
      </c>
    </row>
    <row r="530" spans="1:7" x14ac:dyDescent="0.2">
      <c r="A530" s="1">
        <v>27453</v>
      </c>
      <c r="B530">
        <v>5.56</v>
      </c>
      <c r="C530">
        <v>-0.65</v>
      </c>
      <c r="D530">
        <v>-4.5599999999999996</v>
      </c>
      <c r="E530">
        <v>1.1499999999999999</v>
      </c>
      <c r="F530">
        <v>-2.14</v>
      </c>
      <c r="G530">
        <v>0.43</v>
      </c>
    </row>
    <row r="531" spans="1:7" x14ac:dyDescent="0.2">
      <c r="A531" s="1">
        <v>27425</v>
      </c>
      <c r="B531">
        <v>13.66</v>
      </c>
      <c r="C531">
        <v>12.79</v>
      </c>
      <c r="D531">
        <v>8.44</v>
      </c>
      <c r="E531">
        <v>-0.89</v>
      </c>
      <c r="F531">
        <v>-0.86</v>
      </c>
      <c r="G531">
        <v>0.57999999999999996</v>
      </c>
    </row>
    <row r="532" spans="1:7" x14ac:dyDescent="0.2">
      <c r="A532" s="1">
        <v>27394</v>
      </c>
      <c r="B532">
        <v>-3.45</v>
      </c>
      <c r="C532">
        <v>-4.3600000000000003</v>
      </c>
      <c r="D532">
        <v>0</v>
      </c>
      <c r="E532">
        <v>-0.65</v>
      </c>
      <c r="F532">
        <v>3.23</v>
      </c>
      <c r="G532">
        <v>0.7</v>
      </c>
    </row>
    <row r="533" spans="1:7" x14ac:dyDescent="0.2">
      <c r="A533" s="1">
        <v>27363</v>
      </c>
      <c r="B533">
        <v>-4.51</v>
      </c>
      <c r="C533">
        <v>-1.44</v>
      </c>
      <c r="D533">
        <v>-0.16</v>
      </c>
      <c r="E533">
        <v>-3.39</v>
      </c>
      <c r="F533">
        <v>2.95</v>
      </c>
      <c r="G533">
        <v>0.54</v>
      </c>
    </row>
    <row r="534" spans="1:7" x14ac:dyDescent="0.2">
      <c r="A534" s="1">
        <v>27333</v>
      </c>
      <c r="B534">
        <v>16.100000000000001</v>
      </c>
      <c r="C534">
        <v>-6.85</v>
      </c>
      <c r="D534">
        <v>-9.99</v>
      </c>
      <c r="E534">
        <v>-0.03</v>
      </c>
      <c r="F534">
        <v>-2.94</v>
      </c>
      <c r="G534">
        <v>0.51</v>
      </c>
    </row>
    <row r="535" spans="1:7" x14ac:dyDescent="0.2">
      <c r="A535" s="1">
        <v>27302</v>
      </c>
      <c r="B535">
        <v>-11.77</v>
      </c>
      <c r="C535">
        <v>1.46</v>
      </c>
      <c r="D535">
        <v>5.49</v>
      </c>
      <c r="E535">
        <v>-4.28</v>
      </c>
      <c r="F535">
        <v>5.91</v>
      </c>
      <c r="G535">
        <v>0.81</v>
      </c>
    </row>
    <row r="536" spans="1:7" x14ac:dyDescent="0.2">
      <c r="A536" s="1">
        <v>27272</v>
      </c>
      <c r="B536">
        <v>-9.35</v>
      </c>
      <c r="C536">
        <v>0.3</v>
      </c>
      <c r="D536">
        <v>2.5</v>
      </c>
      <c r="E536">
        <v>-0.26</v>
      </c>
      <c r="F536">
        <v>2.5499999999999998</v>
      </c>
      <c r="G536">
        <v>0.6</v>
      </c>
    </row>
    <row r="537" spans="1:7" x14ac:dyDescent="0.2">
      <c r="A537" s="1">
        <v>27241</v>
      </c>
      <c r="B537">
        <v>-8.0500000000000007</v>
      </c>
      <c r="C537">
        <v>1.99</v>
      </c>
      <c r="D537">
        <v>5.14</v>
      </c>
      <c r="E537">
        <v>-3.26</v>
      </c>
      <c r="F537">
        <v>4.58</v>
      </c>
      <c r="G537">
        <v>0.7</v>
      </c>
    </row>
    <row r="538" spans="1:7" x14ac:dyDescent="0.2">
      <c r="A538" s="1">
        <v>27210</v>
      </c>
      <c r="B538">
        <v>-2.83</v>
      </c>
      <c r="C538">
        <v>-0.02</v>
      </c>
      <c r="D538">
        <v>0.79</v>
      </c>
      <c r="E538">
        <v>0.62</v>
      </c>
      <c r="F538">
        <v>3.06</v>
      </c>
      <c r="G538">
        <v>0.6</v>
      </c>
    </row>
    <row r="539" spans="1:7" x14ac:dyDescent="0.2">
      <c r="A539" s="1">
        <v>27180</v>
      </c>
      <c r="B539">
        <v>-4.68</v>
      </c>
      <c r="C539">
        <v>-3.17</v>
      </c>
      <c r="D539">
        <v>-2.04</v>
      </c>
      <c r="E539">
        <v>5.08</v>
      </c>
      <c r="F539">
        <v>0</v>
      </c>
      <c r="G539">
        <v>0.75</v>
      </c>
    </row>
    <row r="540" spans="1:7" x14ac:dyDescent="0.2">
      <c r="A540" s="1">
        <v>27149</v>
      </c>
      <c r="B540">
        <v>-5.29</v>
      </c>
      <c r="C540">
        <v>-0.63</v>
      </c>
      <c r="D540">
        <v>1.06</v>
      </c>
      <c r="E540">
        <v>2.86</v>
      </c>
      <c r="F540">
        <v>1.85</v>
      </c>
      <c r="G540">
        <v>0.75</v>
      </c>
    </row>
    <row r="541" spans="1:7" x14ac:dyDescent="0.2">
      <c r="A541" s="1">
        <v>27119</v>
      </c>
      <c r="B541">
        <v>-2.81</v>
      </c>
      <c r="C541">
        <v>2.64</v>
      </c>
      <c r="D541">
        <v>-0.11</v>
      </c>
      <c r="E541">
        <v>2.82</v>
      </c>
      <c r="F541">
        <v>0.36</v>
      </c>
      <c r="G541">
        <v>0.56000000000000005</v>
      </c>
    </row>
    <row r="542" spans="1:7" x14ac:dyDescent="0.2">
      <c r="A542" s="1">
        <v>27088</v>
      </c>
      <c r="B542">
        <v>-0.47</v>
      </c>
      <c r="C542">
        <v>0.16</v>
      </c>
      <c r="D542">
        <v>2.54</v>
      </c>
      <c r="E542">
        <v>-1.93</v>
      </c>
      <c r="F542">
        <v>2.67</v>
      </c>
      <c r="G542">
        <v>0.57999999999999996</v>
      </c>
    </row>
    <row r="543" spans="1:7" x14ac:dyDescent="0.2">
      <c r="A543" s="1">
        <v>27060</v>
      </c>
      <c r="B543">
        <v>-0.17</v>
      </c>
      <c r="C543">
        <v>10.41</v>
      </c>
      <c r="D543">
        <v>5.99</v>
      </c>
      <c r="E543">
        <v>-3.01</v>
      </c>
      <c r="F543">
        <v>4.47</v>
      </c>
      <c r="G543">
        <v>0.63</v>
      </c>
    </row>
    <row r="544" spans="1:7" x14ac:dyDescent="0.2">
      <c r="A544" s="1">
        <v>27029</v>
      </c>
      <c r="B544">
        <v>0.61</v>
      </c>
      <c r="C544">
        <v>-4.5999999999999996</v>
      </c>
      <c r="D544">
        <v>4.09</v>
      </c>
      <c r="E544">
        <v>-2.8</v>
      </c>
      <c r="F544">
        <v>2.2999999999999998</v>
      </c>
      <c r="G544">
        <v>0.64</v>
      </c>
    </row>
    <row r="545" spans="1:7" x14ac:dyDescent="0.2">
      <c r="A545" s="1">
        <v>26998</v>
      </c>
      <c r="B545">
        <v>-12.75</v>
      </c>
      <c r="C545">
        <v>-7.25</v>
      </c>
      <c r="D545">
        <v>4.04</v>
      </c>
      <c r="E545">
        <v>-2.71</v>
      </c>
      <c r="F545">
        <v>1.49</v>
      </c>
      <c r="G545">
        <v>0.56000000000000005</v>
      </c>
    </row>
    <row r="546" spans="1:7" x14ac:dyDescent="0.2">
      <c r="A546" s="1">
        <v>26968</v>
      </c>
      <c r="B546">
        <v>-0.83</v>
      </c>
      <c r="C546">
        <v>-0.26</v>
      </c>
      <c r="D546">
        <v>1.74</v>
      </c>
      <c r="E546">
        <v>-1.94</v>
      </c>
      <c r="F546">
        <v>2.59</v>
      </c>
      <c r="G546">
        <v>0.65</v>
      </c>
    </row>
    <row r="547" spans="1:7" x14ac:dyDescent="0.2">
      <c r="A547" s="1">
        <v>26937</v>
      </c>
      <c r="B547">
        <v>4.75</v>
      </c>
      <c r="C547">
        <v>3.54</v>
      </c>
      <c r="D547">
        <v>2.1800000000000002</v>
      </c>
      <c r="E547">
        <v>-2.2999999999999998</v>
      </c>
      <c r="F547">
        <v>1.82</v>
      </c>
      <c r="G547">
        <v>0.68</v>
      </c>
    </row>
    <row r="548" spans="1:7" x14ac:dyDescent="0.2">
      <c r="A548" s="1">
        <v>26907</v>
      </c>
      <c r="B548">
        <v>-3.82</v>
      </c>
      <c r="C548">
        <v>-1.75</v>
      </c>
      <c r="D548">
        <v>1.1399999999999999</v>
      </c>
      <c r="E548">
        <v>-1.36</v>
      </c>
      <c r="F548">
        <v>1.2</v>
      </c>
      <c r="G548">
        <v>0.7</v>
      </c>
    </row>
    <row r="549" spans="1:7" x14ac:dyDescent="0.2">
      <c r="A549" s="1">
        <v>26876</v>
      </c>
      <c r="B549">
        <v>5.05</v>
      </c>
      <c r="C549">
        <v>7.25</v>
      </c>
      <c r="D549">
        <v>-5.31</v>
      </c>
      <c r="E549">
        <v>-0.1</v>
      </c>
      <c r="F549">
        <v>-3.45</v>
      </c>
      <c r="G549">
        <v>0.64</v>
      </c>
    </row>
    <row r="550" spans="1:7" x14ac:dyDescent="0.2">
      <c r="A550" s="1">
        <v>26845</v>
      </c>
      <c r="B550">
        <v>-1.56</v>
      </c>
      <c r="C550">
        <v>-2.54</v>
      </c>
      <c r="D550">
        <v>1.44</v>
      </c>
      <c r="E550">
        <v>-0.27</v>
      </c>
      <c r="F550">
        <v>0.22</v>
      </c>
      <c r="G550">
        <v>0.51</v>
      </c>
    </row>
    <row r="551" spans="1:7" x14ac:dyDescent="0.2">
      <c r="A551" s="1">
        <v>26815</v>
      </c>
      <c r="B551">
        <v>-2.94</v>
      </c>
      <c r="C551">
        <v>-5.98</v>
      </c>
      <c r="D551">
        <v>0.21</v>
      </c>
      <c r="E551">
        <v>2.02</v>
      </c>
      <c r="F551">
        <v>-1.79</v>
      </c>
      <c r="G551">
        <v>0.51</v>
      </c>
    </row>
    <row r="552" spans="1:7" x14ac:dyDescent="0.2">
      <c r="A552" s="1">
        <v>26784</v>
      </c>
      <c r="B552">
        <v>-5.68</v>
      </c>
      <c r="C552">
        <v>-3</v>
      </c>
      <c r="D552">
        <v>5.69</v>
      </c>
      <c r="E552">
        <v>-1.63</v>
      </c>
      <c r="F552">
        <v>2.71</v>
      </c>
      <c r="G552">
        <v>0.52</v>
      </c>
    </row>
    <row r="553" spans="1:7" x14ac:dyDescent="0.2">
      <c r="A553" s="1">
        <v>26754</v>
      </c>
      <c r="B553">
        <v>-1.3</v>
      </c>
      <c r="C553">
        <v>-2.31</v>
      </c>
      <c r="D553">
        <v>2.78</v>
      </c>
      <c r="E553">
        <v>-1.07</v>
      </c>
      <c r="F553">
        <v>0.73</v>
      </c>
      <c r="G553">
        <v>0.46</v>
      </c>
    </row>
    <row r="554" spans="1:7" x14ac:dyDescent="0.2">
      <c r="A554" s="1">
        <v>26723</v>
      </c>
      <c r="B554">
        <v>-4.8499999999999996</v>
      </c>
      <c r="C554">
        <v>-4.01</v>
      </c>
      <c r="D554">
        <v>1.7</v>
      </c>
      <c r="E554">
        <v>-0.34</v>
      </c>
      <c r="F554">
        <v>-0.01</v>
      </c>
      <c r="G554">
        <v>0.41</v>
      </c>
    </row>
    <row r="555" spans="1:7" x14ac:dyDescent="0.2">
      <c r="A555" s="1">
        <v>26695</v>
      </c>
      <c r="B555">
        <v>-3.29</v>
      </c>
      <c r="C555">
        <v>-2.79</v>
      </c>
      <c r="D555">
        <v>2.68</v>
      </c>
      <c r="E555">
        <v>0.4</v>
      </c>
      <c r="F555">
        <v>0.92</v>
      </c>
      <c r="G555">
        <v>0.44</v>
      </c>
    </row>
    <row r="556" spans="1:7" x14ac:dyDescent="0.2">
      <c r="A556" s="1">
        <v>26664</v>
      </c>
      <c r="B556">
        <v>0.62</v>
      </c>
      <c r="C556">
        <v>-1.82</v>
      </c>
      <c r="D556">
        <v>-2.27</v>
      </c>
      <c r="E556">
        <v>2.6</v>
      </c>
      <c r="F556">
        <v>-2.2000000000000002</v>
      </c>
      <c r="G556">
        <v>0.37</v>
      </c>
    </row>
    <row r="557" spans="1:7" x14ac:dyDescent="0.2">
      <c r="A557" s="1">
        <v>26633</v>
      </c>
      <c r="B557">
        <v>4.5999999999999996</v>
      </c>
      <c r="C557">
        <v>-0.53</v>
      </c>
      <c r="D557">
        <v>4.76</v>
      </c>
      <c r="E557">
        <v>-1.98</v>
      </c>
      <c r="F557">
        <v>3.35</v>
      </c>
      <c r="G557">
        <v>0.37</v>
      </c>
    </row>
    <row r="558" spans="1:7" x14ac:dyDescent="0.2">
      <c r="A558" s="1">
        <v>26603</v>
      </c>
      <c r="B558">
        <v>0.52</v>
      </c>
      <c r="C558">
        <v>-2.5299999999999998</v>
      </c>
      <c r="D558">
        <v>1.37</v>
      </c>
      <c r="E558">
        <v>-0.12</v>
      </c>
      <c r="F558">
        <v>-0.05</v>
      </c>
      <c r="G558">
        <v>0.4</v>
      </c>
    </row>
    <row r="559" spans="1:7" x14ac:dyDescent="0.2">
      <c r="A559" s="1">
        <v>26572</v>
      </c>
      <c r="B559">
        <v>-1.1399999999999999</v>
      </c>
      <c r="C559">
        <v>-2.25</v>
      </c>
      <c r="D559">
        <v>0.47</v>
      </c>
      <c r="E559">
        <v>1.67</v>
      </c>
      <c r="F559">
        <v>-1.98</v>
      </c>
      <c r="G559">
        <v>0.34</v>
      </c>
    </row>
    <row r="560" spans="1:7" x14ac:dyDescent="0.2">
      <c r="A560" s="1">
        <v>26542</v>
      </c>
      <c r="B560">
        <v>3.26</v>
      </c>
      <c r="C560">
        <v>-3.53</v>
      </c>
      <c r="D560">
        <v>4.6900000000000004</v>
      </c>
      <c r="E560">
        <v>-2.02</v>
      </c>
      <c r="F560">
        <v>2.95</v>
      </c>
      <c r="G560">
        <v>0.28999999999999998</v>
      </c>
    </row>
    <row r="561" spans="1:7" x14ac:dyDescent="0.2">
      <c r="A561" s="1">
        <v>26511</v>
      </c>
      <c r="B561">
        <v>-0.8</v>
      </c>
      <c r="C561">
        <v>-2.74</v>
      </c>
      <c r="D561">
        <v>0.78</v>
      </c>
      <c r="E561">
        <v>1.08</v>
      </c>
      <c r="F561">
        <v>-0.59</v>
      </c>
      <c r="G561">
        <v>0.31</v>
      </c>
    </row>
    <row r="562" spans="1:7" x14ac:dyDescent="0.2">
      <c r="A562" s="1">
        <v>26480</v>
      </c>
      <c r="B562">
        <v>-2.4300000000000002</v>
      </c>
      <c r="C562">
        <v>-0.35</v>
      </c>
      <c r="D562">
        <v>-2.5099999999999998</v>
      </c>
      <c r="E562">
        <v>1.75</v>
      </c>
      <c r="F562">
        <v>-0.36</v>
      </c>
      <c r="G562">
        <v>0.28999999999999998</v>
      </c>
    </row>
    <row r="563" spans="1:7" x14ac:dyDescent="0.2">
      <c r="A563" s="1">
        <v>26450</v>
      </c>
      <c r="B563">
        <v>1.25</v>
      </c>
      <c r="C563">
        <v>-3.15</v>
      </c>
      <c r="D563">
        <v>-2.69</v>
      </c>
      <c r="E563">
        <v>2.33</v>
      </c>
      <c r="F563">
        <v>-1.85</v>
      </c>
      <c r="G563">
        <v>0.3</v>
      </c>
    </row>
    <row r="564" spans="1:7" x14ac:dyDescent="0.2">
      <c r="A564" s="1">
        <v>26419</v>
      </c>
      <c r="B564">
        <v>0.28999999999999998</v>
      </c>
      <c r="C564">
        <v>0.15</v>
      </c>
      <c r="D564">
        <v>0.23</v>
      </c>
      <c r="E564">
        <v>-0.59</v>
      </c>
      <c r="F564">
        <v>-0.89</v>
      </c>
      <c r="G564">
        <v>0.28999999999999998</v>
      </c>
    </row>
    <row r="565" spans="1:7" x14ac:dyDescent="0.2">
      <c r="A565" s="1">
        <v>26389</v>
      </c>
      <c r="B565">
        <v>0.63</v>
      </c>
      <c r="C565">
        <v>-0.49</v>
      </c>
      <c r="D565">
        <v>-1.73</v>
      </c>
      <c r="E565">
        <v>1.58</v>
      </c>
      <c r="F565">
        <v>-0.19</v>
      </c>
      <c r="G565">
        <v>0.27</v>
      </c>
    </row>
    <row r="566" spans="1:7" x14ac:dyDescent="0.2">
      <c r="A566" s="1">
        <v>26358</v>
      </c>
      <c r="B566">
        <v>2.87</v>
      </c>
      <c r="C566">
        <v>0.96</v>
      </c>
      <c r="D566">
        <v>-2.76</v>
      </c>
      <c r="E566">
        <v>1.65</v>
      </c>
      <c r="F566">
        <v>-0.52</v>
      </c>
      <c r="G566">
        <v>0.25</v>
      </c>
    </row>
    <row r="567" spans="1:7" x14ac:dyDescent="0.2">
      <c r="A567" s="1">
        <v>26329</v>
      </c>
      <c r="B567">
        <v>2.4900000000000002</v>
      </c>
      <c r="C567">
        <v>6.33</v>
      </c>
      <c r="D567">
        <v>1.99</v>
      </c>
      <c r="E567">
        <v>-1.48</v>
      </c>
      <c r="F567">
        <v>0.28999999999999998</v>
      </c>
      <c r="G567">
        <v>0.28999999999999998</v>
      </c>
    </row>
    <row r="568" spans="1:7" x14ac:dyDescent="0.2">
      <c r="A568" s="1">
        <v>26298</v>
      </c>
      <c r="B568">
        <v>8.7100000000000009</v>
      </c>
      <c r="C568">
        <v>3.27</v>
      </c>
      <c r="D568">
        <v>-0.35</v>
      </c>
      <c r="E568">
        <v>-0.43</v>
      </c>
      <c r="F568">
        <v>-1.83</v>
      </c>
      <c r="G568">
        <v>0.37</v>
      </c>
    </row>
    <row r="569" spans="1:7" x14ac:dyDescent="0.2">
      <c r="A569" s="1">
        <v>26267</v>
      </c>
      <c r="B569">
        <v>-0.46</v>
      </c>
      <c r="C569">
        <v>-2.9</v>
      </c>
      <c r="D569">
        <v>-1.7</v>
      </c>
      <c r="E569">
        <v>2.4500000000000002</v>
      </c>
      <c r="F569">
        <v>-0.36</v>
      </c>
      <c r="G569">
        <v>0.37</v>
      </c>
    </row>
    <row r="570" spans="1:7" x14ac:dyDescent="0.2">
      <c r="A570" s="1">
        <v>26237</v>
      </c>
      <c r="B570">
        <v>-4.42</v>
      </c>
      <c r="C570">
        <v>-1.65</v>
      </c>
      <c r="D570">
        <v>-0.43</v>
      </c>
      <c r="E570">
        <v>1.48</v>
      </c>
      <c r="F570">
        <v>-1.24</v>
      </c>
      <c r="G570">
        <v>0.37</v>
      </c>
    </row>
    <row r="571" spans="1:7" x14ac:dyDescent="0.2">
      <c r="A571" s="1">
        <v>26206</v>
      </c>
      <c r="B571">
        <v>-0.85</v>
      </c>
      <c r="C571">
        <v>0.19</v>
      </c>
      <c r="D571">
        <v>-2.96</v>
      </c>
      <c r="E571">
        <v>2.59</v>
      </c>
      <c r="F571">
        <v>-1.56</v>
      </c>
      <c r="G571">
        <v>0.37</v>
      </c>
    </row>
    <row r="572" spans="1:7" x14ac:dyDescent="0.2">
      <c r="A572" s="1">
        <v>26176</v>
      </c>
      <c r="B572">
        <v>3.79</v>
      </c>
      <c r="C572">
        <v>-0.18</v>
      </c>
      <c r="D572">
        <v>2.67</v>
      </c>
      <c r="E572">
        <v>-0.34</v>
      </c>
      <c r="F572">
        <v>2.6</v>
      </c>
      <c r="G572">
        <v>0.47</v>
      </c>
    </row>
    <row r="573" spans="1:7" x14ac:dyDescent="0.2">
      <c r="A573" s="1">
        <v>26145</v>
      </c>
      <c r="B573">
        <v>-4.5</v>
      </c>
      <c r="C573">
        <v>-1.41</v>
      </c>
      <c r="D573">
        <v>0.17</v>
      </c>
      <c r="E573">
        <v>0.48</v>
      </c>
      <c r="F573">
        <v>1.62</v>
      </c>
      <c r="G573">
        <v>0.4</v>
      </c>
    </row>
    <row r="574" spans="1:7" x14ac:dyDescent="0.2">
      <c r="A574" s="1">
        <v>26114</v>
      </c>
      <c r="B574">
        <v>-0.1</v>
      </c>
      <c r="C574">
        <v>-1.45</v>
      </c>
      <c r="D574">
        <v>-2.06</v>
      </c>
      <c r="E574">
        <v>1.52</v>
      </c>
      <c r="F574">
        <v>-1.74</v>
      </c>
      <c r="G574">
        <v>0.37</v>
      </c>
    </row>
    <row r="575" spans="1:7" x14ac:dyDescent="0.2">
      <c r="A575" s="1">
        <v>26084</v>
      </c>
      <c r="B575">
        <v>-3.98</v>
      </c>
      <c r="C575">
        <v>-1.17</v>
      </c>
      <c r="D575">
        <v>-1.38</v>
      </c>
      <c r="E575">
        <v>1.46</v>
      </c>
      <c r="F575">
        <v>0.3</v>
      </c>
      <c r="G575">
        <v>0.28999999999999998</v>
      </c>
    </row>
    <row r="576" spans="1:7" x14ac:dyDescent="0.2">
      <c r="A576" s="1">
        <v>26053</v>
      </c>
      <c r="B576">
        <v>3.15</v>
      </c>
      <c r="C576">
        <v>-0.37</v>
      </c>
      <c r="D576">
        <v>0.72</v>
      </c>
      <c r="E576">
        <v>-1.56</v>
      </c>
      <c r="F576">
        <v>0.72</v>
      </c>
      <c r="G576">
        <v>0.28000000000000003</v>
      </c>
    </row>
    <row r="577" spans="1:7" x14ac:dyDescent="0.2">
      <c r="A577" s="1">
        <v>26023</v>
      </c>
      <c r="B577">
        <v>4.13</v>
      </c>
      <c r="C577">
        <v>2.15</v>
      </c>
      <c r="D577">
        <v>-4.04</v>
      </c>
      <c r="E577">
        <v>1.97</v>
      </c>
      <c r="F577">
        <v>-2.69</v>
      </c>
      <c r="G577">
        <v>0.3</v>
      </c>
    </row>
    <row r="578" spans="1:7" x14ac:dyDescent="0.2">
      <c r="A578" s="1">
        <v>25992</v>
      </c>
      <c r="B578">
        <v>1.41</v>
      </c>
      <c r="C578">
        <v>2.0499999999999998</v>
      </c>
      <c r="D578">
        <v>-1.29</v>
      </c>
      <c r="E578">
        <v>0.65</v>
      </c>
      <c r="F578">
        <v>-0.72</v>
      </c>
      <c r="G578">
        <v>0.33</v>
      </c>
    </row>
    <row r="579" spans="1:7" x14ac:dyDescent="0.2">
      <c r="A579" s="1">
        <v>25964</v>
      </c>
      <c r="B579">
        <v>4.84</v>
      </c>
      <c r="C579">
        <v>7.54</v>
      </c>
      <c r="D579">
        <v>1.38</v>
      </c>
      <c r="E579">
        <v>-2.19</v>
      </c>
      <c r="F579">
        <v>-0.14000000000000001</v>
      </c>
      <c r="G579">
        <v>0.38</v>
      </c>
    </row>
    <row r="580" spans="1:7" x14ac:dyDescent="0.2">
      <c r="A580" s="1">
        <v>25933</v>
      </c>
      <c r="B580">
        <v>5.72</v>
      </c>
      <c r="C580">
        <v>3.02</v>
      </c>
      <c r="D580">
        <v>1.01</v>
      </c>
      <c r="E580">
        <v>0.14000000000000001</v>
      </c>
      <c r="F580">
        <v>0.28000000000000003</v>
      </c>
      <c r="G580">
        <v>0.42</v>
      </c>
    </row>
    <row r="581" spans="1:7" x14ac:dyDescent="0.2">
      <c r="A581" s="1">
        <v>25902</v>
      </c>
      <c r="B581">
        <v>4.59</v>
      </c>
      <c r="C581">
        <v>-4</v>
      </c>
      <c r="D581">
        <v>1.63</v>
      </c>
      <c r="E581">
        <v>1.75</v>
      </c>
      <c r="F581">
        <v>1.59</v>
      </c>
      <c r="G581">
        <v>0.46</v>
      </c>
    </row>
    <row r="582" spans="1:7" x14ac:dyDescent="0.2">
      <c r="A582" s="1">
        <v>25872</v>
      </c>
      <c r="B582">
        <v>-2.2799999999999998</v>
      </c>
      <c r="C582">
        <v>-4.5</v>
      </c>
      <c r="D582">
        <v>0.27</v>
      </c>
      <c r="E582">
        <v>1.83</v>
      </c>
      <c r="F582">
        <v>2.38</v>
      </c>
      <c r="G582">
        <v>0.46</v>
      </c>
    </row>
    <row r="583" spans="1:7" x14ac:dyDescent="0.2">
      <c r="A583" s="1">
        <v>25841</v>
      </c>
      <c r="B583">
        <v>4.18</v>
      </c>
      <c r="C583">
        <v>8.49</v>
      </c>
      <c r="D583">
        <v>-5.58</v>
      </c>
      <c r="E583">
        <v>0.24</v>
      </c>
      <c r="F583">
        <v>-5.93</v>
      </c>
      <c r="G583">
        <v>0.54</v>
      </c>
    </row>
    <row r="584" spans="1:7" x14ac:dyDescent="0.2">
      <c r="A584" s="1">
        <v>25811</v>
      </c>
      <c r="B584">
        <v>4.49</v>
      </c>
      <c r="C584">
        <v>1.54</v>
      </c>
      <c r="D584">
        <v>1.03</v>
      </c>
      <c r="E584">
        <v>0.56999999999999995</v>
      </c>
      <c r="F584">
        <v>-0.15</v>
      </c>
      <c r="G584">
        <v>0.53</v>
      </c>
    </row>
    <row r="585" spans="1:7" x14ac:dyDescent="0.2">
      <c r="A585" s="1">
        <v>25780</v>
      </c>
      <c r="B585">
        <v>6.93</v>
      </c>
      <c r="C585">
        <v>-0.69</v>
      </c>
      <c r="D585">
        <v>0.96</v>
      </c>
      <c r="E585">
        <v>-7.0000000000000007E-2</v>
      </c>
      <c r="F585">
        <v>1.9</v>
      </c>
      <c r="G585">
        <v>0.52</v>
      </c>
    </row>
    <row r="586" spans="1:7" x14ac:dyDescent="0.2">
      <c r="A586" s="1">
        <v>25749</v>
      </c>
      <c r="B586">
        <v>-5.79</v>
      </c>
      <c r="C586">
        <v>-2.17</v>
      </c>
      <c r="D586">
        <v>0.87</v>
      </c>
      <c r="E586">
        <v>0.19</v>
      </c>
      <c r="F586">
        <v>2.9</v>
      </c>
      <c r="G586">
        <v>0.57999999999999996</v>
      </c>
    </row>
    <row r="587" spans="1:7" x14ac:dyDescent="0.2">
      <c r="A587" s="1">
        <v>25719</v>
      </c>
      <c r="B587">
        <v>-6.92</v>
      </c>
      <c r="C587">
        <v>-4.42</v>
      </c>
      <c r="D587">
        <v>3.6</v>
      </c>
      <c r="E587">
        <v>-1.3</v>
      </c>
      <c r="F587">
        <v>3.62</v>
      </c>
      <c r="G587">
        <v>0.53</v>
      </c>
    </row>
    <row r="588" spans="1:7" x14ac:dyDescent="0.2">
      <c r="A588" s="1">
        <v>25688</v>
      </c>
      <c r="B588">
        <v>-11</v>
      </c>
      <c r="C588">
        <v>-6.3</v>
      </c>
      <c r="D588">
        <v>6.39</v>
      </c>
      <c r="E588">
        <v>-0.64</v>
      </c>
      <c r="F588">
        <v>5.88</v>
      </c>
      <c r="G588">
        <v>0.5</v>
      </c>
    </row>
    <row r="589" spans="1:7" x14ac:dyDescent="0.2">
      <c r="A589" s="1">
        <v>25658</v>
      </c>
      <c r="B589">
        <v>-1.06</v>
      </c>
      <c r="C589">
        <v>-2.4</v>
      </c>
      <c r="D589">
        <v>4.25</v>
      </c>
      <c r="E589">
        <v>-0.87</v>
      </c>
      <c r="F589">
        <v>4.43</v>
      </c>
      <c r="G589">
        <v>0.56999999999999995</v>
      </c>
    </row>
    <row r="590" spans="1:7" x14ac:dyDescent="0.2">
      <c r="A590" s="1">
        <v>25627</v>
      </c>
      <c r="B590">
        <v>5.13</v>
      </c>
      <c r="C590">
        <v>-2.58</v>
      </c>
      <c r="D590">
        <v>4.04</v>
      </c>
      <c r="E590">
        <v>-2.2799999999999998</v>
      </c>
      <c r="F590">
        <v>3.06</v>
      </c>
      <c r="G590">
        <v>0.62</v>
      </c>
    </row>
    <row r="591" spans="1:7" x14ac:dyDescent="0.2">
      <c r="A591" s="1">
        <v>25599</v>
      </c>
      <c r="B591">
        <v>-8.1</v>
      </c>
      <c r="C591">
        <v>3.09</v>
      </c>
      <c r="D591">
        <v>3.04</v>
      </c>
      <c r="E591">
        <v>-1.77</v>
      </c>
      <c r="F591">
        <v>3.92</v>
      </c>
      <c r="G591">
        <v>0.6</v>
      </c>
    </row>
    <row r="592" spans="1:7" x14ac:dyDescent="0.2">
      <c r="A592" s="1">
        <v>25568</v>
      </c>
      <c r="B592">
        <v>-2.63</v>
      </c>
      <c r="C592">
        <v>-3.7</v>
      </c>
      <c r="D592">
        <v>-3.02</v>
      </c>
      <c r="E592">
        <v>2.4700000000000002</v>
      </c>
      <c r="F592">
        <v>-2.04</v>
      </c>
      <c r="G592">
        <v>0.64</v>
      </c>
    </row>
    <row r="593" spans="1:7" x14ac:dyDescent="0.2">
      <c r="A593" s="1">
        <v>25537</v>
      </c>
      <c r="B593">
        <v>-3.79</v>
      </c>
      <c r="C593">
        <v>-2.41</v>
      </c>
      <c r="D593">
        <v>-1.1200000000000001</v>
      </c>
      <c r="E593">
        <v>1.44</v>
      </c>
      <c r="F593">
        <v>0.32</v>
      </c>
      <c r="G593">
        <v>0.52</v>
      </c>
    </row>
    <row r="594" spans="1:7" x14ac:dyDescent="0.2">
      <c r="A594" s="1">
        <v>25507</v>
      </c>
      <c r="B594">
        <v>5.0599999999999996</v>
      </c>
      <c r="C594">
        <v>3.89</v>
      </c>
      <c r="D594">
        <v>-3.19</v>
      </c>
      <c r="E594">
        <v>0.01</v>
      </c>
      <c r="F594">
        <v>-2.0299999999999998</v>
      </c>
      <c r="G594">
        <v>0.6</v>
      </c>
    </row>
    <row r="595" spans="1:7" x14ac:dyDescent="0.2">
      <c r="A595" s="1">
        <v>25476</v>
      </c>
      <c r="B595">
        <v>-2.98</v>
      </c>
      <c r="C595">
        <v>1.29</v>
      </c>
      <c r="D595">
        <v>-3.19</v>
      </c>
      <c r="E595">
        <v>3.42</v>
      </c>
      <c r="F595">
        <v>-0.83</v>
      </c>
      <c r="G595">
        <v>0.62</v>
      </c>
    </row>
    <row r="596" spans="1:7" x14ac:dyDescent="0.2">
      <c r="A596" s="1">
        <v>25446</v>
      </c>
      <c r="B596">
        <v>4.68</v>
      </c>
      <c r="C596">
        <v>0.71</v>
      </c>
      <c r="D596">
        <v>-3.87</v>
      </c>
      <c r="E596">
        <v>1.1599999999999999</v>
      </c>
      <c r="F596">
        <v>-4.08</v>
      </c>
      <c r="G596">
        <v>0.5</v>
      </c>
    </row>
    <row r="597" spans="1:7" x14ac:dyDescent="0.2">
      <c r="A597" s="1">
        <v>25415</v>
      </c>
      <c r="B597">
        <v>-7</v>
      </c>
      <c r="C597">
        <v>-3.37</v>
      </c>
      <c r="D597">
        <v>1.42</v>
      </c>
      <c r="E597">
        <v>1.4</v>
      </c>
      <c r="F597">
        <v>1.97</v>
      </c>
      <c r="G597">
        <v>0.53</v>
      </c>
    </row>
    <row r="598" spans="1:7" x14ac:dyDescent="0.2">
      <c r="A598" s="1">
        <v>25384</v>
      </c>
      <c r="B598">
        <v>-7.18</v>
      </c>
      <c r="C598">
        <v>-5.49</v>
      </c>
      <c r="D598">
        <v>-1.0900000000000001</v>
      </c>
      <c r="E598">
        <v>4.26</v>
      </c>
      <c r="F598">
        <v>-1.53</v>
      </c>
      <c r="G598">
        <v>0.51</v>
      </c>
    </row>
    <row r="599" spans="1:7" x14ac:dyDescent="0.2">
      <c r="A599" s="1">
        <v>25354</v>
      </c>
      <c r="B599">
        <v>-0.1</v>
      </c>
      <c r="C599">
        <v>-0.18</v>
      </c>
      <c r="D599">
        <v>0.73</v>
      </c>
      <c r="E599">
        <v>-0.98</v>
      </c>
      <c r="F599">
        <v>1.51</v>
      </c>
      <c r="G599">
        <v>0.48</v>
      </c>
    </row>
    <row r="600" spans="1:7" x14ac:dyDescent="0.2">
      <c r="A600" s="1">
        <v>25323</v>
      </c>
      <c r="B600">
        <v>1.46</v>
      </c>
      <c r="C600">
        <v>-0.82</v>
      </c>
      <c r="D600">
        <v>0.03</v>
      </c>
      <c r="E600">
        <v>0.39</v>
      </c>
      <c r="F600">
        <v>0.08</v>
      </c>
      <c r="G600">
        <v>0.53</v>
      </c>
    </row>
    <row r="601" spans="1:7" x14ac:dyDescent="0.2">
      <c r="A601" s="1">
        <v>25293</v>
      </c>
      <c r="B601">
        <v>2.64</v>
      </c>
      <c r="C601">
        <v>-0.4</v>
      </c>
      <c r="D601">
        <v>-0.46</v>
      </c>
      <c r="E601">
        <v>-1.35</v>
      </c>
      <c r="F601">
        <v>-0.41</v>
      </c>
      <c r="G601">
        <v>0.46</v>
      </c>
    </row>
    <row r="602" spans="1:7" x14ac:dyDescent="0.2">
      <c r="A602" s="1">
        <v>25262</v>
      </c>
      <c r="B602">
        <v>-5.84</v>
      </c>
      <c r="C602">
        <v>-4.12</v>
      </c>
      <c r="D602">
        <v>0.9</v>
      </c>
      <c r="E602">
        <v>2.1800000000000002</v>
      </c>
      <c r="F602">
        <v>0.79</v>
      </c>
      <c r="G602">
        <v>0.46</v>
      </c>
    </row>
    <row r="603" spans="1:7" x14ac:dyDescent="0.2">
      <c r="A603" s="1">
        <v>25234</v>
      </c>
      <c r="B603">
        <v>-1.25</v>
      </c>
      <c r="C603">
        <v>-0.46</v>
      </c>
      <c r="D603">
        <v>1.69</v>
      </c>
      <c r="E603">
        <v>-1.56</v>
      </c>
      <c r="F603">
        <v>1.38</v>
      </c>
      <c r="G603">
        <v>0.53</v>
      </c>
    </row>
    <row r="604" spans="1:7" x14ac:dyDescent="0.2">
      <c r="A604" s="1">
        <v>25203</v>
      </c>
      <c r="B604">
        <v>-3.94</v>
      </c>
      <c r="C604">
        <v>3.6</v>
      </c>
      <c r="D604">
        <v>0.02</v>
      </c>
      <c r="E604">
        <v>-1.78</v>
      </c>
      <c r="F604">
        <v>1.66</v>
      </c>
      <c r="G604">
        <v>0.43</v>
      </c>
    </row>
    <row r="605" spans="1:7" x14ac:dyDescent="0.2">
      <c r="A605" s="1">
        <v>25172</v>
      </c>
      <c r="B605">
        <v>5.43</v>
      </c>
      <c r="C605">
        <v>2.41</v>
      </c>
      <c r="D605">
        <v>-0.9</v>
      </c>
      <c r="E605">
        <v>0.45</v>
      </c>
      <c r="F605">
        <v>-2.5</v>
      </c>
      <c r="G605">
        <v>0.42</v>
      </c>
    </row>
    <row r="606" spans="1:7" x14ac:dyDescent="0.2">
      <c r="A606" s="1">
        <v>25142</v>
      </c>
      <c r="B606">
        <v>0.42</v>
      </c>
      <c r="C606">
        <v>-0.42</v>
      </c>
      <c r="D606">
        <v>2.89</v>
      </c>
      <c r="E606">
        <v>-1.28</v>
      </c>
      <c r="F606">
        <v>2.79</v>
      </c>
      <c r="G606">
        <v>0.44</v>
      </c>
    </row>
    <row r="607" spans="1:7" x14ac:dyDescent="0.2">
      <c r="A607" s="1">
        <v>25111</v>
      </c>
      <c r="B607">
        <v>4.03</v>
      </c>
      <c r="C607">
        <v>2.78</v>
      </c>
      <c r="D607">
        <v>0.24</v>
      </c>
      <c r="E607">
        <v>-2.0299999999999998</v>
      </c>
      <c r="F607">
        <v>0.89</v>
      </c>
      <c r="G607">
        <v>0.43</v>
      </c>
    </row>
    <row r="608" spans="1:7" x14ac:dyDescent="0.2">
      <c r="A608" s="1">
        <v>25081</v>
      </c>
      <c r="B608">
        <v>1.34</v>
      </c>
      <c r="C608">
        <v>2.29</v>
      </c>
      <c r="D608">
        <v>1</v>
      </c>
      <c r="E608">
        <v>-0.6</v>
      </c>
      <c r="F608">
        <v>0.42</v>
      </c>
      <c r="G608">
        <v>0.42</v>
      </c>
    </row>
    <row r="609" spans="1:7" x14ac:dyDescent="0.2">
      <c r="A609" s="1">
        <v>25050</v>
      </c>
      <c r="B609">
        <v>-2.72</v>
      </c>
      <c r="C609">
        <v>-1.33</v>
      </c>
      <c r="D609">
        <v>5.48</v>
      </c>
      <c r="E609">
        <v>-3</v>
      </c>
      <c r="F609">
        <v>3.59</v>
      </c>
      <c r="G609">
        <v>0.48</v>
      </c>
    </row>
    <row r="610" spans="1:7" x14ac:dyDescent="0.2">
      <c r="A610" s="1">
        <v>25019</v>
      </c>
      <c r="B610">
        <v>0.69</v>
      </c>
      <c r="C610">
        <v>-0.28000000000000003</v>
      </c>
      <c r="D610">
        <v>0.67</v>
      </c>
      <c r="E610">
        <v>-1.33</v>
      </c>
      <c r="F610">
        <v>2.65</v>
      </c>
      <c r="G610">
        <v>0.43</v>
      </c>
    </row>
    <row r="611" spans="1:7" x14ac:dyDescent="0.2">
      <c r="A611" s="1">
        <v>24989</v>
      </c>
      <c r="B611">
        <v>2.2799999999999998</v>
      </c>
      <c r="C611">
        <v>7.02</v>
      </c>
      <c r="D611">
        <v>0.84</v>
      </c>
      <c r="E611">
        <v>0.39</v>
      </c>
      <c r="F611">
        <v>-1.85</v>
      </c>
      <c r="G611">
        <v>0.45</v>
      </c>
    </row>
    <row r="612" spans="1:7" x14ac:dyDescent="0.2">
      <c r="A612" s="1">
        <v>24958</v>
      </c>
      <c r="B612">
        <v>9.0500000000000007</v>
      </c>
      <c r="C612">
        <v>6.25</v>
      </c>
      <c r="D612">
        <v>-1.03</v>
      </c>
      <c r="E612">
        <v>2.79</v>
      </c>
      <c r="F612">
        <v>-3.66</v>
      </c>
      <c r="G612">
        <v>0.43</v>
      </c>
    </row>
    <row r="613" spans="1:7" x14ac:dyDescent="0.2">
      <c r="A613" s="1">
        <v>24928</v>
      </c>
      <c r="B613">
        <v>0.2</v>
      </c>
      <c r="C613">
        <v>-1.52</v>
      </c>
      <c r="D613">
        <v>-0.59</v>
      </c>
      <c r="E613">
        <v>1.17</v>
      </c>
      <c r="F613">
        <v>-1.1499999999999999</v>
      </c>
      <c r="G613">
        <v>0.38</v>
      </c>
    </row>
    <row r="614" spans="1:7" x14ac:dyDescent="0.2">
      <c r="A614" s="1">
        <v>24897</v>
      </c>
      <c r="B614">
        <v>-3.75</v>
      </c>
      <c r="C614">
        <v>-2.92</v>
      </c>
      <c r="D614">
        <v>1.17</v>
      </c>
      <c r="E614">
        <v>-0.14000000000000001</v>
      </c>
      <c r="F614">
        <v>2.48</v>
      </c>
      <c r="G614">
        <v>0.39</v>
      </c>
    </row>
    <row r="615" spans="1:7" x14ac:dyDescent="0.2">
      <c r="A615" s="1">
        <v>24868</v>
      </c>
      <c r="B615">
        <v>-4.0599999999999996</v>
      </c>
      <c r="C615">
        <v>4.4800000000000004</v>
      </c>
      <c r="D615">
        <v>4.75</v>
      </c>
      <c r="E615">
        <v>-4.58</v>
      </c>
      <c r="F615">
        <v>6.45</v>
      </c>
      <c r="G615">
        <v>0.4</v>
      </c>
    </row>
    <row r="616" spans="1:7" x14ac:dyDescent="0.2">
      <c r="A616" s="1">
        <v>24837</v>
      </c>
      <c r="B616">
        <v>3.05</v>
      </c>
      <c r="C616">
        <v>5.76</v>
      </c>
      <c r="D616">
        <v>-0.39</v>
      </c>
      <c r="E616">
        <v>-0.65</v>
      </c>
      <c r="F616">
        <v>0.04</v>
      </c>
      <c r="G616">
        <v>0.33</v>
      </c>
    </row>
    <row r="617" spans="1:7" x14ac:dyDescent="0.2">
      <c r="A617" s="1">
        <v>24806</v>
      </c>
      <c r="B617">
        <v>0.37</v>
      </c>
      <c r="C617">
        <v>-0.05</v>
      </c>
      <c r="D617">
        <v>-1.71</v>
      </c>
      <c r="E617">
        <v>1.29</v>
      </c>
      <c r="F617">
        <v>-2.29</v>
      </c>
      <c r="G617">
        <v>0.36</v>
      </c>
    </row>
    <row r="618" spans="1:7" x14ac:dyDescent="0.2">
      <c r="A618" s="1">
        <v>24776</v>
      </c>
      <c r="B618">
        <v>-3.09</v>
      </c>
      <c r="C618">
        <v>0.46</v>
      </c>
      <c r="D618">
        <v>-3.39</v>
      </c>
      <c r="E618">
        <v>0.81</v>
      </c>
      <c r="F618">
        <v>-2.57</v>
      </c>
      <c r="G618">
        <v>0.39</v>
      </c>
    </row>
    <row r="619" spans="1:7" x14ac:dyDescent="0.2">
      <c r="A619" s="1">
        <v>24745</v>
      </c>
      <c r="B619">
        <v>3.11</v>
      </c>
      <c r="C619">
        <v>2.46</v>
      </c>
      <c r="D619">
        <v>-2.4700000000000002</v>
      </c>
      <c r="E619">
        <v>0.22</v>
      </c>
      <c r="F619">
        <v>-0.96</v>
      </c>
      <c r="G619">
        <v>0.32</v>
      </c>
    </row>
    <row r="620" spans="1:7" x14ac:dyDescent="0.2">
      <c r="A620" s="1">
        <v>24715</v>
      </c>
      <c r="B620">
        <v>-0.89</v>
      </c>
      <c r="C620">
        <v>0.76</v>
      </c>
      <c r="D620">
        <v>1.46</v>
      </c>
      <c r="E620">
        <v>0.42</v>
      </c>
      <c r="F620">
        <v>1.4</v>
      </c>
      <c r="G620">
        <v>0.31</v>
      </c>
    </row>
    <row r="621" spans="1:7" x14ac:dyDescent="0.2">
      <c r="A621" s="1">
        <v>24684</v>
      </c>
      <c r="B621">
        <v>4.58</v>
      </c>
      <c r="C621">
        <v>3.48</v>
      </c>
      <c r="D621">
        <v>2.65</v>
      </c>
      <c r="E621">
        <v>0.51</v>
      </c>
      <c r="F621">
        <v>2.73</v>
      </c>
      <c r="G621">
        <v>0.31</v>
      </c>
    </row>
    <row r="622" spans="1:7" x14ac:dyDescent="0.2">
      <c r="A622" s="1">
        <v>24653</v>
      </c>
      <c r="B622">
        <v>2.41</v>
      </c>
      <c r="C622">
        <v>6.47</v>
      </c>
      <c r="D622">
        <v>0.96</v>
      </c>
      <c r="E622">
        <v>-0.64</v>
      </c>
      <c r="F622">
        <v>-2.38</v>
      </c>
      <c r="G622">
        <v>0.27</v>
      </c>
    </row>
    <row r="623" spans="1:7" x14ac:dyDescent="0.2">
      <c r="A623" s="1">
        <v>24623</v>
      </c>
      <c r="B623">
        <v>-4.33</v>
      </c>
      <c r="C623">
        <v>2.37</v>
      </c>
      <c r="D623">
        <v>0.8</v>
      </c>
      <c r="E623">
        <v>-1.75</v>
      </c>
      <c r="F623">
        <v>1.61</v>
      </c>
      <c r="G623">
        <v>0.33</v>
      </c>
    </row>
    <row r="624" spans="1:7" x14ac:dyDescent="0.2">
      <c r="A624" s="1">
        <v>24592</v>
      </c>
      <c r="B624">
        <v>3.89</v>
      </c>
      <c r="C624">
        <v>0.46</v>
      </c>
      <c r="D624">
        <v>-2.64</v>
      </c>
      <c r="E624">
        <v>2.4300000000000002</v>
      </c>
      <c r="F624">
        <v>-3.75</v>
      </c>
      <c r="G624">
        <v>0.32</v>
      </c>
    </row>
    <row r="625" spans="1:7" x14ac:dyDescent="0.2">
      <c r="A625" s="1">
        <v>24562</v>
      </c>
      <c r="B625">
        <v>3.99</v>
      </c>
      <c r="C625">
        <v>1.91</v>
      </c>
      <c r="D625">
        <v>0.31</v>
      </c>
      <c r="E625">
        <v>0.9</v>
      </c>
      <c r="F625">
        <v>-1.51</v>
      </c>
      <c r="G625">
        <v>0.39</v>
      </c>
    </row>
    <row r="626" spans="1:7" x14ac:dyDescent="0.2">
      <c r="A626" s="1">
        <v>24531</v>
      </c>
      <c r="B626">
        <v>0.78</v>
      </c>
      <c r="C626">
        <v>3.03</v>
      </c>
      <c r="D626">
        <v>-2.17</v>
      </c>
      <c r="E626">
        <v>1.94</v>
      </c>
      <c r="F626">
        <v>-0.94</v>
      </c>
      <c r="G626">
        <v>0.36</v>
      </c>
    </row>
    <row r="627" spans="1:7" x14ac:dyDescent="0.2">
      <c r="A627" s="1">
        <v>24503</v>
      </c>
      <c r="B627">
        <v>8.15</v>
      </c>
      <c r="C627">
        <v>9</v>
      </c>
      <c r="D627">
        <v>2.2200000000000002</v>
      </c>
      <c r="E627">
        <v>0.62</v>
      </c>
      <c r="F627">
        <v>-2.98</v>
      </c>
      <c r="G627">
        <v>0.43</v>
      </c>
    </row>
    <row r="628" spans="1:7" x14ac:dyDescent="0.2">
      <c r="A628" s="1">
        <v>24472</v>
      </c>
      <c r="B628">
        <v>0.13</v>
      </c>
      <c r="C628">
        <v>1.93</v>
      </c>
      <c r="D628">
        <v>-1.22</v>
      </c>
      <c r="E628">
        <v>0.68</v>
      </c>
      <c r="F628">
        <v>-0.13</v>
      </c>
      <c r="G628">
        <v>0.4</v>
      </c>
    </row>
    <row r="629" spans="1:7" x14ac:dyDescent="0.2">
      <c r="A629" s="1">
        <v>24441</v>
      </c>
      <c r="B629">
        <v>1.4</v>
      </c>
      <c r="C629">
        <v>3.37</v>
      </c>
      <c r="D629">
        <v>-4.46</v>
      </c>
      <c r="E629">
        <v>4.17</v>
      </c>
      <c r="F629">
        <v>-6.53</v>
      </c>
      <c r="G629">
        <v>0.4</v>
      </c>
    </row>
    <row r="630" spans="1:7" x14ac:dyDescent="0.2">
      <c r="A630" s="1">
        <v>24411</v>
      </c>
      <c r="B630">
        <v>3.86</v>
      </c>
      <c r="C630">
        <v>-6.53</v>
      </c>
      <c r="D630">
        <v>2.87</v>
      </c>
      <c r="E630">
        <v>-3.64</v>
      </c>
      <c r="F630">
        <v>4.28</v>
      </c>
      <c r="G630">
        <v>0.45</v>
      </c>
    </row>
    <row r="631" spans="1:7" x14ac:dyDescent="0.2">
      <c r="A631" s="1">
        <v>24380</v>
      </c>
      <c r="B631">
        <v>-1.06</v>
      </c>
      <c r="C631">
        <v>-1.19</v>
      </c>
      <c r="D631">
        <v>0.53</v>
      </c>
      <c r="E631">
        <v>-1.65</v>
      </c>
      <c r="F631">
        <v>2.5</v>
      </c>
      <c r="G631">
        <v>0.4</v>
      </c>
    </row>
    <row r="632" spans="1:7" x14ac:dyDescent="0.2">
      <c r="A632" s="1">
        <v>24350</v>
      </c>
      <c r="B632">
        <v>-7.91</v>
      </c>
      <c r="C632">
        <v>-3.03</v>
      </c>
      <c r="D632">
        <v>0.47</v>
      </c>
      <c r="E632">
        <v>0.05</v>
      </c>
      <c r="F632">
        <v>0.77</v>
      </c>
      <c r="G632">
        <v>0.41</v>
      </c>
    </row>
    <row r="633" spans="1:7" x14ac:dyDescent="0.2">
      <c r="A633" s="1">
        <v>24319</v>
      </c>
      <c r="B633">
        <v>-1.63</v>
      </c>
      <c r="C633">
        <v>-0.5</v>
      </c>
      <c r="D633">
        <v>0.96</v>
      </c>
      <c r="E633">
        <v>-0.45</v>
      </c>
      <c r="F633">
        <v>1.78</v>
      </c>
      <c r="G633">
        <v>0.35</v>
      </c>
    </row>
    <row r="634" spans="1:7" x14ac:dyDescent="0.2">
      <c r="A634" s="1">
        <v>24288</v>
      </c>
      <c r="B634">
        <v>-1.44</v>
      </c>
      <c r="C634">
        <v>1.34</v>
      </c>
      <c r="D634">
        <v>0.5</v>
      </c>
      <c r="E634">
        <v>0.06</v>
      </c>
      <c r="F634">
        <v>0.8</v>
      </c>
      <c r="G634">
        <v>0.38</v>
      </c>
    </row>
    <row r="635" spans="1:7" x14ac:dyDescent="0.2">
      <c r="A635" s="1">
        <v>24258</v>
      </c>
      <c r="B635">
        <v>-5.66</v>
      </c>
      <c r="C635">
        <v>-5.19</v>
      </c>
      <c r="D635">
        <v>-1.55</v>
      </c>
      <c r="E635">
        <v>1.66</v>
      </c>
      <c r="F635">
        <v>-1.52</v>
      </c>
      <c r="G635">
        <v>0.41</v>
      </c>
    </row>
    <row r="636" spans="1:7" x14ac:dyDescent="0.2">
      <c r="A636" s="1">
        <v>24227</v>
      </c>
      <c r="B636">
        <v>2.14</v>
      </c>
      <c r="C636">
        <v>3.38</v>
      </c>
      <c r="D636">
        <v>-0.54</v>
      </c>
      <c r="E636">
        <v>0.41</v>
      </c>
      <c r="F636">
        <v>-0.91</v>
      </c>
      <c r="G636">
        <v>0.34</v>
      </c>
    </row>
    <row r="637" spans="1:7" x14ac:dyDescent="0.2">
      <c r="A637" s="1">
        <v>24197</v>
      </c>
      <c r="B637">
        <v>-2.5099999999999998</v>
      </c>
      <c r="C637">
        <v>0.22</v>
      </c>
      <c r="D637">
        <v>-2.0699999999999998</v>
      </c>
      <c r="E637">
        <v>1.3</v>
      </c>
      <c r="F637">
        <v>-0.01</v>
      </c>
      <c r="G637">
        <v>0.38</v>
      </c>
    </row>
    <row r="638" spans="1:7" x14ac:dyDescent="0.2">
      <c r="A638" s="1">
        <v>24166</v>
      </c>
      <c r="B638">
        <v>-1.21</v>
      </c>
      <c r="C638">
        <v>4.8600000000000003</v>
      </c>
      <c r="D638">
        <v>0.27</v>
      </c>
      <c r="E638">
        <v>-0.15</v>
      </c>
      <c r="F638">
        <v>-1.44</v>
      </c>
      <c r="G638">
        <v>0.35</v>
      </c>
    </row>
    <row r="639" spans="1:7" x14ac:dyDescent="0.2">
      <c r="A639" s="1">
        <v>24138</v>
      </c>
      <c r="B639">
        <v>0.72</v>
      </c>
      <c r="C639">
        <v>4.72</v>
      </c>
      <c r="D639">
        <v>3.49</v>
      </c>
      <c r="E639">
        <v>-2.83</v>
      </c>
      <c r="F639">
        <v>-7.0000000000000007E-2</v>
      </c>
      <c r="G639">
        <v>0.38</v>
      </c>
    </row>
    <row r="640" spans="1:7" x14ac:dyDescent="0.2">
      <c r="A640" s="1">
        <v>24107</v>
      </c>
      <c r="B640">
        <v>1.01</v>
      </c>
      <c r="C640">
        <v>2.65</v>
      </c>
      <c r="D640">
        <v>1.95</v>
      </c>
      <c r="E640">
        <v>-1.28</v>
      </c>
      <c r="F640">
        <v>-0.45</v>
      </c>
      <c r="G640">
        <v>0.33</v>
      </c>
    </row>
    <row r="641" spans="1:7" x14ac:dyDescent="0.2">
      <c r="A641" s="1">
        <v>24076</v>
      </c>
      <c r="B641">
        <v>-0.03</v>
      </c>
      <c r="C641">
        <v>5.19</v>
      </c>
      <c r="D641">
        <v>0.21</v>
      </c>
      <c r="E641">
        <v>-1.06</v>
      </c>
      <c r="F641">
        <v>-0.9</v>
      </c>
      <c r="G641">
        <v>0.35</v>
      </c>
    </row>
    <row r="642" spans="1:7" x14ac:dyDescent="0.2">
      <c r="A642" s="1">
        <v>24046</v>
      </c>
      <c r="B642">
        <v>2.6</v>
      </c>
      <c r="C642">
        <v>3.43</v>
      </c>
      <c r="D642">
        <v>1.52</v>
      </c>
      <c r="E642">
        <v>1.22</v>
      </c>
      <c r="F642">
        <v>-0.76</v>
      </c>
      <c r="G642">
        <v>0.31</v>
      </c>
    </row>
    <row r="643" spans="1:7" x14ac:dyDescent="0.2">
      <c r="A643" s="1">
        <v>24015</v>
      </c>
      <c r="B643">
        <v>2.86</v>
      </c>
      <c r="C643">
        <v>0.62</v>
      </c>
      <c r="D643">
        <v>-0.1</v>
      </c>
      <c r="E643">
        <v>-0.82</v>
      </c>
      <c r="F643">
        <v>0.82</v>
      </c>
      <c r="G643">
        <v>0.31</v>
      </c>
    </row>
    <row r="644" spans="1:7" x14ac:dyDescent="0.2">
      <c r="A644" s="1">
        <v>23985</v>
      </c>
      <c r="B644">
        <v>2.73</v>
      </c>
      <c r="C644">
        <v>2.72</v>
      </c>
      <c r="D644">
        <v>-0.96</v>
      </c>
      <c r="E644">
        <v>2.06</v>
      </c>
      <c r="F644">
        <v>-0.76</v>
      </c>
      <c r="G644">
        <v>0.33</v>
      </c>
    </row>
    <row r="645" spans="1:7" x14ac:dyDescent="0.2">
      <c r="A645" s="1">
        <v>23954</v>
      </c>
      <c r="B645">
        <v>1.43</v>
      </c>
      <c r="C645">
        <v>1.07</v>
      </c>
      <c r="D645">
        <v>2.1800000000000002</v>
      </c>
      <c r="E645">
        <v>-1.41</v>
      </c>
      <c r="F645">
        <v>-0.02</v>
      </c>
      <c r="G645">
        <v>0.31</v>
      </c>
    </row>
    <row r="646" spans="1:7" x14ac:dyDescent="0.2">
      <c r="A646" s="1">
        <v>23923</v>
      </c>
      <c r="B646">
        <v>-5.51</v>
      </c>
      <c r="C646">
        <v>-4.3</v>
      </c>
      <c r="D646">
        <v>0.55000000000000004</v>
      </c>
      <c r="E646">
        <v>0.12</v>
      </c>
      <c r="F646">
        <v>0.41</v>
      </c>
      <c r="G646">
        <v>0.35</v>
      </c>
    </row>
    <row r="647" spans="1:7" x14ac:dyDescent="0.2">
      <c r="A647" s="1">
        <v>23893</v>
      </c>
      <c r="B647">
        <v>-0.77</v>
      </c>
      <c r="C647">
        <v>0.06</v>
      </c>
      <c r="D647">
        <v>-1.63</v>
      </c>
      <c r="E647">
        <v>-0.37</v>
      </c>
      <c r="F647">
        <v>0.7</v>
      </c>
      <c r="G647">
        <v>0.31</v>
      </c>
    </row>
    <row r="648" spans="1:7" x14ac:dyDescent="0.2">
      <c r="A648" s="1">
        <v>23862</v>
      </c>
      <c r="B648">
        <v>3.11</v>
      </c>
      <c r="C648">
        <v>1.18</v>
      </c>
      <c r="D648">
        <v>0.71</v>
      </c>
      <c r="E648">
        <v>0.26</v>
      </c>
      <c r="F648">
        <v>-2.2999999999999998</v>
      </c>
      <c r="G648">
        <v>0.31</v>
      </c>
    </row>
    <row r="649" spans="1:7" x14ac:dyDescent="0.2">
      <c r="A649" s="1">
        <v>23832</v>
      </c>
      <c r="B649">
        <v>-1.34</v>
      </c>
      <c r="C649">
        <v>2.0299999999999998</v>
      </c>
      <c r="D649">
        <v>1.0900000000000001</v>
      </c>
      <c r="E649">
        <v>-0.3</v>
      </c>
      <c r="F649">
        <v>0.73</v>
      </c>
      <c r="G649">
        <v>0.36</v>
      </c>
    </row>
    <row r="650" spans="1:7" x14ac:dyDescent="0.2">
      <c r="A650" s="1">
        <v>23801</v>
      </c>
      <c r="B650">
        <v>0.44</v>
      </c>
      <c r="C650">
        <v>3.31</v>
      </c>
      <c r="D650">
        <v>0.22</v>
      </c>
      <c r="E650">
        <v>0.4</v>
      </c>
      <c r="F650">
        <v>-0.69</v>
      </c>
      <c r="G650">
        <v>0.3</v>
      </c>
    </row>
    <row r="651" spans="1:7" x14ac:dyDescent="0.2">
      <c r="A651" s="1">
        <v>23773</v>
      </c>
      <c r="B651">
        <v>3.54</v>
      </c>
      <c r="C651">
        <v>2.4900000000000002</v>
      </c>
      <c r="D651">
        <v>0.18</v>
      </c>
      <c r="E651">
        <v>0.84</v>
      </c>
      <c r="F651">
        <v>0.11</v>
      </c>
      <c r="G651">
        <v>0.28000000000000003</v>
      </c>
    </row>
    <row r="652" spans="1:7" x14ac:dyDescent="0.2">
      <c r="A652" s="1">
        <v>23742</v>
      </c>
      <c r="B652">
        <v>0.03</v>
      </c>
      <c r="C652">
        <v>-0.57999999999999996</v>
      </c>
      <c r="D652">
        <v>-2.5499999999999998</v>
      </c>
      <c r="E652">
        <v>1.1299999999999999</v>
      </c>
      <c r="F652">
        <v>-1.63</v>
      </c>
      <c r="G652">
        <v>0.31</v>
      </c>
    </row>
    <row r="653" spans="1:7" x14ac:dyDescent="0.2">
      <c r="A653" s="1">
        <v>23711</v>
      </c>
      <c r="B653">
        <v>0</v>
      </c>
      <c r="C653">
        <v>-0.27</v>
      </c>
      <c r="D653">
        <v>-1.98</v>
      </c>
      <c r="E653">
        <v>0.6</v>
      </c>
      <c r="F653">
        <v>-0.16</v>
      </c>
      <c r="G653">
        <v>0.28999999999999998</v>
      </c>
    </row>
    <row r="654" spans="1:7" x14ac:dyDescent="0.2">
      <c r="A654" s="1">
        <v>23681</v>
      </c>
      <c r="B654">
        <v>0.59</v>
      </c>
      <c r="C654">
        <v>0.88</v>
      </c>
      <c r="D654">
        <v>1.1399999999999999</v>
      </c>
      <c r="E654">
        <v>-0.28999999999999998</v>
      </c>
      <c r="F654">
        <v>0.48</v>
      </c>
      <c r="G654">
        <v>0.28999999999999998</v>
      </c>
    </row>
    <row r="655" spans="1:7" x14ac:dyDescent="0.2">
      <c r="A655" s="1">
        <v>23650</v>
      </c>
      <c r="B655">
        <v>2.69</v>
      </c>
      <c r="C655">
        <v>-0.31</v>
      </c>
      <c r="D655">
        <v>1.65</v>
      </c>
      <c r="E655">
        <v>-0.48</v>
      </c>
      <c r="F655">
        <v>0.57999999999999996</v>
      </c>
      <c r="G655">
        <v>0.28000000000000003</v>
      </c>
    </row>
    <row r="656" spans="1:7" x14ac:dyDescent="0.2">
      <c r="A656" s="1">
        <v>23620</v>
      </c>
      <c r="B656">
        <v>-1.44</v>
      </c>
      <c r="C656">
        <v>0.3</v>
      </c>
      <c r="D656">
        <v>0.09</v>
      </c>
      <c r="E656">
        <v>0.06</v>
      </c>
      <c r="F656">
        <v>0.36</v>
      </c>
      <c r="G656">
        <v>0.28000000000000003</v>
      </c>
    </row>
    <row r="657" spans="1:7" x14ac:dyDescent="0.2">
      <c r="A657" s="1">
        <v>23589</v>
      </c>
      <c r="B657">
        <v>1.74</v>
      </c>
      <c r="C657">
        <v>0.53</v>
      </c>
      <c r="D657">
        <v>0.68</v>
      </c>
      <c r="E657">
        <v>0.14000000000000001</v>
      </c>
      <c r="F657">
        <v>1.84</v>
      </c>
      <c r="G657">
        <v>0.3</v>
      </c>
    </row>
    <row r="658" spans="1:7" x14ac:dyDescent="0.2">
      <c r="A658" s="1">
        <v>23558</v>
      </c>
      <c r="B658">
        <v>1.27</v>
      </c>
      <c r="C658">
        <v>0.09</v>
      </c>
      <c r="D658">
        <v>0.68</v>
      </c>
      <c r="E658">
        <v>-0.42</v>
      </c>
      <c r="F658">
        <v>0.14000000000000001</v>
      </c>
      <c r="G658">
        <v>0.3</v>
      </c>
    </row>
    <row r="659" spans="1:7" x14ac:dyDescent="0.2">
      <c r="A659" s="1">
        <v>23528</v>
      </c>
      <c r="B659">
        <v>1.42</v>
      </c>
      <c r="C659">
        <v>-0.68</v>
      </c>
      <c r="D659">
        <v>1.98</v>
      </c>
      <c r="E659">
        <v>-0.26</v>
      </c>
      <c r="F659">
        <v>0.24</v>
      </c>
      <c r="G659">
        <v>0.26</v>
      </c>
    </row>
    <row r="660" spans="1:7" x14ac:dyDescent="0.2">
      <c r="A660" s="1">
        <v>23497</v>
      </c>
      <c r="B660">
        <v>0.1</v>
      </c>
      <c r="C660">
        <v>-1.52</v>
      </c>
      <c r="D660">
        <v>-0.55000000000000004</v>
      </c>
      <c r="E660">
        <v>-1.35</v>
      </c>
      <c r="F660">
        <v>-1.08</v>
      </c>
      <c r="G660">
        <v>0.28999999999999998</v>
      </c>
    </row>
    <row r="661" spans="1:7" x14ac:dyDescent="0.2">
      <c r="A661" s="1">
        <v>23467</v>
      </c>
      <c r="B661">
        <v>1.41</v>
      </c>
      <c r="C661">
        <v>1.41</v>
      </c>
      <c r="D661">
        <v>3.32</v>
      </c>
      <c r="E661">
        <v>-2.0099999999999998</v>
      </c>
      <c r="F661">
        <v>2.93</v>
      </c>
      <c r="G661">
        <v>0.31</v>
      </c>
    </row>
    <row r="662" spans="1:7" x14ac:dyDescent="0.2">
      <c r="A662" s="1">
        <v>23436</v>
      </c>
      <c r="B662">
        <v>1.54</v>
      </c>
      <c r="C662">
        <v>0.32</v>
      </c>
      <c r="D662">
        <v>2.83</v>
      </c>
      <c r="E662">
        <v>0.06</v>
      </c>
      <c r="F662">
        <v>0.85</v>
      </c>
      <c r="G662">
        <v>0.26</v>
      </c>
    </row>
    <row r="663" spans="1:7" x14ac:dyDescent="0.2">
      <c r="A663" s="1">
        <v>23407</v>
      </c>
      <c r="B663">
        <v>2.2400000000000002</v>
      </c>
      <c r="C663">
        <v>0.08</v>
      </c>
      <c r="D663">
        <v>1.59</v>
      </c>
      <c r="E663">
        <v>0.22</v>
      </c>
      <c r="F663">
        <v>1.5</v>
      </c>
      <c r="G663">
        <v>0.3</v>
      </c>
    </row>
    <row r="664" spans="1:7" x14ac:dyDescent="0.2">
      <c r="A664" s="1">
        <v>23376</v>
      </c>
      <c r="B664">
        <v>1.83</v>
      </c>
      <c r="C664">
        <v>-1.89</v>
      </c>
      <c r="D664">
        <v>-0.12</v>
      </c>
      <c r="E664">
        <v>0.08</v>
      </c>
      <c r="F664">
        <v>-0.3</v>
      </c>
      <c r="G664">
        <v>0.28999999999999998</v>
      </c>
    </row>
    <row r="665" spans="1:7" x14ac:dyDescent="0.2">
      <c r="A665" s="1">
        <v>23345</v>
      </c>
      <c r="B665">
        <v>-0.85</v>
      </c>
      <c r="C665">
        <v>-0.84</v>
      </c>
      <c r="D665">
        <v>1.71</v>
      </c>
      <c r="E665">
        <v>-0.45</v>
      </c>
      <c r="F665">
        <v>2.2200000000000002</v>
      </c>
      <c r="G665">
        <v>0.27</v>
      </c>
    </row>
    <row r="666" spans="1:7" x14ac:dyDescent="0.2">
      <c r="A666" s="1">
        <v>23315</v>
      </c>
      <c r="B666">
        <v>2.5299999999999998</v>
      </c>
      <c r="C666">
        <v>-1.29</v>
      </c>
      <c r="D666">
        <v>-0.1</v>
      </c>
      <c r="E666">
        <v>2.75</v>
      </c>
      <c r="F666">
        <v>-2.2400000000000002</v>
      </c>
      <c r="G666">
        <v>0.28999999999999998</v>
      </c>
    </row>
    <row r="667" spans="1:7" x14ac:dyDescent="0.2">
      <c r="A667" s="1">
        <v>23284</v>
      </c>
      <c r="B667">
        <v>-1.57</v>
      </c>
      <c r="C667">
        <v>-0.48</v>
      </c>
      <c r="D667">
        <v>0.18</v>
      </c>
      <c r="E667">
        <v>-0.76</v>
      </c>
      <c r="F667">
        <v>0.24</v>
      </c>
      <c r="G667">
        <v>0.27</v>
      </c>
    </row>
    <row r="668" spans="1:7" x14ac:dyDescent="0.2">
      <c r="A668" s="1">
        <v>23254</v>
      </c>
      <c r="B668">
        <v>5.07</v>
      </c>
      <c r="C668">
        <v>-0.79</v>
      </c>
      <c r="D668">
        <v>1.67</v>
      </c>
      <c r="E668">
        <v>0.39</v>
      </c>
      <c r="F668">
        <v>-0.4</v>
      </c>
      <c r="G668">
        <v>0.25</v>
      </c>
    </row>
    <row r="669" spans="1:7" x14ac:dyDescent="0.2">
      <c r="A669" s="1">
        <v>23223</v>
      </c>
      <c r="B669">
        <v>-0.39</v>
      </c>
      <c r="C669">
        <v>-0.47</v>
      </c>
      <c r="D669">
        <v>-0.83</v>
      </c>
      <c r="E669">
        <v>0.66</v>
      </c>
      <c r="F669">
        <v>-1.1499999999999999</v>
      </c>
      <c r="G669">
        <v>0.27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H96"/>
  <sheetViews>
    <sheetView showGridLines="0" topLeftCell="A54" workbookViewId="0">
      <selection activeCell="A2" sqref="A2:G96"/>
    </sheetView>
  </sheetViews>
  <sheetFormatPr defaultRowHeight="14.25" x14ac:dyDescent="0.2"/>
  <cols>
    <col min="1" max="2" width="10.5" customWidth="1"/>
    <col min="3" max="3" width="9.125" customWidth="1"/>
    <col min="14" max="14" width="16.25" bestFit="1" customWidth="1"/>
    <col min="15" max="15" width="11.875" bestFit="1" customWidth="1"/>
  </cols>
  <sheetData>
    <row r="1" spans="1:8" x14ac:dyDescent="0.2">
      <c r="A1" t="s">
        <v>132</v>
      </c>
      <c r="B1" t="s">
        <v>143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</row>
    <row r="2" spans="1:8" x14ac:dyDescent="0.2">
      <c r="A2" s="1">
        <f>Table7[[#This Row],[Date]]</f>
        <v>43524</v>
      </c>
      <c r="B2" s="13">
        <v>1</v>
      </c>
      <c r="C2">
        <f>Table7[[#This Row],[Mkt-RF]]/100</f>
        <v>2.9500000000000002E-2</v>
      </c>
      <c r="D2">
        <f>Table7[[#This Row],[Mkt-RF]]/100</f>
        <v>2.9500000000000002E-2</v>
      </c>
      <c r="E2">
        <f>Table7[[#This Row],[Mkt-RF]]/100</f>
        <v>2.9500000000000002E-2</v>
      </c>
      <c r="F2">
        <f>Table7[[#This Row],[Mkt-RF]]/100</f>
        <v>2.9500000000000002E-2</v>
      </c>
      <c r="G2">
        <f>Table7[[#This Row],[Mkt-RF]]/100</f>
        <v>2.9500000000000002E-2</v>
      </c>
      <c r="H2">
        <f>Table7[[#This Row],[Mkt-RF]]/100</f>
        <v>2.9500000000000002E-2</v>
      </c>
    </row>
    <row r="3" spans="1:8" x14ac:dyDescent="0.2">
      <c r="A3" s="1">
        <v>43434</v>
      </c>
      <c r="B3" s="13">
        <v>1</v>
      </c>
      <c r="C3">
        <f>Table7[[#This Row],[Mkt-RF]]/100</f>
        <v>7.4700000000000003E-2</v>
      </c>
      <c r="D3">
        <f>Table7[[#This Row],[Mkt-RF]]/100</f>
        <v>7.4700000000000003E-2</v>
      </c>
      <c r="E3">
        <f>Table7[[#This Row],[Mkt-RF]]/100</f>
        <v>7.4700000000000003E-2</v>
      </c>
      <c r="F3">
        <f>Table7[[#This Row],[Mkt-RF]]/100</f>
        <v>7.4700000000000003E-2</v>
      </c>
      <c r="G3">
        <f>Table7[[#This Row],[Mkt-RF]]/100</f>
        <v>7.4700000000000003E-2</v>
      </c>
      <c r="H3">
        <f>Table7[[#This Row],[Mkt-RF]]/100</f>
        <v>7.4700000000000003E-2</v>
      </c>
    </row>
    <row r="4" spans="1:8" x14ac:dyDescent="0.2">
      <c r="A4" s="1">
        <v>43404</v>
      </c>
      <c r="B4" s="13">
        <v>1</v>
      </c>
      <c r="C4">
        <f>Table7[[#This Row],[Mkt-RF]]/100</f>
        <v>-9.5500000000000002E-2</v>
      </c>
      <c r="D4">
        <f>Table7[[#This Row],[Mkt-RF]]/100</f>
        <v>-9.5500000000000002E-2</v>
      </c>
      <c r="E4">
        <f>Table7[[#This Row],[Mkt-RF]]/100</f>
        <v>-9.5500000000000002E-2</v>
      </c>
      <c r="F4">
        <f>Table7[[#This Row],[Mkt-RF]]/100</f>
        <v>-9.5500000000000002E-2</v>
      </c>
      <c r="G4">
        <f>Table7[[#This Row],[Mkt-RF]]/100</f>
        <v>-9.5500000000000002E-2</v>
      </c>
      <c r="H4">
        <f>Table7[[#This Row],[Mkt-RF]]/100</f>
        <v>-9.5500000000000002E-2</v>
      </c>
    </row>
    <row r="5" spans="1:8" x14ac:dyDescent="0.2">
      <c r="A5" s="1">
        <v>43373</v>
      </c>
      <c r="B5" s="13">
        <v>1</v>
      </c>
      <c r="C5">
        <f>Table7[[#This Row],[Mkt-RF]]/100</f>
        <v>1.6899999999999998E-2</v>
      </c>
      <c r="D5">
        <f>Table7[[#This Row],[Mkt-RF]]/100</f>
        <v>1.6899999999999998E-2</v>
      </c>
      <c r="E5">
        <f>Table7[[#This Row],[Mkt-RF]]/100</f>
        <v>1.6899999999999998E-2</v>
      </c>
      <c r="F5">
        <f>Table7[[#This Row],[Mkt-RF]]/100</f>
        <v>1.6899999999999998E-2</v>
      </c>
      <c r="G5">
        <f>Table7[[#This Row],[Mkt-RF]]/100</f>
        <v>1.6899999999999998E-2</v>
      </c>
      <c r="H5">
        <f>Table7[[#This Row],[Mkt-RF]]/100</f>
        <v>1.6899999999999998E-2</v>
      </c>
    </row>
    <row r="6" spans="1:8" x14ac:dyDescent="0.2">
      <c r="A6" s="1">
        <v>43343</v>
      </c>
      <c r="B6" s="13">
        <v>1</v>
      </c>
      <c r="C6">
        <f>Table7[[#This Row],[Mkt-RF]]/100</f>
        <v>-7.6799999999999993E-2</v>
      </c>
      <c r="D6">
        <f>Table7[[#This Row],[Mkt-RF]]/100</f>
        <v>-7.6799999999999993E-2</v>
      </c>
      <c r="E6">
        <f>Table7[[#This Row],[Mkt-RF]]/100</f>
        <v>-7.6799999999999993E-2</v>
      </c>
      <c r="F6">
        <f>Table7[[#This Row],[Mkt-RF]]/100</f>
        <v>-7.6799999999999993E-2</v>
      </c>
      <c r="G6">
        <f>Table7[[#This Row],[Mkt-RF]]/100</f>
        <v>-7.6799999999999993E-2</v>
      </c>
      <c r="H6">
        <f>Table7[[#This Row],[Mkt-RF]]/100</f>
        <v>-7.6799999999999993E-2</v>
      </c>
    </row>
    <row r="7" spans="1:8" x14ac:dyDescent="0.2">
      <c r="A7" s="1">
        <v>43312</v>
      </c>
      <c r="B7" s="13">
        <v>1</v>
      </c>
      <c r="C7">
        <f>Table7[[#This Row],[Mkt-RF]]/100</f>
        <v>5.9999999999999995E-4</v>
      </c>
      <c r="D7">
        <f>Table7[[#This Row],[Mkt-RF]]/100</f>
        <v>5.9999999999999995E-4</v>
      </c>
      <c r="E7">
        <f>Table7[[#This Row],[Mkt-RF]]/100</f>
        <v>5.9999999999999995E-4</v>
      </c>
      <c r="F7">
        <f>Table7[[#This Row],[Mkt-RF]]/100</f>
        <v>5.9999999999999995E-4</v>
      </c>
      <c r="G7">
        <f>Table7[[#This Row],[Mkt-RF]]/100</f>
        <v>5.9999999999999995E-4</v>
      </c>
      <c r="H7">
        <f>Table7[[#This Row],[Mkt-RF]]/100</f>
        <v>5.9999999999999995E-4</v>
      </c>
    </row>
    <row r="8" spans="1:8" x14ac:dyDescent="0.2">
      <c r="A8" s="1">
        <v>43281</v>
      </c>
      <c r="B8" s="13">
        <v>1</v>
      </c>
      <c r="C8">
        <f>Table7[[#This Row],[Mkt-RF]]/100</f>
        <v>3.44E-2</v>
      </c>
      <c r="D8">
        <f>Table7[[#This Row],[Mkt-RF]]/100</f>
        <v>3.44E-2</v>
      </c>
      <c r="E8">
        <f>Table7[[#This Row],[Mkt-RF]]/100</f>
        <v>3.44E-2</v>
      </c>
      <c r="F8">
        <f>Table7[[#This Row],[Mkt-RF]]/100</f>
        <v>3.44E-2</v>
      </c>
      <c r="G8">
        <f>Table7[[#This Row],[Mkt-RF]]/100</f>
        <v>3.44E-2</v>
      </c>
      <c r="H8">
        <f>Table7[[#This Row],[Mkt-RF]]/100</f>
        <v>3.44E-2</v>
      </c>
    </row>
    <row r="9" spans="1:8" x14ac:dyDescent="0.2">
      <c r="A9" s="1">
        <v>43251</v>
      </c>
      <c r="B9" s="13">
        <v>1</v>
      </c>
      <c r="C9">
        <f>Table7[[#This Row],[Mkt-RF]]/100</f>
        <v>3.1899999999999998E-2</v>
      </c>
      <c r="D9">
        <f>Table7[[#This Row],[Mkt-RF]]/100</f>
        <v>3.1899999999999998E-2</v>
      </c>
      <c r="E9">
        <f>Table7[[#This Row],[Mkt-RF]]/100</f>
        <v>3.1899999999999998E-2</v>
      </c>
      <c r="F9">
        <f>Table7[[#This Row],[Mkt-RF]]/100</f>
        <v>3.1899999999999998E-2</v>
      </c>
      <c r="G9">
        <f>Table7[[#This Row],[Mkt-RF]]/100</f>
        <v>3.1899999999999998E-2</v>
      </c>
      <c r="H9">
        <f>Table7[[#This Row],[Mkt-RF]]/100</f>
        <v>3.1899999999999998E-2</v>
      </c>
    </row>
    <row r="10" spans="1:8" x14ac:dyDescent="0.2">
      <c r="A10" s="1">
        <v>43220</v>
      </c>
      <c r="B10" s="13">
        <v>1</v>
      </c>
      <c r="C10">
        <f>Table7[[#This Row],[Mkt-RF]]/100</f>
        <v>4.7999999999999996E-3</v>
      </c>
      <c r="D10">
        <f>Table7[[#This Row],[Mkt-RF]]/100</f>
        <v>4.7999999999999996E-3</v>
      </c>
      <c r="E10">
        <f>Table7[[#This Row],[Mkt-RF]]/100</f>
        <v>4.7999999999999996E-3</v>
      </c>
      <c r="F10">
        <f>Table7[[#This Row],[Mkt-RF]]/100</f>
        <v>4.7999999999999996E-3</v>
      </c>
      <c r="G10">
        <f>Table7[[#This Row],[Mkt-RF]]/100</f>
        <v>4.7999999999999996E-3</v>
      </c>
      <c r="H10">
        <f>Table7[[#This Row],[Mkt-RF]]/100</f>
        <v>4.7999999999999996E-3</v>
      </c>
    </row>
    <row r="11" spans="1:8" x14ac:dyDescent="0.2">
      <c r="A11" s="1">
        <v>43190</v>
      </c>
      <c r="B11" s="13">
        <v>1</v>
      </c>
      <c r="C11">
        <f>Table7[[#This Row],[Mkt-RF]]/100</f>
        <v>2.6499999999999999E-2</v>
      </c>
      <c r="D11">
        <f>Table7[[#This Row],[Mkt-RF]]/100</f>
        <v>2.6499999999999999E-2</v>
      </c>
      <c r="E11">
        <f>Table7[[#This Row],[Mkt-RF]]/100</f>
        <v>2.6499999999999999E-2</v>
      </c>
      <c r="F11">
        <f>Table7[[#This Row],[Mkt-RF]]/100</f>
        <v>2.6499999999999999E-2</v>
      </c>
      <c r="G11">
        <f>Table7[[#This Row],[Mkt-RF]]/100</f>
        <v>2.6499999999999999E-2</v>
      </c>
      <c r="H11">
        <f>Table7[[#This Row],[Mkt-RF]]/100</f>
        <v>2.6499999999999999E-2</v>
      </c>
    </row>
    <row r="12" spans="1:8" x14ac:dyDescent="0.2">
      <c r="A12" s="1">
        <v>43159</v>
      </c>
      <c r="B12" s="13">
        <v>1</v>
      </c>
      <c r="C12">
        <f>Table7[[#This Row],[Mkt-RF]]/100</f>
        <v>2.8999999999999998E-3</v>
      </c>
      <c r="D12">
        <f>Table7[[#This Row],[Mkt-RF]]/100</f>
        <v>2.8999999999999998E-3</v>
      </c>
      <c r="E12">
        <f>Table7[[#This Row],[Mkt-RF]]/100</f>
        <v>2.8999999999999998E-3</v>
      </c>
      <c r="F12">
        <f>Table7[[#This Row],[Mkt-RF]]/100</f>
        <v>2.8999999999999998E-3</v>
      </c>
      <c r="G12">
        <f>Table7[[#This Row],[Mkt-RF]]/100</f>
        <v>2.8999999999999998E-3</v>
      </c>
      <c r="H12">
        <f>Table7[[#This Row],[Mkt-RF]]/100</f>
        <v>2.8999999999999998E-3</v>
      </c>
    </row>
    <row r="13" spans="1:8" x14ac:dyDescent="0.2">
      <c r="A13" s="1">
        <v>43131</v>
      </c>
      <c r="B13" s="13">
        <v>1</v>
      </c>
      <c r="C13">
        <f>Table7[[#This Row],[Mkt-RF]]/100</f>
        <v>-2.35E-2</v>
      </c>
      <c r="D13">
        <f>Table7[[#This Row],[Mkt-RF]]/100</f>
        <v>-2.35E-2</v>
      </c>
      <c r="E13">
        <f>Table7[[#This Row],[Mkt-RF]]/100</f>
        <v>-2.35E-2</v>
      </c>
      <c r="F13">
        <f>Table7[[#This Row],[Mkt-RF]]/100</f>
        <v>-2.35E-2</v>
      </c>
      <c r="G13">
        <f>Table7[[#This Row],[Mkt-RF]]/100</f>
        <v>-2.35E-2</v>
      </c>
      <c r="H13">
        <f>Table7[[#This Row],[Mkt-RF]]/100</f>
        <v>-2.35E-2</v>
      </c>
    </row>
    <row r="14" spans="1:8" x14ac:dyDescent="0.2">
      <c r="A14" s="1">
        <v>43100</v>
      </c>
      <c r="B14" s="13">
        <v>1</v>
      </c>
      <c r="C14">
        <f>Table7[[#This Row],[Mkt-RF]]/100</f>
        <v>-3.6499999999999998E-2</v>
      </c>
      <c r="D14">
        <f>Table7[[#This Row],[Mkt-RF]]/100</f>
        <v>-3.6499999999999998E-2</v>
      </c>
      <c r="E14">
        <f>Table7[[#This Row],[Mkt-RF]]/100</f>
        <v>-3.6499999999999998E-2</v>
      </c>
      <c r="F14">
        <f>Table7[[#This Row],[Mkt-RF]]/100</f>
        <v>-3.6499999999999998E-2</v>
      </c>
      <c r="G14">
        <f>Table7[[#This Row],[Mkt-RF]]/100</f>
        <v>-3.6499999999999998E-2</v>
      </c>
      <c r="H14">
        <f>Table7[[#This Row],[Mkt-RF]]/100</f>
        <v>-3.6499999999999998E-2</v>
      </c>
    </row>
    <row r="15" spans="1:8" x14ac:dyDescent="0.2">
      <c r="A15" s="1">
        <v>43069</v>
      </c>
      <c r="B15" s="13">
        <v>1</v>
      </c>
      <c r="C15">
        <f>Table7[[#This Row],[Mkt-RF]]/100</f>
        <v>5.5800000000000002E-2</v>
      </c>
      <c r="D15">
        <f>Table7[[#This Row],[Mkt-RF]]/100</f>
        <v>5.5800000000000002E-2</v>
      </c>
      <c r="E15">
        <f>Table7[[#This Row],[Mkt-RF]]/100</f>
        <v>5.5800000000000002E-2</v>
      </c>
      <c r="F15">
        <f>Table7[[#This Row],[Mkt-RF]]/100</f>
        <v>5.5800000000000002E-2</v>
      </c>
      <c r="G15">
        <f>Table7[[#This Row],[Mkt-RF]]/100</f>
        <v>5.5800000000000002E-2</v>
      </c>
      <c r="H15">
        <f>Table7[[#This Row],[Mkt-RF]]/100</f>
        <v>5.5800000000000002E-2</v>
      </c>
    </row>
    <row r="16" spans="1:8" x14ac:dyDescent="0.2">
      <c r="A16" s="1">
        <v>43039</v>
      </c>
      <c r="B16" s="13">
        <v>1</v>
      </c>
      <c r="C16">
        <f>Table7[[#This Row],[Mkt-RF]]/100</f>
        <v>1.06E-2</v>
      </c>
      <c r="D16">
        <f>Table7[[#This Row],[Mkt-RF]]/100</f>
        <v>1.06E-2</v>
      </c>
      <c r="E16">
        <f>Table7[[#This Row],[Mkt-RF]]/100</f>
        <v>1.06E-2</v>
      </c>
      <c r="F16">
        <f>Table7[[#This Row],[Mkt-RF]]/100</f>
        <v>1.06E-2</v>
      </c>
      <c r="G16">
        <f>Table7[[#This Row],[Mkt-RF]]/100</f>
        <v>1.06E-2</v>
      </c>
      <c r="H16">
        <f>Table7[[#This Row],[Mkt-RF]]/100</f>
        <v>1.06E-2</v>
      </c>
    </row>
    <row r="17" spans="1:8" x14ac:dyDescent="0.2">
      <c r="A17" s="1">
        <v>43008</v>
      </c>
      <c r="B17" s="13">
        <v>1</v>
      </c>
      <c r="C17">
        <f>Table7[[#This Row],[Mkt-RF]]/100</f>
        <v>3.1200000000000002E-2</v>
      </c>
      <c r="D17">
        <f>Table7[[#This Row],[Mkt-RF]]/100</f>
        <v>3.1200000000000002E-2</v>
      </c>
      <c r="E17">
        <f>Table7[[#This Row],[Mkt-RF]]/100</f>
        <v>3.1200000000000002E-2</v>
      </c>
      <c r="F17">
        <f>Table7[[#This Row],[Mkt-RF]]/100</f>
        <v>3.1200000000000002E-2</v>
      </c>
      <c r="G17">
        <f>Table7[[#This Row],[Mkt-RF]]/100</f>
        <v>3.1200000000000002E-2</v>
      </c>
      <c r="H17">
        <f>Table7[[#This Row],[Mkt-RF]]/100</f>
        <v>3.1200000000000002E-2</v>
      </c>
    </row>
    <row r="18" spans="1:8" x14ac:dyDescent="0.2">
      <c r="A18" s="1">
        <v>42978</v>
      </c>
      <c r="B18" s="13">
        <v>1</v>
      </c>
      <c r="C18">
        <f>Table7[[#This Row],[Mkt-RF]]/100</f>
        <v>2.2499999999999999E-2</v>
      </c>
      <c r="D18">
        <f>Table7[[#This Row],[Mkt-RF]]/100</f>
        <v>2.2499999999999999E-2</v>
      </c>
      <c r="E18">
        <f>Table7[[#This Row],[Mkt-RF]]/100</f>
        <v>2.2499999999999999E-2</v>
      </c>
      <c r="F18">
        <f>Table7[[#This Row],[Mkt-RF]]/100</f>
        <v>2.2499999999999999E-2</v>
      </c>
      <c r="G18">
        <f>Table7[[#This Row],[Mkt-RF]]/100</f>
        <v>2.2499999999999999E-2</v>
      </c>
      <c r="H18">
        <f>Table7[[#This Row],[Mkt-RF]]/100</f>
        <v>2.2499999999999999E-2</v>
      </c>
    </row>
    <row r="19" spans="1:8" x14ac:dyDescent="0.2">
      <c r="A19" s="1">
        <v>42947</v>
      </c>
      <c r="B19" s="13">
        <v>1</v>
      </c>
      <c r="C19">
        <f>Table7[[#This Row],[Mkt-RF]]/100</f>
        <v>2.5099999999999997E-2</v>
      </c>
      <c r="D19">
        <f>Table7[[#This Row],[Mkt-RF]]/100</f>
        <v>2.5099999999999997E-2</v>
      </c>
      <c r="E19">
        <f>Table7[[#This Row],[Mkt-RF]]/100</f>
        <v>2.5099999999999997E-2</v>
      </c>
      <c r="F19">
        <f>Table7[[#This Row],[Mkt-RF]]/100</f>
        <v>2.5099999999999997E-2</v>
      </c>
      <c r="G19">
        <f>Table7[[#This Row],[Mkt-RF]]/100</f>
        <v>2.5099999999999997E-2</v>
      </c>
      <c r="H19">
        <f>Table7[[#This Row],[Mkt-RF]]/100</f>
        <v>2.5099999999999997E-2</v>
      </c>
    </row>
    <row r="20" spans="1:8" x14ac:dyDescent="0.2">
      <c r="A20" s="1">
        <v>42916</v>
      </c>
      <c r="B20" s="13">
        <v>1</v>
      </c>
      <c r="C20">
        <f>Table7[[#This Row],[Mkt-RF]]/100</f>
        <v>1.6000000000000001E-3</v>
      </c>
      <c r="D20">
        <f>Table7[[#This Row],[Mkt-RF]]/100</f>
        <v>1.6000000000000001E-3</v>
      </c>
      <c r="E20">
        <f>Table7[[#This Row],[Mkt-RF]]/100</f>
        <v>1.6000000000000001E-3</v>
      </c>
      <c r="F20">
        <f>Table7[[#This Row],[Mkt-RF]]/100</f>
        <v>1.6000000000000001E-3</v>
      </c>
      <c r="G20">
        <f>Table7[[#This Row],[Mkt-RF]]/100</f>
        <v>1.6000000000000001E-3</v>
      </c>
      <c r="H20">
        <f>Table7[[#This Row],[Mkt-RF]]/100</f>
        <v>1.6000000000000001E-3</v>
      </c>
    </row>
    <row r="21" spans="1:8" x14ac:dyDescent="0.2">
      <c r="A21" s="1">
        <v>42886</v>
      </c>
      <c r="B21" s="13">
        <v>1</v>
      </c>
      <c r="C21">
        <f>Table7[[#This Row],[Mkt-RF]]/100</f>
        <v>1.8700000000000001E-2</v>
      </c>
      <c r="D21">
        <f>Table7[[#This Row],[Mkt-RF]]/100</f>
        <v>1.8700000000000001E-2</v>
      </c>
      <c r="E21">
        <f>Table7[[#This Row],[Mkt-RF]]/100</f>
        <v>1.8700000000000001E-2</v>
      </c>
      <c r="F21">
        <f>Table7[[#This Row],[Mkt-RF]]/100</f>
        <v>1.8700000000000001E-2</v>
      </c>
      <c r="G21">
        <f>Table7[[#This Row],[Mkt-RF]]/100</f>
        <v>1.8700000000000001E-2</v>
      </c>
      <c r="H21">
        <f>Table7[[#This Row],[Mkt-RF]]/100</f>
        <v>1.8700000000000001E-2</v>
      </c>
    </row>
    <row r="22" spans="1:8" x14ac:dyDescent="0.2">
      <c r="A22" s="1">
        <v>42855</v>
      </c>
      <c r="B22" s="13">
        <v>1</v>
      </c>
      <c r="C22">
        <f>Table7[[#This Row],[Mkt-RF]]/100</f>
        <v>7.8000000000000005E-3</v>
      </c>
      <c r="D22">
        <f>Table7[[#This Row],[Mkt-RF]]/100</f>
        <v>7.8000000000000005E-3</v>
      </c>
      <c r="E22">
        <f>Table7[[#This Row],[Mkt-RF]]/100</f>
        <v>7.8000000000000005E-3</v>
      </c>
      <c r="F22">
        <f>Table7[[#This Row],[Mkt-RF]]/100</f>
        <v>7.8000000000000005E-3</v>
      </c>
      <c r="G22">
        <f>Table7[[#This Row],[Mkt-RF]]/100</f>
        <v>7.8000000000000005E-3</v>
      </c>
      <c r="H22">
        <f>Table7[[#This Row],[Mkt-RF]]/100</f>
        <v>7.8000000000000005E-3</v>
      </c>
    </row>
    <row r="23" spans="1:8" x14ac:dyDescent="0.2">
      <c r="A23" s="1">
        <v>42825</v>
      </c>
      <c r="B23" s="13">
        <v>1</v>
      </c>
      <c r="C23">
        <f>Table7[[#This Row],[Mkt-RF]]/100</f>
        <v>1.06E-2</v>
      </c>
      <c r="D23">
        <f>Table7[[#This Row],[Mkt-RF]]/100</f>
        <v>1.06E-2</v>
      </c>
      <c r="E23">
        <f>Table7[[#This Row],[Mkt-RF]]/100</f>
        <v>1.06E-2</v>
      </c>
      <c r="F23">
        <f>Table7[[#This Row],[Mkt-RF]]/100</f>
        <v>1.06E-2</v>
      </c>
      <c r="G23">
        <f>Table7[[#This Row],[Mkt-RF]]/100</f>
        <v>1.06E-2</v>
      </c>
      <c r="H23">
        <f>Table7[[#This Row],[Mkt-RF]]/100</f>
        <v>1.06E-2</v>
      </c>
    </row>
    <row r="24" spans="1:8" x14ac:dyDescent="0.2">
      <c r="A24" s="1">
        <v>42794</v>
      </c>
      <c r="B24" s="13">
        <v>1</v>
      </c>
      <c r="C24">
        <f>Table7[[#This Row],[Mkt-RF]]/100</f>
        <v>1.09E-2</v>
      </c>
      <c r="D24">
        <f>Table7[[#This Row],[Mkt-RF]]/100</f>
        <v>1.09E-2</v>
      </c>
      <c r="E24">
        <f>Table7[[#This Row],[Mkt-RF]]/100</f>
        <v>1.09E-2</v>
      </c>
      <c r="F24">
        <f>Table7[[#This Row],[Mkt-RF]]/100</f>
        <v>1.09E-2</v>
      </c>
      <c r="G24">
        <f>Table7[[#This Row],[Mkt-RF]]/100</f>
        <v>1.09E-2</v>
      </c>
      <c r="H24">
        <f>Table7[[#This Row],[Mkt-RF]]/100</f>
        <v>1.09E-2</v>
      </c>
    </row>
    <row r="25" spans="1:8" x14ac:dyDescent="0.2">
      <c r="A25" s="1">
        <v>42766</v>
      </c>
      <c r="B25" s="13">
        <v>1</v>
      </c>
      <c r="C25">
        <f>Table7[[#This Row],[Mkt-RF]]/100</f>
        <v>1.7000000000000001E-3</v>
      </c>
      <c r="D25">
        <f>Table7[[#This Row],[Mkt-RF]]/100</f>
        <v>1.7000000000000001E-3</v>
      </c>
      <c r="E25">
        <f>Table7[[#This Row],[Mkt-RF]]/100</f>
        <v>1.7000000000000001E-3</v>
      </c>
      <c r="F25">
        <f>Table7[[#This Row],[Mkt-RF]]/100</f>
        <v>1.7000000000000001E-3</v>
      </c>
      <c r="G25">
        <f>Table7[[#This Row],[Mkt-RF]]/100</f>
        <v>1.7000000000000001E-3</v>
      </c>
      <c r="H25">
        <f>Table7[[#This Row],[Mkt-RF]]/100</f>
        <v>1.7000000000000001E-3</v>
      </c>
    </row>
    <row r="26" spans="1:8" x14ac:dyDescent="0.2">
      <c r="A26" s="1">
        <v>42735</v>
      </c>
      <c r="B26" s="13">
        <v>1</v>
      </c>
      <c r="C26">
        <f>Table7[[#This Row],[Mkt-RF]]/100</f>
        <v>3.5699999999999996E-2</v>
      </c>
      <c r="D26">
        <f>Table7[[#This Row],[Mkt-RF]]/100</f>
        <v>3.5699999999999996E-2</v>
      </c>
      <c r="E26">
        <f>Table7[[#This Row],[Mkt-RF]]/100</f>
        <v>3.5699999999999996E-2</v>
      </c>
      <c r="F26">
        <f>Table7[[#This Row],[Mkt-RF]]/100</f>
        <v>3.5699999999999996E-2</v>
      </c>
      <c r="G26">
        <f>Table7[[#This Row],[Mkt-RF]]/100</f>
        <v>3.5699999999999996E-2</v>
      </c>
      <c r="H26">
        <f>Table7[[#This Row],[Mkt-RF]]/100</f>
        <v>3.5699999999999996E-2</v>
      </c>
    </row>
    <row r="27" spans="1:8" x14ac:dyDescent="0.2">
      <c r="A27" s="1">
        <v>42704</v>
      </c>
      <c r="B27" s="13">
        <v>1</v>
      </c>
      <c r="C27">
        <f>Table7[[#This Row],[Mkt-RF]]/100</f>
        <v>1.9400000000000001E-2</v>
      </c>
      <c r="D27">
        <f>Table7[[#This Row],[Mkt-RF]]/100</f>
        <v>1.9400000000000001E-2</v>
      </c>
      <c r="E27">
        <f>Table7[[#This Row],[Mkt-RF]]/100</f>
        <v>1.9400000000000001E-2</v>
      </c>
      <c r="F27">
        <f>Table7[[#This Row],[Mkt-RF]]/100</f>
        <v>1.9400000000000001E-2</v>
      </c>
      <c r="G27">
        <f>Table7[[#This Row],[Mkt-RF]]/100</f>
        <v>1.9400000000000001E-2</v>
      </c>
      <c r="H27">
        <f>Table7[[#This Row],[Mkt-RF]]/100</f>
        <v>1.9400000000000001E-2</v>
      </c>
    </row>
    <row r="28" spans="1:8" x14ac:dyDescent="0.2">
      <c r="A28" s="1">
        <v>42674</v>
      </c>
      <c r="B28" s="13">
        <v>1</v>
      </c>
      <c r="C28">
        <f>Table7[[#This Row],[Mkt-RF]]/100</f>
        <v>1.8200000000000001E-2</v>
      </c>
      <c r="D28">
        <f>Table7[[#This Row],[Mkt-RF]]/100</f>
        <v>1.8200000000000001E-2</v>
      </c>
      <c r="E28">
        <f>Table7[[#This Row],[Mkt-RF]]/100</f>
        <v>1.8200000000000001E-2</v>
      </c>
      <c r="F28">
        <f>Table7[[#This Row],[Mkt-RF]]/100</f>
        <v>1.8200000000000001E-2</v>
      </c>
      <c r="G28">
        <f>Table7[[#This Row],[Mkt-RF]]/100</f>
        <v>1.8200000000000001E-2</v>
      </c>
      <c r="H28">
        <f>Table7[[#This Row],[Mkt-RF]]/100</f>
        <v>1.8200000000000001E-2</v>
      </c>
    </row>
    <row r="29" spans="1:8" x14ac:dyDescent="0.2">
      <c r="A29" s="1">
        <v>42643</v>
      </c>
      <c r="B29" s="13">
        <v>1</v>
      </c>
      <c r="C29">
        <f>Table7[[#This Row],[Mkt-RF]]/100</f>
        <v>4.8600000000000004E-2</v>
      </c>
      <c r="D29">
        <f>Table7[[#This Row],[Mkt-RF]]/100</f>
        <v>4.8600000000000004E-2</v>
      </c>
      <c r="E29">
        <f>Table7[[#This Row],[Mkt-RF]]/100</f>
        <v>4.8600000000000004E-2</v>
      </c>
      <c r="F29">
        <f>Table7[[#This Row],[Mkt-RF]]/100</f>
        <v>4.8600000000000004E-2</v>
      </c>
      <c r="G29">
        <f>Table7[[#This Row],[Mkt-RF]]/100</f>
        <v>4.8600000000000004E-2</v>
      </c>
      <c r="H29">
        <f>Table7[[#This Row],[Mkt-RF]]/100</f>
        <v>4.8600000000000004E-2</v>
      </c>
    </row>
    <row r="30" spans="1:8" x14ac:dyDescent="0.2">
      <c r="A30" s="1">
        <v>42613</v>
      </c>
      <c r="B30" s="13">
        <v>1</v>
      </c>
      <c r="C30">
        <f>Table7[[#This Row],[Mkt-RF]]/100</f>
        <v>-2.0199999999999999E-2</v>
      </c>
      <c r="D30">
        <f>Table7[[#This Row],[Mkt-RF]]/100</f>
        <v>-2.0199999999999999E-2</v>
      </c>
      <c r="E30">
        <f>Table7[[#This Row],[Mkt-RF]]/100</f>
        <v>-2.0199999999999999E-2</v>
      </c>
      <c r="F30">
        <f>Table7[[#This Row],[Mkt-RF]]/100</f>
        <v>-2.0199999999999999E-2</v>
      </c>
      <c r="G30">
        <f>Table7[[#This Row],[Mkt-RF]]/100</f>
        <v>-2.0199999999999999E-2</v>
      </c>
      <c r="H30">
        <f>Table7[[#This Row],[Mkt-RF]]/100</f>
        <v>-2.0199999999999999E-2</v>
      </c>
    </row>
    <row r="31" spans="1:8" x14ac:dyDescent="0.2">
      <c r="A31" s="1">
        <v>42582</v>
      </c>
      <c r="B31" s="13">
        <v>1</v>
      </c>
      <c r="C31">
        <f>Table7[[#This Row],[Mkt-RF]]/100</f>
        <v>2.5000000000000001E-3</v>
      </c>
      <c r="D31">
        <f>Table7[[#This Row],[Mkt-RF]]/100</f>
        <v>2.5000000000000001E-3</v>
      </c>
      <c r="E31">
        <f>Table7[[#This Row],[Mkt-RF]]/100</f>
        <v>2.5000000000000001E-3</v>
      </c>
      <c r="F31">
        <f>Table7[[#This Row],[Mkt-RF]]/100</f>
        <v>2.5000000000000001E-3</v>
      </c>
      <c r="G31">
        <f>Table7[[#This Row],[Mkt-RF]]/100</f>
        <v>2.5000000000000001E-3</v>
      </c>
      <c r="H31">
        <f>Table7[[#This Row],[Mkt-RF]]/100</f>
        <v>2.5000000000000001E-3</v>
      </c>
    </row>
    <row r="32" spans="1:8" x14ac:dyDescent="0.2">
      <c r="A32" s="1">
        <v>42551</v>
      </c>
      <c r="B32" s="13">
        <v>1</v>
      </c>
      <c r="C32">
        <f>Table7[[#This Row],[Mkt-RF]]/100</f>
        <v>5.0000000000000001E-3</v>
      </c>
      <c r="D32">
        <f>Table7[[#This Row],[Mkt-RF]]/100</f>
        <v>5.0000000000000001E-3</v>
      </c>
      <c r="E32">
        <f>Table7[[#This Row],[Mkt-RF]]/100</f>
        <v>5.0000000000000001E-3</v>
      </c>
      <c r="F32">
        <f>Table7[[#This Row],[Mkt-RF]]/100</f>
        <v>5.0000000000000001E-3</v>
      </c>
      <c r="G32">
        <f>Table7[[#This Row],[Mkt-RF]]/100</f>
        <v>5.0000000000000001E-3</v>
      </c>
      <c r="H32">
        <f>Table7[[#This Row],[Mkt-RF]]/100</f>
        <v>5.0000000000000001E-3</v>
      </c>
    </row>
    <row r="33" spans="1:8" x14ac:dyDescent="0.2">
      <c r="A33" s="1">
        <v>42521</v>
      </c>
      <c r="B33" s="13">
        <v>1</v>
      </c>
      <c r="C33">
        <f>Table7[[#This Row],[Mkt-RF]]/100</f>
        <v>3.95E-2</v>
      </c>
      <c r="D33">
        <f>Table7[[#This Row],[Mkt-RF]]/100</f>
        <v>3.95E-2</v>
      </c>
      <c r="E33">
        <f>Table7[[#This Row],[Mkt-RF]]/100</f>
        <v>3.95E-2</v>
      </c>
      <c r="F33">
        <f>Table7[[#This Row],[Mkt-RF]]/100</f>
        <v>3.95E-2</v>
      </c>
      <c r="G33">
        <f>Table7[[#This Row],[Mkt-RF]]/100</f>
        <v>3.95E-2</v>
      </c>
      <c r="H33">
        <f>Table7[[#This Row],[Mkt-RF]]/100</f>
        <v>3.95E-2</v>
      </c>
    </row>
    <row r="34" spans="1:8" x14ac:dyDescent="0.2">
      <c r="A34" s="1">
        <v>42490</v>
      </c>
      <c r="B34" s="13">
        <v>1</v>
      </c>
      <c r="C34">
        <f>Table7[[#This Row],[Mkt-RF]]/100</f>
        <v>-5.0000000000000001E-4</v>
      </c>
      <c r="D34">
        <f>Table7[[#This Row],[Mkt-RF]]/100</f>
        <v>-5.0000000000000001E-4</v>
      </c>
      <c r="E34">
        <f>Table7[[#This Row],[Mkt-RF]]/100</f>
        <v>-5.0000000000000001E-4</v>
      </c>
      <c r="F34">
        <f>Table7[[#This Row],[Mkt-RF]]/100</f>
        <v>-5.0000000000000001E-4</v>
      </c>
      <c r="G34">
        <f>Table7[[#This Row],[Mkt-RF]]/100</f>
        <v>-5.0000000000000001E-4</v>
      </c>
      <c r="H34">
        <f>Table7[[#This Row],[Mkt-RF]]/100</f>
        <v>-5.0000000000000001E-4</v>
      </c>
    </row>
    <row r="35" spans="1:8" x14ac:dyDescent="0.2">
      <c r="A35" s="1">
        <v>42460</v>
      </c>
      <c r="B35" s="13">
        <v>1</v>
      </c>
      <c r="C35">
        <f>Table7[[#This Row],[Mkt-RF]]/100</f>
        <v>1.78E-2</v>
      </c>
      <c r="D35">
        <f>Table7[[#This Row],[Mkt-RF]]/100</f>
        <v>1.78E-2</v>
      </c>
      <c r="E35">
        <f>Table7[[#This Row],[Mkt-RF]]/100</f>
        <v>1.78E-2</v>
      </c>
      <c r="F35">
        <f>Table7[[#This Row],[Mkt-RF]]/100</f>
        <v>1.78E-2</v>
      </c>
      <c r="G35">
        <f>Table7[[#This Row],[Mkt-RF]]/100</f>
        <v>1.78E-2</v>
      </c>
      <c r="H35">
        <f>Table7[[#This Row],[Mkt-RF]]/100</f>
        <v>1.78E-2</v>
      </c>
    </row>
    <row r="36" spans="1:8" x14ac:dyDescent="0.2">
      <c r="A36" s="1">
        <v>42429</v>
      </c>
      <c r="B36" s="13">
        <v>1</v>
      </c>
      <c r="C36">
        <f>Table7[[#This Row],[Mkt-RF]]/100</f>
        <v>9.1999999999999998E-3</v>
      </c>
      <c r="D36">
        <f>Table7[[#This Row],[Mkt-RF]]/100</f>
        <v>9.1999999999999998E-3</v>
      </c>
      <c r="E36">
        <f>Table7[[#This Row],[Mkt-RF]]/100</f>
        <v>9.1999999999999998E-3</v>
      </c>
      <c r="F36">
        <f>Table7[[#This Row],[Mkt-RF]]/100</f>
        <v>9.1999999999999998E-3</v>
      </c>
      <c r="G36">
        <f>Table7[[#This Row],[Mkt-RF]]/100</f>
        <v>9.1999999999999998E-3</v>
      </c>
      <c r="H36">
        <f>Table7[[#This Row],[Mkt-RF]]/100</f>
        <v>9.1999999999999998E-3</v>
      </c>
    </row>
    <row r="37" spans="1:8" x14ac:dyDescent="0.2">
      <c r="A37" s="1">
        <v>42400</v>
      </c>
      <c r="B37" s="13">
        <v>1</v>
      </c>
      <c r="C37">
        <f>Table7[[#This Row],[Mkt-RF]]/100</f>
        <v>6.9599999999999995E-2</v>
      </c>
      <c r="D37">
        <f>Table7[[#This Row],[Mkt-RF]]/100</f>
        <v>6.9599999999999995E-2</v>
      </c>
      <c r="E37">
        <f>Table7[[#This Row],[Mkt-RF]]/100</f>
        <v>6.9599999999999995E-2</v>
      </c>
      <c r="F37">
        <f>Table7[[#This Row],[Mkt-RF]]/100</f>
        <v>6.9599999999999995E-2</v>
      </c>
      <c r="G37">
        <f>Table7[[#This Row],[Mkt-RF]]/100</f>
        <v>6.9599999999999995E-2</v>
      </c>
      <c r="H37">
        <f>Table7[[#This Row],[Mkt-RF]]/100</f>
        <v>6.9599999999999995E-2</v>
      </c>
    </row>
    <row r="38" spans="1:8" x14ac:dyDescent="0.2">
      <c r="A38" s="1">
        <v>42369</v>
      </c>
      <c r="B38" s="13">
        <v>1</v>
      </c>
      <c r="C38">
        <f>Table7[[#This Row],[Mkt-RF]]/100</f>
        <v>-7.000000000000001E-4</v>
      </c>
      <c r="D38">
        <f>Table7[[#This Row],[Mkt-RF]]/100</f>
        <v>-7.000000000000001E-4</v>
      </c>
      <c r="E38">
        <f>Table7[[#This Row],[Mkt-RF]]/100</f>
        <v>-7.000000000000001E-4</v>
      </c>
      <c r="F38">
        <f>Table7[[#This Row],[Mkt-RF]]/100</f>
        <v>-7.000000000000001E-4</v>
      </c>
      <c r="G38">
        <f>Table7[[#This Row],[Mkt-RF]]/100</f>
        <v>-7.000000000000001E-4</v>
      </c>
      <c r="H38">
        <f>Table7[[#This Row],[Mkt-RF]]/100</f>
        <v>-7.000000000000001E-4</v>
      </c>
    </row>
    <row r="39" spans="1:8" x14ac:dyDescent="0.2">
      <c r="A39" s="1">
        <v>42338</v>
      </c>
      <c r="B39" s="13">
        <v>1</v>
      </c>
      <c r="C39">
        <f>Table7[[#This Row],[Mkt-RF]]/100</f>
        <v>-5.7699999999999994E-2</v>
      </c>
      <c r="D39">
        <f>Table7[[#This Row],[Mkt-RF]]/100</f>
        <v>-5.7699999999999994E-2</v>
      </c>
      <c r="E39">
        <f>Table7[[#This Row],[Mkt-RF]]/100</f>
        <v>-5.7699999999999994E-2</v>
      </c>
      <c r="F39">
        <f>Table7[[#This Row],[Mkt-RF]]/100</f>
        <v>-5.7699999999999994E-2</v>
      </c>
      <c r="G39">
        <f>Table7[[#This Row],[Mkt-RF]]/100</f>
        <v>-5.7699999999999994E-2</v>
      </c>
      <c r="H39">
        <f>Table7[[#This Row],[Mkt-RF]]/100</f>
        <v>-5.7699999999999994E-2</v>
      </c>
    </row>
    <row r="40" spans="1:8" x14ac:dyDescent="0.2">
      <c r="A40" s="1">
        <v>42308</v>
      </c>
      <c r="B40" s="13">
        <v>1</v>
      </c>
      <c r="C40">
        <f>Table7[[#This Row],[Mkt-RF]]/100</f>
        <v>-2.1700000000000001E-2</v>
      </c>
      <c r="D40">
        <f>Table7[[#This Row],[Mkt-RF]]/100</f>
        <v>-2.1700000000000001E-2</v>
      </c>
      <c r="E40">
        <f>Table7[[#This Row],[Mkt-RF]]/100</f>
        <v>-2.1700000000000001E-2</v>
      </c>
      <c r="F40">
        <f>Table7[[#This Row],[Mkt-RF]]/100</f>
        <v>-2.1700000000000001E-2</v>
      </c>
      <c r="G40">
        <f>Table7[[#This Row],[Mkt-RF]]/100</f>
        <v>-2.1700000000000001E-2</v>
      </c>
      <c r="H40">
        <f>Table7[[#This Row],[Mkt-RF]]/100</f>
        <v>-2.1700000000000001E-2</v>
      </c>
    </row>
    <row r="41" spans="1:8" x14ac:dyDescent="0.2">
      <c r="A41" s="1">
        <v>42277</v>
      </c>
      <c r="B41" s="13">
        <v>1</v>
      </c>
      <c r="C41">
        <f>Table7[[#This Row],[Mkt-RF]]/100</f>
        <v>5.6000000000000008E-3</v>
      </c>
      <c r="D41">
        <f>Table7[[#This Row],[Mkt-RF]]/100</f>
        <v>5.6000000000000008E-3</v>
      </c>
      <c r="E41">
        <f>Table7[[#This Row],[Mkt-RF]]/100</f>
        <v>5.6000000000000008E-3</v>
      </c>
      <c r="F41">
        <f>Table7[[#This Row],[Mkt-RF]]/100</f>
        <v>5.6000000000000008E-3</v>
      </c>
      <c r="G41">
        <f>Table7[[#This Row],[Mkt-RF]]/100</f>
        <v>5.6000000000000008E-3</v>
      </c>
      <c r="H41">
        <f>Table7[[#This Row],[Mkt-RF]]/100</f>
        <v>5.6000000000000008E-3</v>
      </c>
    </row>
    <row r="42" spans="1:8" x14ac:dyDescent="0.2">
      <c r="A42" s="1">
        <v>42247</v>
      </c>
      <c r="B42" s="13">
        <v>1</v>
      </c>
      <c r="C42">
        <f>Table7[[#This Row],[Mkt-RF]]/100</f>
        <v>7.7499999999999999E-2</v>
      </c>
      <c r="D42">
        <f>Table7[[#This Row],[Mkt-RF]]/100</f>
        <v>7.7499999999999999E-2</v>
      </c>
      <c r="E42">
        <f>Table7[[#This Row],[Mkt-RF]]/100</f>
        <v>7.7499999999999999E-2</v>
      </c>
      <c r="F42">
        <f>Table7[[#This Row],[Mkt-RF]]/100</f>
        <v>7.7499999999999999E-2</v>
      </c>
      <c r="G42">
        <f>Table7[[#This Row],[Mkt-RF]]/100</f>
        <v>7.7499999999999999E-2</v>
      </c>
      <c r="H42">
        <f>Table7[[#This Row],[Mkt-RF]]/100</f>
        <v>7.7499999999999999E-2</v>
      </c>
    </row>
    <row r="43" spans="1:8" x14ac:dyDescent="0.2">
      <c r="A43" s="1">
        <v>42216</v>
      </c>
      <c r="B43" s="13">
        <v>1</v>
      </c>
      <c r="C43">
        <f>Table7[[#This Row],[Mkt-RF]]/100</f>
        <v>-3.0800000000000001E-2</v>
      </c>
      <c r="D43">
        <f>Table7[[#This Row],[Mkt-RF]]/100</f>
        <v>-3.0800000000000001E-2</v>
      </c>
      <c r="E43">
        <f>Table7[[#This Row],[Mkt-RF]]/100</f>
        <v>-3.0800000000000001E-2</v>
      </c>
      <c r="F43">
        <f>Table7[[#This Row],[Mkt-RF]]/100</f>
        <v>-3.0800000000000001E-2</v>
      </c>
      <c r="G43">
        <f>Table7[[#This Row],[Mkt-RF]]/100</f>
        <v>-3.0800000000000001E-2</v>
      </c>
      <c r="H43">
        <f>Table7[[#This Row],[Mkt-RF]]/100</f>
        <v>-3.0800000000000001E-2</v>
      </c>
    </row>
    <row r="44" spans="1:8" x14ac:dyDescent="0.2">
      <c r="A44" s="1">
        <v>42185</v>
      </c>
      <c r="B44" s="13">
        <v>1</v>
      </c>
      <c r="C44">
        <f>Table7[[#This Row],[Mkt-RF]]/100</f>
        <v>-6.0400000000000002E-2</v>
      </c>
      <c r="D44">
        <f>Table7[[#This Row],[Mkt-RF]]/100</f>
        <v>-6.0400000000000002E-2</v>
      </c>
      <c r="E44">
        <f>Table7[[#This Row],[Mkt-RF]]/100</f>
        <v>-6.0400000000000002E-2</v>
      </c>
      <c r="F44">
        <f>Table7[[#This Row],[Mkt-RF]]/100</f>
        <v>-6.0400000000000002E-2</v>
      </c>
      <c r="G44">
        <f>Table7[[#This Row],[Mkt-RF]]/100</f>
        <v>-6.0400000000000002E-2</v>
      </c>
      <c r="H44">
        <f>Table7[[#This Row],[Mkt-RF]]/100</f>
        <v>-6.0400000000000002E-2</v>
      </c>
    </row>
    <row r="45" spans="1:8" x14ac:dyDescent="0.2">
      <c r="A45" s="1">
        <v>42155</v>
      </c>
      <c r="B45" s="13">
        <v>1</v>
      </c>
      <c r="C45">
        <f>Table7[[#This Row],[Mkt-RF]]/100</f>
        <v>1.54E-2</v>
      </c>
      <c r="D45">
        <f>Table7[[#This Row],[Mkt-RF]]/100</f>
        <v>1.54E-2</v>
      </c>
      <c r="E45">
        <f>Table7[[#This Row],[Mkt-RF]]/100</f>
        <v>1.54E-2</v>
      </c>
      <c r="F45">
        <f>Table7[[#This Row],[Mkt-RF]]/100</f>
        <v>1.54E-2</v>
      </c>
      <c r="G45">
        <f>Table7[[#This Row],[Mkt-RF]]/100</f>
        <v>1.54E-2</v>
      </c>
      <c r="H45">
        <f>Table7[[#This Row],[Mkt-RF]]/100</f>
        <v>1.54E-2</v>
      </c>
    </row>
    <row r="46" spans="1:8" x14ac:dyDescent="0.2">
      <c r="A46" s="1">
        <v>42124</v>
      </c>
      <c r="B46" s="13">
        <v>1</v>
      </c>
      <c r="C46">
        <f>Table7[[#This Row],[Mkt-RF]]/100</f>
        <v>-1.5300000000000001E-2</v>
      </c>
      <c r="D46">
        <f>Table7[[#This Row],[Mkt-RF]]/100</f>
        <v>-1.5300000000000001E-2</v>
      </c>
      <c r="E46">
        <f>Table7[[#This Row],[Mkt-RF]]/100</f>
        <v>-1.5300000000000001E-2</v>
      </c>
      <c r="F46">
        <f>Table7[[#This Row],[Mkt-RF]]/100</f>
        <v>-1.5300000000000001E-2</v>
      </c>
      <c r="G46">
        <f>Table7[[#This Row],[Mkt-RF]]/100</f>
        <v>-1.5300000000000001E-2</v>
      </c>
      <c r="H46">
        <f>Table7[[#This Row],[Mkt-RF]]/100</f>
        <v>-1.5300000000000001E-2</v>
      </c>
    </row>
    <row r="47" spans="1:8" x14ac:dyDescent="0.2">
      <c r="A47" s="1">
        <v>42094</v>
      </c>
      <c r="B47" s="13">
        <v>1</v>
      </c>
      <c r="C47">
        <f>Table7[[#This Row],[Mkt-RF]]/100</f>
        <v>1.3600000000000001E-2</v>
      </c>
      <c r="D47">
        <f>Table7[[#This Row],[Mkt-RF]]/100</f>
        <v>1.3600000000000001E-2</v>
      </c>
      <c r="E47">
        <f>Table7[[#This Row],[Mkt-RF]]/100</f>
        <v>1.3600000000000001E-2</v>
      </c>
      <c r="F47">
        <f>Table7[[#This Row],[Mkt-RF]]/100</f>
        <v>1.3600000000000001E-2</v>
      </c>
      <c r="G47">
        <f>Table7[[#This Row],[Mkt-RF]]/100</f>
        <v>1.3600000000000001E-2</v>
      </c>
      <c r="H47">
        <f>Table7[[#This Row],[Mkt-RF]]/100</f>
        <v>1.3600000000000001E-2</v>
      </c>
    </row>
    <row r="48" spans="1:8" x14ac:dyDescent="0.2">
      <c r="A48" s="1">
        <v>42063</v>
      </c>
      <c r="B48" s="13">
        <v>1</v>
      </c>
      <c r="C48">
        <f>Table7[[#This Row],[Mkt-RF]]/100</f>
        <v>5.8999999999999999E-3</v>
      </c>
      <c r="D48">
        <f>Table7[[#This Row],[Mkt-RF]]/100</f>
        <v>5.8999999999999999E-3</v>
      </c>
      <c r="E48">
        <f>Table7[[#This Row],[Mkt-RF]]/100</f>
        <v>5.8999999999999999E-3</v>
      </c>
      <c r="F48">
        <f>Table7[[#This Row],[Mkt-RF]]/100</f>
        <v>5.8999999999999999E-3</v>
      </c>
      <c r="G48">
        <f>Table7[[#This Row],[Mkt-RF]]/100</f>
        <v>5.8999999999999999E-3</v>
      </c>
      <c r="H48">
        <f>Table7[[#This Row],[Mkt-RF]]/100</f>
        <v>5.8999999999999999E-3</v>
      </c>
    </row>
    <row r="49" spans="1:8" x14ac:dyDescent="0.2">
      <c r="A49" s="1">
        <v>42035</v>
      </c>
      <c r="B49" s="13">
        <v>1</v>
      </c>
      <c r="C49">
        <f>Table7[[#This Row],[Mkt-RF]]/100</f>
        <v>-1.1200000000000002E-2</v>
      </c>
      <c r="D49">
        <f>Table7[[#This Row],[Mkt-RF]]/100</f>
        <v>-1.1200000000000002E-2</v>
      </c>
      <c r="E49">
        <f>Table7[[#This Row],[Mkt-RF]]/100</f>
        <v>-1.1200000000000002E-2</v>
      </c>
      <c r="F49">
        <f>Table7[[#This Row],[Mkt-RF]]/100</f>
        <v>-1.1200000000000002E-2</v>
      </c>
      <c r="G49">
        <f>Table7[[#This Row],[Mkt-RF]]/100</f>
        <v>-1.1200000000000002E-2</v>
      </c>
      <c r="H49">
        <f>Table7[[#This Row],[Mkt-RF]]/100</f>
        <v>-1.1200000000000002E-2</v>
      </c>
    </row>
    <row r="50" spans="1:8" x14ac:dyDescent="0.2">
      <c r="A50" s="1">
        <v>42004</v>
      </c>
      <c r="B50" s="13">
        <v>1</v>
      </c>
      <c r="C50">
        <f>Table7[[#This Row],[Mkt-RF]]/100</f>
        <v>6.13E-2</v>
      </c>
      <c r="D50">
        <f>Table7[[#This Row],[Mkt-RF]]/100</f>
        <v>6.13E-2</v>
      </c>
      <c r="E50">
        <f>Table7[[#This Row],[Mkt-RF]]/100</f>
        <v>6.13E-2</v>
      </c>
      <c r="F50">
        <f>Table7[[#This Row],[Mkt-RF]]/100</f>
        <v>6.13E-2</v>
      </c>
      <c r="G50">
        <f>Table7[[#This Row],[Mkt-RF]]/100</f>
        <v>6.13E-2</v>
      </c>
      <c r="H50">
        <f>Table7[[#This Row],[Mkt-RF]]/100</f>
        <v>6.13E-2</v>
      </c>
    </row>
    <row r="51" spans="1:8" x14ac:dyDescent="0.2">
      <c r="A51" s="1">
        <v>41973</v>
      </c>
      <c r="B51" s="13">
        <v>1</v>
      </c>
      <c r="C51">
        <f>Table7[[#This Row],[Mkt-RF]]/100</f>
        <v>-3.1099999999999999E-2</v>
      </c>
      <c r="D51">
        <f>Table7[[#This Row],[Mkt-RF]]/100</f>
        <v>-3.1099999999999999E-2</v>
      </c>
      <c r="E51">
        <f>Table7[[#This Row],[Mkt-RF]]/100</f>
        <v>-3.1099999999999999E-2</v>
      </c>
      <c r="F51">
        <f>Table7[[#This Row],[Mkt-RF]]/100</f>
        <v>-3.1099999999999999E-2</v>
      </c>
      <c r="G51">
        <f>Table7[[#This Row],[Mkt-RF]]/100</f>
        <v>-3.1099999999999999E-2</v>
      </c>
      <c r="H51">
        <f>Table7[[#This Row],[Mkt-RF]]/100</f>
        <v>-3.1099999999999999E-2</v>
      </c>
    </row>
    <row r="52" spans="1:8" x14ac:dyDescent="0.2">
      <c r="A52" s="1">
        <v>41943</v>
      </c>
      <c r="B52" s="13">
        <v>1</v>
      </c>
      <c r="C52">
        <f>Table7[[#This Row],[Mkt-RF]]/100</f>
        <v>-5.9999999999999995E-4</v>
      </c>
      <c r="D52">
        <f>Table7[[#This Row],[Mkt-RF]]/100</f>
        <v>-5.9999999999999995E-4</v>
      </c>
      <c r="E52">
        <f>Table7[[#This Row],[Mkt-RF]]/100</f>
        <v>-5.9999999999999995E-4</v>
      </c>
      <c r="F52">
        <f>Table7[[#This Row],[Mkt-RF]]/100</f>
        <v>-5.9999999999999995E-4</v>
      </c>
      <c r="G52">
        <f>Table7[[#This Row],[Mkt-RF]]/100</f>
        <v>-5.9999999999999995E-4</v>
      </c>
      <c r="H52">
        <f>Table7[[#This Row],[Mkt-RF]]/100</f>
        <v>-5.9999999999999995E-4</v>
      </c>
    </row>
    <row r="53" spans="1:8" x14ac:dyDescent="0.2">
      <c r="A53" s="1">
        <v>41912</v>
      </c>
      <c r="B53" s="13">
        <v>1</v>
      </c>
      <c r="C53">
        <f>Table7[[#This Row],[Mkt-RF]]/100</f>
        <v>2.5499999999999998E-2</v>
      </c>
      <c r="D53">
        <f>Table7[[#This Row],[Mkt-RF]]/100</f>
        <v>2.5499999999999998E-2</v>
      </c>
      <c r="E53">
        <f>Table7[[#This Row],[Mkt-RF]]/100</f>
        <v>2.5499999999999998E-2</v>
      </c>
      <c r="F53">
        <f>Table7[[#This Row],[Mkt-RF]]/100</f>
        <v>2.5499999999999998E-2</v>
      </c>
      <c r="G53">
        <f>Table7[[#This Row],[Mkt-RF]]/100</f>
        <v>2.5499999999999998E-2</v>
      </c>
      <c r="H53">
        <f>Table7[[#This Row],[Mkt-RF]]/100</f>
        <v>2.5499999999999998E-2</v>
      </c>
    </row>
    <row r="54" spans="1:8" x14ac:dyDescent="0.2">
      <c r="A54" s="1">
        <v>41882</v>
      </c>
      <c r="B54" s="13">
        <v>1</v>
      </c>
      <c r="C54">
        <f>Table7[[#This Row],[Mkt-RF]]/100</f>
        <v>2.52E-2</v>
      </c>
      <c r="D54">
        <f>Table7[[#This Row],[Mkt-RF]]/100</f>
        <v>2.52E-2</v>
      </c>
      <c r="E54">
        <f>Table7[[#This Row],[Mkt-RF]]/100</f>
        <v>2.52E-2</v>
      </c>
      <c r="F54">
        <f>Table7[[#This Row],[Mkt-RF]]/100</f>
        <v>2.52E-2</v>
      </c>
      <c r="G54">
        <f>Table7[[#This Row],[Mkt-RF]]/100</f>
        <v>2.52E-2</v>
      </c>
      <c r="H54">
        <f>Table7[[#This Row],[Mkt-RF]]/100</f>
        <v>2.52E-2</v>
      </c>
    </row>
    <row r="55" spans="1:8" x14ac:dyDescent="0.2">
      <c r="A55" s="1">
        <v>41851</v>
      </c>
      <c r="B55" s="13">
        <v>1</v>
      </c>
      <c r="C55">
        <f>Table7[[#This Row],[Mkt-RF]]/100</f>
        <v>-1.9699999999999999E-2</v>
      </c>
      <c r="D55">
        <f>Table7[[#This Row],[Mkt-RF]]/100</f>
        <v>-1.9699999999999999E-2</v>
      </c>
      <c r="E55">
        <f>Table7[[#This Row],[Mkt-RF]]/100</f>
        <v>-1.9699999999999999E-2</v>
      </c>
      <c r="F55">
        <f>Table7[[#This Row],[Mkt-RF]]/100</f>
        <v>-1.9699999999999999E-2</v>
      </c>
      <c r="G55">
        <f>Table7[[#This Row],[Mkt-RF]]/100</f>
        <v>-1.9699999999999999E-2</v>
      </c>
      <c r="H55">
        <f>Table7[[#This Row],[Mkt-RF]]/100</f>
        <v>-1.9699999999999999E-2</v>
      </c>
    </row>
    <row r="56" spans="1:8" x14ac:dyDescent="0.2">
      <c r="A56" s="1">
        <v>41820</v>
      </c>
      <c r="B56" s="13">
        <v>1</v>
      </c>
      <c r="C56">
        <f>Table7[[#This Row],[Mkt-RF]]/100</f>
        <v>4.24E-2</v>
      </c>
      <c r="D56">
        <f>Table7[[#This Row],[Mkt-RF]]/100</f>
        <v>4.24E-2</v>
      </c>
      <c r="E56">
        <f>Table7[[#This Row],[Mkt-RF]]/100</f>
        <v>4.24E-2</v>
      </c>
      <c r="F56">
        <f>Table7[[#This Row],[Mkt-RF]]/100</f>
        <v>4.24E-2</v>
      </c>
      <c r="G56">
        <f>Table7[[#This Row],[Mkt-RF]]/100</f>
        <v>4.24E-2</v>
      </c>
      <c r="H56">
        <f>Table7[[#This Row],[Mkt-RF]]/100</f>
        <v>4.24E-2</v>
      </c>
    </row>
    <row r="57" spans="1:8" x14ac:dyDescent="0.2">
      <c r="A57" s="1">
        <v>41790</v>
      </c>
      <c r="B57" s="13">
        <v>1</v>
      </c>
      <c r="C57">
        <f>Table7[[#This Row],[Mkt-RF]]/100</f>
        <v>-2.0400000000000001E-2</v>
      </c>
      <c r="D57">
        <f>Table7[[#This Row],[Mkt-RF]]/100</f>
        <v>-2.0400000000000001E-2</v>
      </c>
      <c r="E57">
        <f>Table7[[#This Row],[Mkt-RF]]/100</f>
        <v>-2.0400000000000001E-2</v>
      </c>
      <c r="F57">
        <f>Table7[[#This Row],[Mkt-RF]]/100</f>
        <v>-2.0400000000000001E-2</v>
      </c>
      <c r="G57">
        <f>Table7[[#This Row],[Mkt-RF]]/100</f>
        <v>-2.0400000000000001E-2</v>
      </c>
      <c r="H57">
        <f>Table7[[#This Row],[Mkt-RF]]/100</f>
        <v>-2.0400000000000001E-2</v>
      </c>
    </row>
    <row r="58" spans="1:8" x14ac:dyDescent="0.2">
      <c r="A58" s="1">
        <v>41759</v>
      </c>
      <c r="B58" s="13">
        <v>1</v>
      </c>
      <c r="C58">
        <f>Table7[[#This Row],[Mkt-RF]]/100</f>
        <v>2.6099999999999998E-2</v>
      </c>
      <c r="D58">
        <f>Table7[[#This Row],[Mkt-RF]]/100</f>
        <v>2.6099999999999998E-2</v>
      </c>
      <c r="E58">
        <f>Table7[[#This Row],[Mkt-RF]]/100</f>
        <v>2.6099999999999998E-2</v>
      </c>
      <c r="F58">
        <f>Table7[[#This Row],[Mkt-RF]]/100</f>
        <v>2.6099999999999998E-2</v>
      </c>
      <c r="G58">
        <f>Table7[[#This Row],[Mkt-RF]]/100</f>
        <v>2.6099999999999998E-2</v>
      </c>
      <c r="H58">
        <f>Table7[[#This Row],[Mkt-RF]]/100</f>
        <v>2.6099999999999998E-2</v>
      </c>
    </row>
    <row r="59" spans="1:8" x14ac:dyDescent="0.2">
      <c r="A59" s="1">
        <v>41729</v>
      </c>
      <c r="B59" s="13">
        <v>1</v>
      </c>
      <c r="C59">
        <f>Table7[[#This Row],[Mkt-RF]]/100</f>
        <v>2.06E-2</v>
      </c>
      <c r="D59">
        <f>Table7[[#This Row],[Mkt-RF]]/100</f>
        <v>2.06E-2</v>
      </c>
      <c r="E59">
        <f>Table7[[#This Row],[Mkt-RF]]/100</f>
        <v>2.06E-2</v>
      </c>
      <c r="F59">
        <f>Table7[[#This Row],[Mkt-RF]]/100</f>
        <v>2.06E-2</v>
      </c>
      <c r="G59">
        <f>Table7[[#This Row],[Mkt-RF]]/100</f>
        <v>2.06E-2</v>
      </c>
      <c r="H59">
        <f>Table7[[#This Row],[Mkt-RF]]/100</f>
        <v>2.06E-2</v>
      </c>
    </row>
    <row r="60" spans="1:8" x14ac:dyDescent="0.2">
      <c r="A60" s="1">
        <v>41698</v>
      </c>
      <c r="B60" s="13">
        <v>1</v>
      </c>
      <c r="C60">
        <f>Table7[[#This Row],[Mkt-RF]]/100</f>
        <v>-1.9E-3</v>
      </c>
      <c r="D60">
        <f>Table7[[#This Row],[Mkt-RF]]/100</f>
        <v>-1.9E-3</v>
      </c>
      <c r="E60">
        <f>Table7[[#This Row],[Mkt-RF]]/100</f>
        <v>-1.9E-3</v>
      </c>
      <c r="F60">
        <f>Table7[[#This Row],[Mkt-RF]]/100</f>
        <v>-1.9E-3</v>
      </c>
      <c r="G60">
        <f>Table7[[#This Row],[Mkt-RF]]/100</f>
        <v>-1.9E-3</v>
      </c>
      <c r="H60">
        <f>Table7[[#This Row],[Mkt-RF]]/100</f>
        <v>-1.9E-3</v>
      </c>
    </row>
    <row r="61" spans="1:8" x14ac:dyDescent="0.2">
      <c r="A61" s="1">
        <v>41670</v>
      </c>
      <c r="B61" s="13">
        <v>1</v>
      </c>
      <c r="C61">
        <f>Table7[[#This Row],[Mkt-RF]]/100</f>
        <v>4.3E-3</v>
      </c>
      <c r="D61">
        <f>Table7[[#This Row],[Mkt-RF]]/100</f>
        <v>4.3E-3</v>
      </c>
      <c r="E61">
        <f>Table7[[#This Row],[Mkt-RF]]/100</f>
        <v>4.3E-3</v>
      </c>
      <c r="F61">
        <f>Table7[[#This Row],[Mkt-RF]]/100</f>
        <v>4.3E-3</v>
      </c>
      <c r="G61">
        <f>Table7[[#This Row],[Mkt-RF]]/100</f>
        <v>4.3E-3</v>
      </c>
      <c r="H61">
        <f>Table7[[#This Row],[Mkt-RF]]/100</f>
        <v>4.3E-3</v>
      </c>
    </row>
    <row r="62" spans="1:8" x14ac:dyDescent="0.2">
      <c r="A62" s="1">
        <v>41639</v>
      </c>
      <c r="B62" s="13">
        <v>1</v>
      </c>
      <c r="C62">
        <f>Table7[[#This Row],[Mkt-RF]]/100</f>
        <v>4.6500000000000007E-2</v>
      </c>
      <c r="D62">
        <f>Table7[[#This Row],[Mkt-RF]]/100</f>
        <v>4.6500000000000007E-2</v>
      </c>
      <c r="E62">
        <f>Table7[[#This Row],[Mkt-RF]]/100</f>
        <v>4.6500000000000007E-2</v>
      </c>
      <c r="F62">
        <f>Table7[[#This Row],[Mkt-RF]]/100</f>
        <v>4.6500000000000007E-2</v>
      </c>
      <c r="G62">
        <f>Table7[[#This Row],[Mkt-RF]]/100</f>
        <v>4.6500000000000007E-2</v>
      </c>
      <c r="H62">
        <f>Table7[[#This Row],[Mkt-RF]]/100</f>
        <v>4.6500000000000007E-2</v>
      </c>
    </row>
    <row r="63" spans="1:8" x14ac:dyDescent="0.2">
      <c r="A63" s="1">
        <v>41608</v>
      </c>
      <c r="B63" s="13">
        <v>1</v>
      </c>
      <c r="C63">
        <f>Table7[[#This Row],[Mkt-RF]]/100</f>
        <v>-3.32E-2</v>
      </c>
      <c r="D63">
        <f>Table7[[#This Row],[Mkt-RF]]/100</f>
        <v>-3.32E-2</v>
      </c>
      <c r="E63">
        <f>Table7[[#This Row],[Mkt-RF]]/100</f>
        <v>-3.32E-2</v>
      </c>
      <c r="F63">
        <f>Table7[[#This Row],[Mkt-RF]]/100</f>
        <v>-3.32E-2</v>
      </c>
      <c r="G63">
        <f>Table7[[#This Row],[Mkt-RF]]/100</f>
        <v>-3.32E-2</v>
      </c>
      <c r="H63">
        <f>Table7[[#This Row],[Mkt-RF]]/100</f>
        <v>-3.32E-2</v>
      </c>
    </row>
    <row r="64" spans="1:8" x14ac:dyDescent="0.2">
      <c r="A64" s="1">
        <v>41578</v>
      </c>
      <c r="B64" s="13">
        <v>1</v>
      </c>
      <c r="C64">
        <f>Table7[[#This Row],[Mkt-RF]]/100</f>
        <v>2.81E-2</v>
      </c>
      <c r="D64">
        <f>Table7[[#This Row],[Mkt-RF]]/100</f>
        <v>2.81E-2</v>
      </c>
      <c r="E64">
        <f>Table7[[#This Row],[Mkt-RF]]/100</f>
        <v>2.81E-2</v>
      </c>
      <c r="F64">
        <f>Table7[[#This Row],[Mkt-RF]]/100</f>
        <v>2.81E-2</v>
      </c>
      <c r="G64">
        <f>Table7[[#This Row],[Mkt-RF]]/100</f>
        <v>2.81E-2</v>
      </c>
      <c r="H64">
        <f>Table7[[#This Row],[Mkt-RF]]/100</f>
        <v>2.81E-2</v>
      </c>
    </row>
    <row r="65" spans="1:8" x14ac:dyDescent="0.2">
      <c r="A65" s="1">
        <v>41547</v>
      </c>
      <c r="B65" s="13">
        <v>1</v>
      </c>
      <c r="C65">
        <f>Table7[[#This Row],[Mkt-RF]]/100</f>
        <v>3.1200000000000002E-2</v>
      </c>
      <c r="D65">
        <f>Table7[[#This Row],[Mkt-RF]]/100</f>
        <v>3.1200000000000002E-2</v>
      </c>
      <c r="E65">
        <f>Table7[[#This Row],[Mkt-RF]]/100</f>
        <v>3.1200000000000002E-2</v>
      </c>
      <c r="F65">
        <f>Table7[[#This Row],[Mkt-RF]]/100</f>
        <v>3.1200000000000002E-2</v>
      </c>
      <c r="G65">
        <f>Table7[[#This Row],[Mkt-RF]]/100</f>
        <v>3.1200000000000002E-2</v>
      </c>
      <c r="H65">
        <f>Table7[[#This Row],[Mkt-RF]]/100</f>
        <v>3.1200000000000002E-2</v>
      </c>
    </row>
    <row r="66" spans="1:8" x14ac:dyDescent="0.2">
      <c r="A66" s="1">
        <v>41517</v>
      </c>
      <c r="B66" s="13">
        <v>1</v>
      </c>
      <c r="C66">
        <f>Table7[[#This Row],[Mkt-RF]]/100</f>
        <v>4.1799999999999997E-2</v>
      </c>
      <c r="D66">
        <f>Table7[[#This Row],[Mkt-RF]]/100</f>
        <v>4.1799999999999997E-2</v>
      </c>
      <c r="E66">
        <f>Table7[[#This Row],[Mkt-RF]]/100</f>
        <v>4.1799999999999997E-2</v>
      </c>
      <c r="F66">
        <f>Table7[[#This Row],[Mkt-RF]]/100</f>
        <v>4.1799999999999997E-2</v>
      </c>
      <c r="G66">
        <f>Table7[[#This Row],[Mkt-RF]]/100</f>
        <v>4.1799999999999997E-2</v>
      </c>
      <c r="H66">
        <f>Table7[[#This Row],[Mkt-RF]]/100</f>
        <v>4.1799999999999997E-2</v>
      </c>
    </row>
    <row r="67" spans="1:8" x14ac:dyDescent="0.2">
      <c r="A67" s="1">
        <v>41486</v>
      </c>
      <c r="B67" s="13">
        <v>1</v>
      </c>
      <c r="C67">
        <f>Table7[[#This Row],[Mkt-RF]]/100</f>
        <v>3.7699999999999997E-2</v>
      </c>
      <c r="D67">
        <f>Table7[[#This Row],[Mkt-RF]]/100</f>
        <v>3.7699999999999997E-2</v>
      </c>
      <c r="E67">
        <f>Table7[[#This Row],[Mkt-RF]]/100</f>
        <v>3.7699999999999997E-2</v>
      </c>
      <c r="F67">
        <f>Table7[[#This Row],[Mkt-RF]]/100</f>
        <v>3.7699999999999997E-2</v>
      </c>
      <c r="G67">
        <f>Table7[[#This Row],[Mkt-RF]]/100</f>
        <v>3.7699999999999997E-2</v>
      </c>
      <c r="H67">
        <f>Table7[[#This Row],[Mkt-RF]]/100</f>
        <v>3.7699999999999997E-2</v>
      </c>
    </row>
    <row r="68" spans="1:8" x14ac:dyDescent="0.2">
      <c r="A68" s="1">
        <v>41455</v>
      </c>
      <c r="B68" s="13">
        <v>1</v>
      </c>
      <c r="C68">
        <f>Table7[[#This Row],[Mkt-RF]]/100</f>
        <v>-2.7099999999999999E-2</v>
      </c>
      <c r="D68">
        <f>Table7[[#This Row],[Mkt-RF]]/100</f>
        <v>-2.7099999999999999E-2</v>
      </c>
      <c r="E68">
        <f>Table7[[#This Row],[Mkt-RF]]/100</f>
        <v>-2.7099999999999999E-2</v>
      </c>
      <c r="F68">
        <f>Table7[[#This Row],[Mkt-RF]]/100</f>
        <v>-2.7099999999999999E-2</v>
      </c>
      <c r="G68">
        <f>Table7[[#This Row],[Mkt-RF]]/100</f>
        <v>-2.7099999999999999E-2</v>
      </c>
      <c r="H68">
        <f>Table7[[#This Row],[Mkt-RF]]/100</f>
        <v>-2.7099999999999999E-2</v>
      </c>
    </row>
    <row r="69" spans="1:8" x14ac:dyDescent="0.2">
      <c r="A69" s="1">
        <v>41425</v>
      </c>
      <c r="B69" s="13">
        <v>1</v>
      </c>
      <c r="C69">
        <f>Table7[[#This Row],[Mkt-RF]]/100</f>
        <v>5.6500000000000002E-2</v>
      </c>
      <c r="D69">
        <f>Table7[[#This Row],[Mkt-RF]]/100</f>
        <v>5.6500000000000002E-2</v>
      </c>
      <c r="E69">
        <f>Table7[[#This Row],[Mkt-RF]]/100</f>
        <v>5.6500000000000002E-2</v>
      </c>
      <c r="F69">
        <f>Table7[[#This Row],[Mkt-RF]]/100</f>
        <v>5.6500000000000002E-2</v>
      </c>
      <c r="G69">
        <f>Table7[[#This Row],[Mkt-RF]]/100</f>
        <v>5.6500000000000002E-2</v>
      </c>
      <c r="H69">
        <f>Table7[[#This Row],[Mkt-RF]]/100</f>
        <v>5.6500000000000002E-2</v>
      </c>
    </row>
    <row r="70" spans="1:8" x14ac:dyDescent="0.2">
      <c r="A70" s="1">
        <v>41394</v>
      </c>
      <c r="B70" s="13">
        <v>1</v>
      </c>
      <c r="C70">
        <f>Table7[[#This Row],[Mkt-RF]]/100</f>
        <v>-1.2E-2</v>
      </c>
      <c r="D70">
        <f>Table7[[#This Row],[Mkt-RF]]/100</f>
        <v>-1.2E-2</v>
      </c>
      <c r="E70">
        <f>Table7[[#This Row],[Mkt-RF]]/100</f>
        <v>-1.2E-2</v>
      </c>
      <c r="F70">
        <f>Table7[[#This Row],[Mkt-RF]]/100</f>
        <v>-1.2E-2</v>
      </c>
      <c r="G70">
        <f>Table7[[#This Row],[Mkt-RF]]/100</f>
        <v>-1.2E-2</v>
      </c>
      <c r="H70">
        <f>Table7[[#This Row],[Mkt-RF]]/100</f>
        <v>-1.2E-2</v>
      </c>
    </row>
    <row r="71" spans="1:8" x14ac:dyDescent="0.2">
      <c r="A71" s="1">
        <v>41364</v>
      </c>
      <c r="B71" s="13">
        <v>1</v>
      </c>
      <c r="C71">
        <f>Table7[[#This Row],[Mkt-RF]]/100</f>
        <v>2.7999999999999997E-2</v>
      </c>
      <c r="D71">
        <f>Table7[[#This Row],[Mkt-RF]]/100</f>
        <v>2.7999999999999997E-2</v>
      </c>
      <c r="E71">
        <f>Table7[[#This Row],[Mkt-RF]]/100</f>
        <v>2.7999999999999997E-2</v>
      </c>
      <c r="F71">
        <f>Table7[[#This Row],[Mkt-RF]]/100</f>
        <v>2.7999999999999997E-2</v>
      </c>
      <c r="G71">
        <f>Table7[[#This Row],[Mkt-RF]]/100</f>
        <v>2.7999999999999997E-2</v>
      </c>
      <c r="H71">
        <f>Table7[[#This Row],[Mkt-RF]]/100</f>
        <v>2.7999999999999997E-2</v>
      </c>
    </row>
    <row r="72" spans="1:8" x14ac:dyDescent="0.2">
      <c r="A72" s="1">
        <v>41333</v>
      </c>
      <c r="B72" s="13">
        <v>1</v>
      </c>
      <c r="C72">
        <f>Table7[[#This Row],[Mkt-RF]]/100</f>
        <v>1.55E-2</v>
      </c>
      <c r="D72">
        <f>Table7[[#This Row],[Mkt-RF]]/100</f>
        <v>1.55E-2</v>
      </c>
      <c r="E72">
        <f>Table7[[#This Row],[Mkt-RF]]/100</f>
        <v>1.55E-2</v>
      </c>
      <c r="F72">
        <f>Table7[[#This Row],[Mkt-RF]]/100</f>
        <v>1.55E-2</v>
      </c>
      <c r="G72">
        <f>Table7[[#This Row],[Mkt-RF]]/100</f>
        <v>1.55E-2</v>
      </c>
      <c r="H72">
        <f>Table7[[#This Row],[Mkt-RF]]/100</f>
        <v>1.55E-2</v>
      </c>
    </row>
    <row r="73" spans="1:8" x14ac:dyDescent="0.2">
      <c r="A73" s="1">
        <v>41305</v>
      </c>
      <c r="B73" s="13">
        <v>1</v>
      </c>
      <c r="C73">
        <f>Table7[[#This Row],[Mkt-RF]]/100</f>
        <v>4.0300000000000002E-2</v>
      </c>
      <c r="D73">
        <f>Table7[[#This Row],[Mkt-RF]]/100</f>
        <v>4.0300000000000002E-2</v>
      </c>
      <c r="E73">
        <f>Table7[[#This Row],[Mkt-RF]]/100</f>
        <v>4.0300000000000002E-2</v>
      </c>
      <c r="F73">
        <f>Table7[[#This Row],[Mkt-RF]]/100</f>
        <v>4.0300000000000002E-2</v>
      </c>
      <c r="G73">
        <f>Table7[[#This Row],[Mkt-RF]]/100</f>
        <v>4.0300000000000002E-2</v>
      </c>
      <c r="H73">
        <f>Table7[[#This Row],[Mkt-RF]]/100</f>
        <v>4.0300000000000002E-2</v>
      </c>
    </row>
    <row r="74" spans="1:8" x14ac:dyDescent="0.2">
      <c r="A74" s="1">
        <v>41274</v>
      </c>
      <c r="B74" s="13">
        <v>1</v>
      </c>
      <c r="C74">
        <f>Table7[[#This Row],[Mkt-RF]]/100</f>
        <v>1.29E-2</v>
      </c>
      <c r="D74">
        <f>Table7[[#This Row],[Mkt-RF]]/100</f>
        <v>1.29E-2</v>
      </c>
      <c r="E74">
        <f>Table7[[#This Row],[Mkt-RF]]/100</f>
        <v>1.29E-2</v>
      </c>
      <c r="F74">
        <f>Table7[[#This Row],[Mkt-RF]]/100</f>
        <v>1.29E-2</v>
      </c>
      <c r="G74">
        <f>Table7[[#This Row],[Mkt-RF]]/100</f>
        <v>1.29E-2</v>
      </c>
      <c r="H74">
        <f>Table7[[#This Row],[Mkt-RF]]/100</f>
        <v>1.29E-2</v>
      </c>
    </row>
    <row r="75" spans="1:8" x14ac:dyDescent="0.2">
      <c r="A75" s="1">
        <v>41243</v>
      </c>
      <c r="B75" s="13">
        <v>1</v>
      </c>
      <c r="C75">
        <f>Table7[[#This Row],[Mkt-RF]]/100</f>
        <v>5.57E-2</v>
      </c>
      <c r="D75">
        <f>Table7[[#This Row],[Mkt-RF]]/100</f>
        <v>5.57E-2</v>
      </c>
      <c r="E75">
        <f>Table7[[#This Row],[Mkt-RF]]/100</f>
        <v>5.57E-2</v>
      </c>
      <c r="F75">
        <f>Table7[[#This Row],[Mkt-RF]]/100</f>
        <v>5.57E-2</v>
      </c>
      <c r="G75">
        <f>Table7[[#This Row],[Mkt-RF]]/100</f>
        <v>5.57E-2</v>
      </c>
      <c r="H75">
        <f>Table7[[#This Row],[Mkt-RF]]/100</f>
        <v>5.57E-2</v>
      </c>
    </row>
    <row r="76" spans="1:8" x14ac:dyDescent="0.2">
      <c r="A76" s="1">
        <v>41213</v>
      </c>
      <c r="B76" s="13">
        <v>1</v>
      </c>
      <c r="C76">
        <f>Table7[[#This Row],[Mkt-RF]]/100</f>
        <v>1.18E-2</v>
      </c>
      <c r="D76">
        <f>Table7[[#This Row],[Mkt-RF]]/100</f>
        <v>1.18E-2</v>
      </c>
      <c r="E76">
        <f>Table7[[#This Row],[Mkt-RF]]/100</f>
        <v>1.18E-2</v>
      </c>
      <c r="F76">
        <f>Table7[[#This Row],[Mkt-RF]]/100</f>
        <v>1.18E-2</v>
      </c>
      <c r="G76">
        <f>Table7[[#This Row],[Mkt-RF]]/100</f>
        <v>1.18E-2</v>
      </c>
      <c r="H76">
        <f>Table7[[#This Row],[Mkt-RF]]/100</f>
        <v>1.18E-2</v>
      </c>
    </row>
    <row r="77" spans="1:8" x14ac:dyDescent="0.2">
      <c r="A77" s="1">
        <v>41182</v>
      </c>
      <c r="B77" s="13">
        <v>1</v>
      </c>
      <c r="C77">
        <f>Table7[[#This Row],[Mkt-RF]]/100</f>
        <v>7.8000000000000005E-3</v>
      </c>
      <c r="D77">
        <f>Table7[[#This Row],[Mkt-RF]]/100</f>
        <v>7.8000000000000005E-3</v>
      </c>
      <c r="E77">
        <f>Table7[[#This Row],[Mkt-RF]]/100</f>
        <v>7.8000000000000005E-3</v>
      </c>
      <c r="F77">
        <f>Table7[[#This Row],[Mkt-RF]]/100</f>
        <v>7.8000000000000005E-3</v>
      </c>
      <c r="G77">
        <f>Table7[[#This Row],[Mkt-RF]]/100</f>
        <v>7.8000000000000005E-3</v>
      </c>
      <c r="H77">
        <f>Table7[[#This Row],[Mkt-RF]]/100</f>
        <v>7.8000000000000005E-3</v>
      </c>
    </row>
    <row r="78" spans="1:8" x14ac:dyDescent="0.2">
      <c r="A78" s="1">
        <v>41152</v>
      </c>
      <c r="B78" s="13">
        <v>1</v>
      </c>
      <c r="C78">
        <f>Table7[[#This Row],[Mkt-RF]]/100</f>
        <v>-1.7600000000000001E-2</v>
      </c>
      <c r="D78">
        <f>Table7[[#This Row],[Mkt-RF]]/100</f>
        <v>-1.7600000000000001E-2</v>
      </c>
      <c r="E78">
        <f>Table7[[#This Row],[Mkt-RF]]/100</f>
        <v>-1.7600000000000001E-2</v>
      </c>
      <c r="F78">
        <f>Table7[[#This Row],[Mkt-RF]]/100</f>
        <v>-1.7600000000000001E-2</v>
      </c>
      <c r="G78">
        <f>Table7[[#This Row],[Mkt-RF]]/100</f>
        <v>-1.7600000000000001E-2</v>
      </c>
      <c r="H78">
        <f>Table7[[#This Row],[Mkt-RF]]/100</f>
        <v>-1.7600000000000001E-2</v>
      </c>
    </row>
    <row r="79" spans="1:8" x14ac:dyDescent="0.2">
      <c r="A79" s="1">
        <v>41121</v>
      </c>
      <c r="B79" s="13">
        <v>1</v>
      </c>
      <c r="C79">
        <f>Table7[[#This Row],[Mkt-RF]]/100</f>
        <v>2.7300000000000001E-2</v>
      </c>
      <c r="D79">
        <f>Table7[[#This Row],[Mkt-RF]]/100</f>
        <v>2.7300000000000001E-2</v>
      </c>
      <c r="E79">
        <f>Table7[[#This Row],[Mkt-RF]]/100</f>
        <v>2.7300000000000001E-2</v>
      </c>
      <c r="F79">
        <f>Table7[[#This Row],[Mkt-RF]]/100</f>
        <v>2.7300000000000001E-2</v>
      </c>
      <c r="G79">
        <f>Table7[[#This Row],[Mkt-RF]]/100</f>
        <v>2.7300000000000001E-2</v>
      </c>
      <c r="H79">
        <f>Table7[[#This Row],[Mkt-RF]]/100</f>
        <v>2.7300000000000001E-2</v>
      </c>
    </row>
    <row r="80" spans="1:8" x14ac:dyDescent="0.2">
      <c r="A80" s="1">
        <v>41090</v>
      </c>
      <c r="B80" s="13">
        <v>1</v>
      </c>
      <c r="C80">
        <f>Table7[[#This Row],[Mkt-RF]]/100</f>
        <v>2.5499999999999998E-2</v>
      </c>
      <c r="D80">
        <f>Table7[[#This Row],[Mkt-RF]]/100</f>
        <v>2.5499999999999998E-2</v>
      </c>
      <c r="E80">
        <f>Table7[[#This Row],[Mkt-RF]]/100</f>
        <v>2.5499999999999998E-2</v>
      </c>
      <c r="F80">
        <f>Table7[[#This Row],[Mkt-RF]]/100</f>
        <v>2.5499999999999998E-2</v>
      </c>
      <c r="G80">
        <f>Table7[[#This Row],[Mkt-RF]]/100</f>
        <v>2.5499999999999998E-2</v>
      </c>
      <c r="H80">
        <f>Table7[[#This Row],[Mkt-RF]]/100</f>
        <v>2.5499999999999998E-2</v>
      </c>
    </row>
    <row r="81" spans="1:8" x14ac:dyDescent="0.2">
      <c r="A81" s="1">
        <v>41060</v>
      </c>
      <c r="B81" s="13">
        <v>1</v>
      </c>
      <c r="C81">
        <f>Table7[[#This Row],[Mkt-RF]]/100</f>
        <v>7.9000000000000008E-3</v>
      </c>
      <c r="D81">
        <f>Table7[[#This Row],[Mkt-RF]]/100</f>
        <v>7.9000000000000008E-3</v>
      </c>
      <c r="E81">
        <f>Table7[[#This Row],[Mkt-RF]]/100</f>
        <v>7.9000000000000008E-3</v>
      </c>
      <c r="F81">
        <f>Table7[[#This Row],[Mkt-RF]]/100</f>
        <v>7.9000000000000008E-3</v>
      </c>
      <c r="G81">
        <f>Table7[[#This Row],[Mkt-RF]]/100</f>
        <v>7.9000000000000008E-3</v>
      </c>
      <c r="H81">
        <f>Table7[[#This Row],[Mkt-RF]]/100</f>
        <v>7.9000000000000008E-3</v>
      </c>
    </row>
    <row r="82" spans="1:8" x14ac:dyDescent="0.2">
      <c r="A82" s="1">
        <v>41029</v>
      </c>
      <c r="B82" s="13">
        <v>1</v>
      </c>
      <c r="C82">
        <f>Table7[[#This Row],[Mkt-RF]]/100</f>
        <v>3.8900000000000004E-2</v>
      </c>
      <c r="D82">
        <f>Table7[[#This Row],[Mkt-RF]]/100</f>
        <v>3.8900000000000004E-2</v>
      </c>
      <c r="E82">
        <f>Table7[[#This Row],[Mkt-RF]]/100</f>
        <v>3.8900000000000004E-2</v>
      </c>
      <c r="F82">
        <f>Table7[[#This Row],[Mkt-RF]]/100</f>
        <v>3.8900000000000004E-2</v>
      </c>
      <c r="G82">
        <f>Table7[[#This Row],[Mkt-RF]]/100</f>
        <v>3.8900000000000004E-2</v>
      </c>
      <c r="H82">
        <f>Table7[[#This Row],[Mkt-RF]]/100</f>
        <v>3.8900000000000004E-2</v>
      </c>
    </row>
    <row r="83" spans="1:8" x14ac:dyDescent="0.2">
      <c r="A83" s="1">
        <v>40999</v>
      </c>
      <c r="B83" s="13">
        <v>1</v>
      </c>
      <c r="C83">
        <f>Table7[[#This Row],[Mkt-RF]]/100</f>
        <v>-6.1900000000000004E-2</v>
      </c>
      <c r="D83">
        <f>Table7[[#This Row],[Mkt-RF]]/100</f>
        <v>-6.1900000000000004E-2</v>
      </c>
      <c r="E83">
        <f>Table7[[#This Row],[Mkt-RF]]/100</f>
        <v>-6.1900000000000004E-2</v>
      </c>
      <c r="F83">
        <f>Table7[[#This Row],[Mkt-RF]]/100</f>
        <v>-6.1900000000000004E-2</v>
      </c>
      <c r="G83">
        <f>Table7[[#This Row],[Mkt-RF]]/100</f>
        <v>-6.1900000000000004E-2</v>
      </c>
      <c r="H83">
        <f>Table7[[#This Row],[Mkt-RF]]/100</f>
        <v>-6.1900000000000004E-2</v>
      </c>
    </row>
    <row r="84" spans="1:8" x14ac:dyDescent="0.2">
      <c r="A84" s="1">
        <v>40968</v>
      </c>
      <c r="B84" s="13">
        <v>1</v>
      </c>
      <c r="C84">
        <f>Table7[[#This Row],[Mkt-RF]]/100</f>
        <v>-8.5000000000000006E-3</v>
      </c>
      <c r="D84">
        <f>Table7[[#This Row],[Mkt-RF]]/100</f>
        <v>-8.5000000000000006E-3</v>
      </c>
      <c r="E84">
        <f>Table7[[#This Row],[Mkt-RF]]/100</f>
        <v>-8.5000000000000006E-3</v>
      </c>
      <c r="F84">
        <f>Table7[[#This Row],[Mkt-RF]]/100</f>
        <v>-8.5000000000000006E-3</v>
      </c>
      <c r="G84">
        <f>Table7[[#This Row],[Mkt-RF]]/100</f>
        <v>-8.5000000000000006E-3</v>
      </c>
      <c r="H84">
        <f>Table7[[#This Row],[Mkt-RF]]/100</f>
        <v>-8.5000000000000006E-3</v>
      </c>
    </row>
    <row r="85" spans="1:8" x14ac:dyDescent="0.2">
      <c r="A85" s="1">
        <v>40939</v>
      </c>
      <c r="B85" s="13">
        <v>1</v>
      </c>
      <c r="C85">
        <f>Table7[[#This Row],[Mkt-RF]]/100</f>
        <v>3.1099999999999999E-2</v>
      </c>
      <c r="D85">
        <f>Table7[[#This Row],[Mkt-RF]]/100</f>
        <v>3.1099999999999999E-2</v>
      </c>
      <c r="E85">
        <f>Table7[[#This Row],[Mkt-RF]]/100</f>
        <v>3.1099999999999999E-2</v>
      </c>
      <c r="F85">
        <f>Table7[[#This Row],[Mkt-RF]]/100</f>
        <v>3.1099999999999999E-2</v>
      </c>
      <c r="G85">
        <f>Table7[[#This Row],[Mkt-RF]]/100</f>
        <v>3.1099999999999999E-2</v>
      </c>
      <c r="H85">
        <f>Table7[[#This Row],[Mkt-RF]]/100</f>
        <v>3.1099999999999999E-2</v>
      </c>
    </row>
    <row r="86" spans="1:8" x14ac:dyDescent="0.2">
      <c r="A86" s="1">
        <v>40908</v>
      </c>
      <c r="B86" s="13">
        <v>1</v>
      </c>
      <c r="C86">
        <f>Table7[[#This Row],[Mkt-RF]]/100</f>
        <v>4.4199999999999996E-2</v>
      </c>
      <c r="D86">
        <f>Table7[[#This Row],[Mkt-RF]]/100</f>
        <v>4.4199999999999996E-2</v>
      </c>
      <c r="E86">
        <f>Table7[[#This Row],[Mkt-RF]]/100</f>
        <v>4.4199999999999996E-2</v>
      </c>
      <c r="F86">
        <f>Table7[[#This Row],[Mkt-RF]]/100</f>
        <v>4.4199999999999996E-2</v>
      </c>
      <c r="G86">
        <f>Table7[[#This Row],[Mkt-RF]]/100</f>
        <v>4.4199999999999996E-2</v>
      </c>
      <c r="H86">
        <f>Table7[[#This Row],[Mkt-RF]]/100</f>
        <v>4.4199999999999996E-2</v>
      </c>
    </row>
    <row r="87" spans="1:8" x14ac:dyDescent="0.2">
      <c r="A87" s="1">
        <v>40877</v>
      </c>
      <c r="B87" s="13">
        <v>1</v>
      </c>
      <c r="C87">
        <f>Table7[[#This Row],[Mkt-RF]]/100</f>
        <v>5.0499999999999996E-2</v>
      </c>
      <c r="D87">
        <f>Table7[[#This Row],[Mkt-RF]]/100</f>
        <v>5.0499999999999996E-2</v>
      </c>
      <c r="E87">
        <f>Table7[[#This Row],[Mkt-RF]]/100</f>
        <v>5.0499999999999996E-2</v>
      </c>
      <c r="F87">
        <f>Table7[[#This Row],[Mkt-RF]]/100</f>
        <v>5.0499999999999996E-2</v>
      </c>
      <c r="G87">
        <f>Table7[[#This Row],[Mkt-RF]]/100</f>
        <v>5.0499999999999996E-2</v>
      </c>
      <c r="H87">
        <f>Table7[[#This Row],[Mkt-RF]]/100</f>
        <v>5.0499999999999996E-2</v>
      </c>
    </row>
    <row r="88" spans="1:8" x14ac:dyDescent="0.2">
      <c r="A88" s="1">
        <v>40847</v>
      </c>
      <c r="B88" s="13">
        <v>1</v>
      </c>
      <c r="C88">
        <f>Table7[[#This Row],[Mkt-RF]]/100</f>
        <v>7.4000000000000003E-3</v>
      </c>
      <c r="D88">
        <f>Table7[[#This Row],[Mkt-RF]]/100</f>
        <v>7.4000000000000003E-3</v>
      </c>
      <c r="E88">
        <f>Table7[[#This Row],[Mkt-RF]]/100</f>
        <v>7.4000000000000003E-3</v>
      </c>
      <c r="F88">
        <f>Table7[[#This Row],[Mkt-RF]]/100</f>
        <v>7.4000000000000003E-3</v>
      </c>
      <c r="G88">
        <f>Table7[[#This Row],[Mkt-RF]]/100</f>
        <v>7.4000000000000003E-3</v>
      </c>
      <c r="H88">
        <f>Table7[[#This Row],[Mkt-RF]]/100</f>
        <v>7.4000000000000003E-3</v>
      </c>
    </row>
    <row r="89" spans="1:8" x14ac:dyDescent="0.2">
      <c r="A89" s="1">
        <v>40816</v>
      </c>
      <c r="B89" s="13">
        <v>1</v>
      </c>
      <c r="C89">
        <f>Table7[[#This Row],[Mkt-RF]]/100</f>
        <v>-2.8000000000000004E-3</v>
      </c>
      <c r="D89">
        <f>Table7[[#This Row],[Mkt-RF]]/100</f>
        <v>-2.8000000000000004E-3</v>
      </c>
      <c r="E89">
        <f>Table7[[#This Row],[Mkt-RF]]/100</f>
        <v>-2.8000000000000004E-3</v>
      </c>
      <c r="F89">
        <f>Table7[[#This Row],[Mkt-RF]]/100</f>
        <v>-2.8000000000000004E-3</v>
      </c>
      <c r="G89">
        <f>Table7[[#This Row],[Mkt-RF]]/100</f>
        <v>-2.8000000000000004E-3</v>
      </c>
      <c r="H89">
        <f>Table7[[#This Row],[Mkt-RF]]/100</f>
        <v>-2.8000000000000004E-3</v>
      </c>
    </row>
    <row r="90" spans="1:8" x14ac:dyDescent="0.2">
      <c r="A90" s="1">
        <v>40786</v>
      </c>
      <c r="B90" s="13">
        <v>1</v>
      </c>
      <c r="C90">
        <f>Table7[[#This Row],[Mkt-RF]]/100</f>
        <v>0.11349999999999999</v>
      </c>
      <c r="D90">
        <f>Table7[[#This Row],[Mkt-RF]]/100</f>
        <v>0.11349999999999999</v>
      </c>
      <c r="E90">
        <f>Table7[[#This Row],[Mkt-RF]]/100</f>
        <v>0.11349999999999999</v>
      </c>
      <c r="F90">
        <f>Table7[[#This Row],[Mkt-RF]]/100</f>
        <v>0.11349999999999999</v>
      </c>
      <c r="G90">
        <f>Table7[[#This Row],[Mkt-RF]]/100</f>
        <v>0.11349999999999999</v>
      </c>
      <c r="H90">
        <f>Table7[[#This Row],[Mkt-RF]]/100</f>
        <v>0.11349999999999999</v>
      </c>
    </row>
    <row r="91" spans="1:8" x14ac:dyDescent="0.2">
      <c r="A91" s="1">
        <v>40755</v>
      </c>
      <c r="B91" s="13">
        <v>1</v>
      </c>
      <c r="C91">
        <f>Table7[[#This Row],[Mkt-RF]]/100</f>
        <v>-7.5899999999999995E-2</v>
      </c>
      <c r="D91">
        <f>Table7[[#This Row],[Mkt-RF]]/100</f>
        <v>-7.5899999999999995E-2</v>
      </c>
      <c r="E91">
        <f>Table7[[#This Row],[Mkt-RF]]/100</f>
        <v>-7.5899999999999995E-2</v>
      </c>
      <c r="F91">
        <f>Table7[[#This Row],[Mkt-RF]]/100</f>
        <v>-7.5899999999999995E-2</v>
      </c>
      <c r="G91">
        <f>Table7[[#This Row],[Mkt-RF]]/100</f>
        <v>-7.5899999999999995E-2</v>
      </c>
      <c r="H91">
        <f>Table7[[#This Row],[Mkt-RF]]/100</f>
        <v>-7.5899999999999995E-2</v>
      </c>
    </row>
    <row r="92" spans="1:8" x14ac:dyDescent="0.2">
      <c r="A92" s="1">
        <v>40724</v>
      </c>
      <c r="B92" s="13">
        <v>1</v>
      </c>
      <c r="C92">
        <f>Table7[[#This Row],[Mkt-RF]]/100</f>
        <v>-5.9900000000000002E-2</v>
      </c>
      <c r="D92">
        <f>Table7[[#This Row],[Mkt-RF]]/100</f>
        <v>-5.9900000000000002E-2</v>
      </c>
      <c r="E92">
        <f>Table7[[#This Row],[Mkt-RF]]/100</f>
        <v>-5.9900000000000002E-2</v>
      </c>
      <c r="F92">
        <f>Table7[[#This Row],[Mkt-RF]]/100</f>
        <v>-5.9900000000000002E-2</v>
      </c>
      <c r="G92">
        <f>Table7[[#This Row],[Mkt-RF]]/100</f>
        <v>-5.9900000000000002E-2</v>
      </c>
      <c r="H92">
        <f>Table7[[#This Row],[Mkt-RF]]/100</f>
        <v>-5.9900000000000002E-2</v>
      </c>
    </row>
    <row r="93" spans="1:8" x14ac:dyDescent="0.2">
      <c r="A93" s="1">
        <v>40694</v>
      </c>
      <c r="B93" s="13">
        <v>1</v>
      </c>
      <c r="C93">
        <f>Table7[[#This Row],[Mkt-RF]]/100</f>
        <v>-2.3599999999999999E-2</v>
      </c>
      <c r="D93">
        <f>Table7[[#This Row],[Mkt-RF]]/100</f>
        <v>-2.3599999999999999E-2</v>
      </c>
      <c r="E93">
        <f>Table7[[#This Row],[Mkt-RF]]/100</f>
        <v>-2.3599999999999999E-2</v>
      </c>
      <c r="F93">
        <f>Table7[[#This Row],[Mkt-RF]]/100</f>
        <v>-2.3599999999999999E-2</v>
      </c>
      <c r="G93">
        <f>Table7[[#This Row],[Mkt-RF]]/100</f>
        <v>-2.3599999999999999E-2</v>
      </c>
      <c r="H93">
        <f>Table7[[#This Row],[Mkt-RF]]/100</f>
        <v>-2.3599999999999999E-2</v>
      </c>
    </row>
    <row r="94" spans="1:8" x14ac:dyDescent="0.2">
      <c r="A94" s="1">
        <v>40663</v>
      </c>
      <c r="B94" s="13">
        <v>1</v>
      </c>
      <c r="C94">
        <f>Table7[[#This Row],[Mkt-RF]]/100</f>
        <v>-1.7500000000000002E-2</v>
      </c>
      <c r="D94">
        <f>Table7[[#This Row],[Mkt-RF]]/100</f>
        <v>-1.7500000000000002E-2</v>
      </c>
      <c r="E94">
        <f>Table7[[#This Row],[Mkt-RF]]/100</f>
        <v>-1.7500000000000002E-2</v>
      </c>
      <c r="F94">
        <f>Table7[[#This Row],[Mkt-RF]]/100</f>
        <v>-1.7500000000000002E-2</v>
      </c>
      <c r="G94">
        <f>Table7[[#This Row],[Mkt-RF]]/100</f>
        <v>-1.7500000000000002E-2</v>
      </c>
      <c r="H94">
        <f>Table7[[#This Row],[Mkt-RF]]/100</f>
        <v>-1.7500000000000002E-2</v>
      </c>
    </row>
    <row r="95" spans="1:8" x14ac:dyDescent="0.2">
      <c r="A95" s="1">
        <v>40633</v>
      </c>
      <c r="B95" s="13">
        <v>1</v>
      </c>
      <c r="C95">
        <f>Table7[[#This Row],[Mkt-RF]]/100</f>
        <v>-1.2699999999999999E-2</v>
      </c>
      <c r="D95">
        <f>Table7[[#This Row],[Mkt-RF]]/100</f>
        <v>-1.2699999999999999E-2</v>
      </c>
      <c r="E95">
        <f>Table7[[#This Row],[Mkt-RF]]/100</f>
        <v>-1.2699999999999999E-2</v>
      </c>
      <c r="F95">
        <f>Table7[[#This Row],[Mkt-RF]]/100</f>
        <v>-1.2699999999999999E-2</v>
      </c>
      <c r="G95">
        <f>Table7[[#This Row],[Mkt-RF]]/100</f>
        <v>-1.2699999999999999E-2</v>
      </c>
      <c r="H95">
        <f>Table7[[#This Row],[Mkt-RF]]/100</f>
        <v>-1.2699999999999999E-2</v>
      </c>
    </row>
    <row r="96" spans="1:8" x14ac:dyDescent="0.2">
      <c r="A96" s="1">
        <v>40602</v>
      </c>
      <c r="B96" s="13">
        <v>1</v>
      </c>
      <c r="C96">
        <f>Table7[[#This Row],[Mkt-RF]]/100</f>
        <v>2.8999999999999998E-2</v>
      </c>
      <c r="D96">
        <f>Table7[[#This Row],[Mkt-RF]]/100</f>
        <v>2.8999999999999998E-2</v>
      </c>
      <c r="E96">
        <f>Table7[[#This Row],[Mkt-RF]]/100</f>
        <v>2.8999999999999998E-2</v>
      </c>
      <c r="F96">
        <f>Table7[[#This Row],[Mkt-RF]]/100</f>
        <v>2.8999999999999998E-2</v>
      </c>
      <c r="G96">
        <f>Table7[[#This Row],[Mkt-RF]]/100</f>
        <v>2.8999999999999998E-2</v>
      </c>
      <c r="H96">
        <f>Table7[[#This Row],[Mkt-RF]]/100</f>
        <v>2.8999999999999998E-2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9.9978637043366805E-2"/>
  </sheetPr>
  <dimension ref="A1:AX99"/>
  <sheetViews>
    <sheetView showGridLines="0" zoomScale="58" workbookViewId="0">
      <selection activeCell="A3" sqref="A3"/>
    </sheetView>
  </sheetViews>
  <sheetFormatPr defaultRowHeight="14.25" x14ac:dyDescent="0.2"/>
  <cols>
    <col min="1" max="1" width="11.375" bestFit="1" customWidth="1"/>
    <col min="2" max="2" width="8" customWidth="1"/>
    <col min="3" max="3" width="7.875" customWidth="1"/>
    <col min="4" max="4" width="8.625" customWidth="1"/>
    <col min="5" max="5" width="10.375" customWidth="1"/>
    <col min="6" max="6" width="9.875" customWidth="1"/>
    <col min="7" max="7" width="10.125" customWidth="1"/>
    <col min="8" max="8" width="8" customWidth="1"/>
    <col min="9" max="10" width="9.75" customWidth="1"/>
    <col min="11" max="11" width="8.625" customWidth="1"/>
    <col min="12" max="12" width="9.25" customWidth="1"/>
    <col min="13" max="13" width="9.75" customWidth="1"/>
    <col min="14" max="14" width="8" customWidth="1"/>
    <col min="15" max="15" width="9.5" customWidth="1"/>
    <col min="16" max="16" width="8.625" customWidth="1"/>
    <col min="17" max="17" width="9.5" customWidth="1"/>
    <col min="18" max="18" width="9.75" customWidth="1"/>
    <col min="19" max="21" width="8.625" customWidth="1"/>
    <col min="22" max="22" width="8" customWidth="1"/>
    <col min="23" max="23" width="9.5" customWidth="1"/>
    <col min="24" max="24" width="9.75" customWidth="1"/>
    <col min="25" max="25" width="8" customWidth="1"/>
    <col min="26" max="26" width="8.25" customWidth="1"/>
    <col min="27" max="27" width="10.125" customWidth="1"/>
    <col min="28" max="28" width="9.25" customWidth="1"/>
    <col min="29" max="29" width="9.5" customWidth="1"/>
    <col min="30" max="30" width="8.25" customWidth="1"/>
    <col min="31" max="31" width="9.5" customWidth="1"/>
    <col min="32" max="32" width="8.875" customWidth="1"/>
    <col min="33" max="33" width="8" customWidth="1"/>
    <col min="34" max="34" width="9" customWidth="1"/>
    <col min="35" max="35" width="11.375" customWidth="1"/>
    <col min="36" max="36" width="8" customWidth="1"/>
    <col min="37" max="38" width="8.25" customWidth="1"/>
    <col min="39" max="39" width="9.5" customWidth="1"/>
    <col min="40" max="40" width="8" customWidth="1"/>
    <col min="41" max="41" width="8.625" customWidth="1"/>
    <col min="42" max="42" width="7.75" customWidth="1"/>
    <col min="43" max="43" width="8" customWidth="1"/>
    <col min="44" max="44" width="8.375" customWidth="1"/>
    <col min="45" max="45" width="10.125" customWidth="1"/>
    <col min="46" max="46" width="11.375" customWidth="1"/>
    <col min="48" max="48" width="9.25" customWidth="1"/>
    <col min="51" max="51" width="9.875" bestFit="1" customWidth="1"/>
    <col min="111" max="111" width="9.875" bestFit="1" customWidth="1"/>
    <col min="112" max="118" width="6.875" customWidth="1"/>
    <col min="120" max="124" width="6.875" customWidth="1"/>
    <col min="126" max="127" width="6.875" customWidth="1"/>
    <col min="128" max="128" width="5.875" customWidth="1"/>
    <col min="129" max="131" width="6.875" customWidth="1"/>
    <col min="132" max="132" width="7.875" customWidth="1"/>
    <col min="133" max="148" width="6.875" customWidth="1"/>
    <col min="149" max="149" width="5.875" customWidth="1"/>
    <col min="150" max="161" width="6.875" customWidth="1"/>
  </cols>
  <sheetData>
    <row r="1" spans="1:50" x14ac:dyDescent="0.2">
      <c r="A1" t="s">
        <v>132</v>
      </c>
      <c r="B1" t="s">
        <v>74</v>
      </c>
      <c r="C1" t="s">
        <v>76</v>
      </c>
      <c r="D1" t="s">
        <v>81</v>
      </c>
      <c r="E1" t="s">
        <v>103</v>
      </c>
      <c r="F1" t="s">
        <v>104</v>
      </c>
      <c r="G1" t="s">
        <v>79</v>
      </c>
      <c r="H1" t="s">
        <v>73</v>
      </c>
      <c r="I1" t="s">
        <v>87</v>
      </c>
      <c r="J1" t="s">
        <v>91</v>
      </c>
      <c r="K1" t="s">
        <v>92</v>
      </c>
      <c r="L1" t="s">
        <v>93</v>
      </c>
      <c r="M1" t="s">
        <v>100</v>
      </c>
      <c r="N1" t="s">
        <v>101</v>
      </c>
      <c r="O1" t="s">
        <v>102</v>
      </c>
      <c r="P1" t="s">
        <v>82</v>
      </c>
      <c r="Q1" t="s">
        <v>83</v>
      </c>
      <c r="R1" t="s">
        <v>84</v>
      </c>
      <c r="S1" t="s">
        <v>110</v>
      </c>
      <c r="T1" t="s">
        <v>108</v>
      </c>
      <c r="U1" t="s">
        <v>75</v>
      </c>
      <c r="V1" t="s">
        <v>111</v>
      </c>
      <c r="W1" t="s">
        <v>77</v>
      </c>
      <c r="X1" t="s">
        <v>80</v>
      </c>
      <c r="Y1" t="s">
        <v>86</v>
      </c>
      <c r="Z1" t="s">
        <v>114</v>
      </c>
      <c r="AA1" t="s">
        <v>78</v>
      </c>
      <c r="AB1" t="s">
        <v>113</v>
      </c>
      <c r="AC1" t="s">
        <v>99</v>
      </c>
      <c r="AD1" t="s">
        <v>94</v>
      </c>
      <c r="AE1" t="s">
        <v>187</v>
      </c>
      <c r="AF1" t="s">
        <v>98</v>
      </c>
      <c r="AG1" t="s">
        <v>117</v>
      </c>
      <c r="AH1" t="s">
        <v>112</v>
      </c>
      <c r="AI1" t="s">
        <v>107</v>
      </c>
      <c r="AJ1" t="s">
        <v>109</v>
      </c>
      <c r="AK1" t="s">
        <v>106</v>
      </c>
      <c r="AL1" t="s">
        <v>142</v>
      </c>
      <c r="AM1" t="s">
        <v>85</v>
      </c>
      <c r="AN1" t="s">
        <v>95</v>
      </c>
      <c r="AO1" t="s">
        <v>141</v>
      </c>
      <c r="AP1" t="s">
        <v>96</v>
      </c>
      <c r="AQ1" t="s">
        <v>88</v>
      </c>
      <c r="AR1" t="s">
        <v>90</v>
      </c>
      <c r="AS1" t="s">
        <v>105</v>
      </c>
      <c r="AT1" t="s">
        <v>188</v>
      </c>
      <c r="AU1" t="s">
        <v>97</v>
      </c>
      <c r="AV1" t="s">
        <v>116</v>
      </c>
      <c r="AW1" t="s">
        <v>89</v>
      </c>
      <c r="AX1" t="s">
        <v>115</v>
      </c>
    </row>
    <row r="2" spans="1:50" x14ac:dyDescent="0.2">
      <c r="A2" s="2">
        <v>43524</v>
      </c>
      <c r="B2">
        <v>82.31</v>
      </c>
      <c r="C2">
        <v>88.15</v>
      </c>
      <c r="D2">
        <v>79.819999999999993</v>
      </c>
      <c r="E2">
        <v>75.52</v>
      </c>
      <c r="F2">
        <v>54.85</v>
      </c>
      <c r="G2">
        <v>78.97</v>
      </c>
      <c r="H2">
        <v>111.64525</v>
      </c>
      <c r="I2">
        <v>48.31</v>
      </c>
      <c r="J2">
        <v>96.270039999999995</v>
      </c>
      <c r="K2">
        <v>120.41818000000001</v>
      </c>
      <c r="L2">
        <v>78.150239999999997</v>
      </c>
      <c r="M2">
        <v>154.61070000000001</v>
      </c>
      <c r="N2">
        <v>179.31344999999999</v>
      </c>
      <c r="O2">
        <v>131.84769</v>
      </c>
      <c r="P2">
        <v>85.04</v>
      </c>
      <c r="Q2">
        <v>87.87</v>
      </c>
      <c r="R2">
        <v>79.010000000000005</v>
      </c>
      <c r="S2">
        <v>40.800460000000001</v>
      </c>
      <c r="T2">
        <v>49.83</v>
      </c>
      <c r="U2">
        <v>63.47</v>
      </c>
      <c r="V2">
        <v>53.510370000000002</v>
      </c>
      <c r="W2">
        <v>73.94</v>
      </c>
      <c r="X2">
        <v>60.16</v>
      </c>
      <c r="Y2">
        <v>108.91038</v>
      </c>
      <c r="Z2">
        <v>62.810220000000001</v>
      </c>
      <c r="AA2">
        <v>51.75</v>
      </c>
      <c r="AB2">
        <v>56.94</v>
      </c>
      <c r="AC2">
        <v>108.36403</v>
      </c>
      <c r="AD2">
        <v>256.06831</v>
      </c>
      <c r="AE2">
        <v>256.06831</v>
      </c>
      <c r="AF2">
        <v>139.41811999999999</v>
      </c>
      <c r="AG2">
        <v>82.189880000000002</v>
      </c>
      <c r="AH2">
        <v>65.659639999999996</v>
      </c>
      <c r="AI2">
        <v>48.83</v>
      </c>
      <c r="AJ2">
        <v>103.87021</v>
      </c>
      <c r="AK2">
        <v>72.679850000000002</v>
      </c>
      <c r="AL2">
        <v>81.92</v>
      </c>
      <c r="AM2">
        <v>51.48</v>
      </c>
      <c r="AN2">
        <v>143.45946000000001</v>
      </c>
      <c r="AO2">
        <v>48.27</v>
      </c>
      <c r="AP2">
        <v>107.76205</v>
      </c>
      <c r="AQ2">
        <v>152.10222999999999</v>
      </c>
      <c r="AR2">
        <v>128.19438</v>
      </c>
      <c r="AS2">
        <v>77.37</v>
      </c>
      <c r="AT2">
        <v>77.37</v>
      </c>
      <c r="AU2">
        <v>116.85713</v>
      </c>
      <c r="AV2">
        <v>51.67033</v>
      </c>
      <c r="AW2">
        <v>85.870109999999997</v>
      </c>
      <c r="AX2">
        <v>61.170290000000001</v>
      </c>
    </row>
    <row r="3" spans="1:50" x14ac:dyDescent="0.2">
      <c r="A3" s="2">
        <v>43496</v>
      </c>
      <c r="B3">
        <v>82.600160000000002</v>
      </c>
      <c r="C3">
        <v>89.140299999999996</v>
      </c>
      <c r="D3">
        <v>80.090159999999997</v>
      </c>
      <c r="E3">
        <v>75.5899</v>
      </c>
      <c r="F3">
        <v>54.789900000000003</v>
      </c>
      <c r="G3">
        <v>79.059880000000007</v>
      </c>
      <c r="H3">
        <v>113.6596</v>
      </c>
      <c r="I3">
        <v>46.75</v>
      </c>
      <c r="J3">
        <v>93.43</v>
      </c>
      <c r="K3">
        <v>116.46528000000001</v>
      </c>
      <c r="L3">
        <v>76.060130000000001</v>
      </c>
      <c r="M3">
        <v>147.44795999999999</v>
      </c>
      <c r="N3">
        <v>169.50013000000001</v>
      </c>
      <c r="O3">
        <v>126.7944</v>
      </c>
      <c r="P3">
        <v>85.159670000000006</v>
      </c>
      <c r="Q3">
        <v>88.610389999999995</v>
      </c>
      <c r="R3">
        <v>78.979569999999995</v>
      </c>
      <c r="S3">
        <v>39.869599999999998</v>
      </c>
      <c r="T3">
        <v>49.030110000000001</v>
      </c>
      <c r="U3">
        <v>63.750300000000003</v>
      </c>
      <c r="V3">
        <v>51.869880000000002</v>
      </c>
      <c r="W3">
        <v>75.070080000000004</v>
      </c>
      <c r="X3">
        <v>60.239930000000001</v>
      </c>
      <c r="Y3">
        <v>104.13800999999999</v>
      </c>
      <c r="Z3">
        <v>61.540230000000001</v>
      </c>
      <c r="AA3">
        <v>51.920090000000002</v>
      </c>
      <c r="AB3">
        <v>57.37</v>
      </c>
      <c r="AC3">
        <v>104.62596000000001</v>
      </c>
      <c r="AD3">
        <v>248.01306</v>
      </c>
      <c r="AE3">
        <v>248.01306</v>
      </c>
      <c r="AF3">
        <v>132.92750000000001</v>
      </c>
      <c r="AG3">
        <v>81.890349999999998</v>
      </c>
      <c r="AH3">
        <v>65.099519999999998</v>
      </c>
      <c r="AI3">
        <v>48.12</v>
      </c>
      <c r="AJ3">
        <v>101.7594</v>
      </c>
      <c r="AK3">
        <v>70.690179999999998</v>
      </c>
      <c r="AL3">
        <v>82.165040000000005</v>
      </c>
      <c r="AM3">
        <v>51.290419999999997</v>
      </c>
      <c r="AN3">
        <v>138.53304</v>
      </c>
      <c r="AO3">
        <v>48.28</v>
      </c>
      <c r="AP3">
        <v>104.76167</v>
      </c>
      <c r="AQ3">
        <v>146.68719999999999</v>
      </c>
      <c r="AR3">
        <v>124.1204</v>
      </c>
      <c r="AS3">
        <v>77.230500000000006</v>
      </c>
      <c r="AT3">
        <v>77.230500000000006</v>
      </c>
      <c r="AU3">
        <v>111.34216000000001</v>
      </c>
      <c r="AV3">
        <v>50.839590000000001</v>
      </c>
      <c r="AW3">
        <v>82.750349999999997</v>
      </c>
      <c r="AX3">
        <v>60.229520000000001</v>
      </c>
    </row>
    <row r="4" spans="1:50" x14ac:dyDescent="0.2">
      <c r="A4" s="2">
        <v>43465</v>
      </c>
      <c r="B4">
        <v>81.289649999999995</v>
      </c>
      <c r="C4">
        <v>87.509649999999993</v>
      </c>
      <c r="D4">
        <v>79.209980000000002</v>
      </c>
      <c r="E4">
        <v>74.788250000000005</v>
      </c>
      <c r="F4">
        <v>54.24991</v>
      </c>
      <c r="G4">
        <v>78.57002</v>
      </c>
      <c r="H4">
        <v>113.45816000000001</v>
      </c>
      <c r="I4">
        <v>43</v>
      </c>
      <c r="J4">
        <v>86.87961</v>
      </c>
      <c r="K4">
        <v>107.00836</v>
      </c>
      <c r="L4">
        <v>71.469759999999994</v>
      </c>
      <c r="M4">
        <v>131.9889</v>
      </c>
      <c r="N4">
        <v>150.59446</v>
      </c>
      <c r="O4">
        <v>114.05568</v>
      </c>
      <c r="P4">
        <v>82.859989999999996</v>
      </c>
      <c r="Q4">
        <v>85.179720000000003</v>
      </c>
      <c r="R4">
        <v>77.940100000000001</v>
      </c>
      <c r="S4">
        <v>37.100090000000002</v>
      </c>
      <c r="T4">
        <v>45.579650000000001</v>
      </c>
      <c r="U4">
        <v>63.47025</v>
      </c>
      <c r="V4">
        <v>48.620089999999998</v>
      </c>
      <c r="W4">
        <v>74.710489999999993</v>
      </c>
      <c r="X4">
        <v>60.11947</v>
      </c>
      <c r="Y4">
        <v>97.950010000000006</v>
      </c>
      <c r="Z4">
        <v>57.600140000000003</v>
      </c>
      <c r="AA4">
        <v>51.490020000000001</v>
      </c>
      <c r="AB4">
        <v>52.41</v>
      </c>
      <c r="AC4">
        <v>95.259659999999997</v>
      </c>
      <c r="AD4">
        <v>229.81082000000001</v>
      </c>
      <c r="AE4">
        <v>229.81082000000001</v>
      </c>
      <c r="AF4">
        <v>119.68583</v>
      </c>
      <c r="AG4">
        <v>74.07047</v>
      </c>
      <c r="AH4">
        <v>60.629629999999999</v>
      </c>
      <c r="AI4">
        <v>44.5</v>
      </c>
      <c r="AJ4">
        <v>94.679649999999995</v>
      </c>
      <c r="AK4">
        <v>65.460049999999995</v>
      </c>
      <c r="AL4">
        <v>80.00018</v>
      </c>
      <c r="AM4">
        <v>51.050440000000002</v>
      </c>
      <c r="AN4">
        <v>127.63458</v>
      </c>
      <c r="AO4">
        <v>47.92</v>
      </c>
      <c r="AP4">
        <v>97.950400000000002</v>
      </c>
      <c r="AQ4">
        <v>134.33291</v>
      </c>
      <c r="AR4">
        <v>114.85588</v>
      </c>
      <c r="AS4">
        <v>74.540049999999994</v>
      </c>
      <c r="AT4">
        <v>74.540049999999994</v>
      </c>
      <c r="AU4">
        <v>99.810869999999994</v>
      </c>
      <c r="AV4">
        <v>47.219659999999998</v>
      </c>
      <c r="AW4">
        <v>77.990089999999995</v>
      </c>
      <c r="AX4">
        <v>56.270020000000002</v>
      </c>
    </row>
    <row r="5" spans="1:50" x14ac:dyDescent="0.2">
      <c r="A5" s="2">
        <v>43434</v>
      </c>
      <c r="B5">
        <v>80.091189999999997</v>
      </c>
      <c r="C5">
        <v>84.389520000000005</v>
      </c>
      <c r="D5">
        <v>78.140410000000003</v>
      </c>
      <c r="E5">
        <v>74.699690000000004</v>
      </c>
      <c r="F5">
        <v>54.760269999999998</v>
      </c>
      <c r="G5">
        <v>78.08014</v>
      </c>
      <c r="H5">
        <v>105.76304</v>
      </c>
      <c r="I5">
        <v>47.410350000000001</v>
      </c>
      <c r="J5">
        <v>95.610259999999997</v>
      </c>
      <c r="K5">
        <v>116.87155</v>
      </c>
      <c r="L5">
        <v>79.049800000000005</v>
      </c>
      <c r="M5">
        <v>149.33444</v>
      </c>
      <c r="N5">
        <v>169.16650000000001</v>
      </c>
      <c r="O5">
        <v>129.73751999999999</v>
      </c>
      <c r="P5">
        <v>82.110330000000005</v>
      </c>
      <c r="Q5">
        <v>83.500879999999995</v>
      </c>
      <c r="R5">
        <v>77.680400000000006</v>
      </c>
      <c r="S5">
        <v>39.750880000000002</v>
      </c>
      <c r="T5">
        <v>48.430320000000002</v>
      </c>
      <c r="U5">
        <v>62.43085</v>
      </c>
      <c r="V5">
        <v>51.43047</v>
      </c>
      <c r="W5">
        <v>71.069810000000004</v>
      </c>
      <c r="X5">
        <v>59.840069999999997</v>
      </c>
      <c r="Y5">
        <v>107.94807</v>
      </c>
      <c r="Z5">
        <v>60.349710000000002</v>
      </c>
      <c r="AA5">
        <v>50.910299999999999</v>
      </c>
      <c r="AB5">
        <v>55.059629999999999</v>
      </c>
      <c r="AC5">
        <v>107.51208</v>
      </c>
      <c r="AD5">
        <v>253.47199000000001</v>
      </c>
      <c r="AE5">
        <v>253.47199000000001</v>
      </c>
      <c r="AF5">
        <v>131.88132999999999</v>
      </c>
      <c r="AG5">
        <v>81.010710000000003</v>
      </c>
      <c r="AH5">
        <v>65.610010000000003</v>
      </c>
      <c r="AI5">
        <v>47.30527</v>
      </c>
      <c r="AJ5">
        <v>101.95959999999999</v>
      </c>
      <c r="AK5">
        <v>71.110060000000004</v>
      </c>
      <c r="AL5">
        <v>79.240409999999997</v>
      </c>
      <c r="AM5">
        <v>50.539400000000001</v>
      </c>
      <c r="AN5">
        <v>141.35794999999999</v>
      </c>
      <c r="AO5">
        <v>48.179749999999999</v>
      </c>
      <c r="AP5">
        <v>108.60791999999999</v>
      </c>
      <c r="AQ5">
        <v>147.27414999999999</v>
      </c>
      <c r="AR5">
        <v>126.66285000000001</v>
      </c>
      <c r="AS5">
        <v>74.05977</v>
      </c>
      <c r="AT5">
        <v>74.05977</v>
      </c>
      <c r="AU5">
        <v>112.31373000000001</v>
      </c>
      <c r="AV5">
        <v>50.209319999999998</v>
      </c>
      <c r="AW5">
        <v>86.220839999999995</v>
      </c>
      <c r="AX5">
        <v>59.249279999999999</v>
      </c>
    </row>
    <row r="6" spans="1:50" x14ac:dyDescent="0.2">
      <c r="A6" s="2">
        <v>43404</v>
      </c>
      <c r="B6">
        <v>79.890219999999999</v>
      </c>
      <c r="C6">
        <v>84.339129999999997</v>
      </c>
      <c r="D6">
        <v>77.839659999999995</v>
      </c>
      <c r="E6">
        <v>74.550730000000001</v>
      </c>
      <c r="F6">
        <v>54.528950000000002</v>
      </c>
      <c r="G6">
        <v>77.940079999999995</v>
      </c>
      <c r="H6">
        <v>103.51017</v>
      </c>
      <c r="I6">
        <v>46.449570000000001</v>
      </c>
      <c r="J6">
        <v>93.810490000000001</v>
      </c>
      <c r="K6">
        <v>116.93165999999999</v>
      </c>
      <c r="L6">
        <v>76.309799999999996</v>
      </c>
      <c r="M6">
        <v>146.12620999999999</v>
      </c>
      <c r="N6">
        <v>165.89223999999999</v>
      </c>
      <c r="O6">
        <v>126.75191</v>
      </c>
      <c r="P6">
        <v>82.549319999999994</v>
      </c>
      <c r="Q6">
        <v>84.529039999999995</v>
      </c>
      <c r="R6">
        <v>77.929950000000005</v>
      </c>
      <c r="S6">
        <v>39.549970000000002</v>
      </c>
      <c r="T6">
        <v>47.72983</v>
      </c>
      <c r="U6">
        <v>61.950209999999998</v>
      </c>
      <c r="V6">
        <v>51.780749999999998</v>
      </c>
      <c r="W6">
        <v>69.949950000000001</v>
      </c>
      <c r="X6">
        <v>59.710320000000003</v>
      </c>
      <c r="Y6">
        <v>103.66370000000001</v>
      </c>
      <c r="Z6">
        <v>58.659509999999997</v>
      </c>
      <c r="AA6">
        <v>50.589849999999998</v>
      </c>
      <c r="AB6">
        <v>52.929630000000003</v>
      </c>
      <c r="AC6">
        <v>105.12044</v>
      </c>
      <c r="AD6">
        <v>248.79060999999999</v>
      </c>
      <c r="AE6">
        <v>248.79060999999999</v>
      </c>
      <c r="AF6">
        <v>128.68749</v>
      </c>
      <c r="AG6">
        <v>81.610669999999999</v>
      </c>
      <c r="AH6">
        <v>64.059970000000007</v>
      </c>
      <c r="AI6">
        <v>46.609569999999998</v>
      </c>
      <c r="AJ6">
        <v>100.82038</v>
      </c>
      <c r="AK6">
        <v>69.900170000000003</v>
      </c>
      <c r="AL6">
        <v>79.724289999999996</v>
      </c>
      <c r="AM6">
        <v>50.159480000000002</v>
      </c>
      <c r="AN6">
        <v>138.55668</v>
      </c>
      <c r="AO6">
        <v>48.159599999999998</v>
      </c>
      <c r="AP6">
        <v>105.16923</v>
      </c>
      <c r="AQ6">
        <v>146.44846999999999</v>
      </c>
      <c r="AR6">
        <v>124.2747</v>
      </c>
      <c r="AS6">
        <v>74.499920000000003</v>
      </c>
      <c r="AT6">
        <v>74.499920000000003</v>
      </c>
      <c r="AU6">
        <v>110.28851</v>
      </c>
      <c r="AV6">
        <v>49.379730000000002</v>
      </c>
      <c r="AW6">
        <v>83.259919999999994</v>
      </c>
      <c r="AX6">
        <v>58.72983</v>
      </c>
    </row>
    <row r="7" spans="1:50" x14ac:dyDescent="0.2">
      <c r="A7" s="2">
        <v>43373</v>
      </c>
      <c r="B7">
        <v>80.481059999999999</v>
      </c>
      <c r="C7">
        <v>87.429919999999996</v>
      </c>
      <c r="D7">
        <v>78.699889999999996</v>
      </c>
      <c r="E7">
        <v>74.784360000000007</v>
      </c>
      <c r="F7">
        <v>54.539009999999998</v>
      </c>
      <c r="G7">
        <v>78.030720000000002</v>
      </c>
      <c r="H7">
        <v>108.50302000000001</v>
      </c>
      <c r="I7">
        <v>50.19041</v>
      </c>
      <c r="J7">
        <v>100.48987</v>
      </c>
      <c r="K7">
        <v>128.172</v>
      </c>
      <c r="L7">
        <v>80.040620000000004</v>
      </c>
      <c r="M7">
        <v>162.58104</v>
      </c>
      <c r="N7">
        <v>187.32556</v>
      </c>
      <c r="O7">
        <v>139.36232000000001</v>
      </c>
      <c r="P7">
        <v>83.531310000000005</v>
      </c>
      <c r="Q7">
        <v>87.988829999999993</v>
      </c>
      <c r="R7">
        <v>78.160650000000004</v>
      </c>
      <c r="S7">
        <v>43.269860000000001</v>
      </c>
      <c r="T7">
        <v>52.050379999999997</v>
      </c>
      <c r="U7">
        <v>62.090400000000002</v>
      </c>
      <c r="V7">
        <v>56.22</v>
      </c>
      <c r="W7">
        <v>72.169740000000004</v>
      </c>
      <c r="X7">
        <v>59.740679999999998</v>
      </c>
      <c r="Y7">
        <v>110.69654</v>
      </c>
      <c r="Z7">
        <v>64.430499999999995</v>
      </c>
      <c r="AA7">
        <v>50.999450000000003</v>
      </c>
      <c r="AB7">
        <v>56.170310000000001</v>
      </c>
      <c r="AC7">
        <v>113.07567</v>
      </c>
      <c r="AD7">
        <v>267.05103000000003</v>
      </c>
      <c r="AE7">
        <v>267.05103000000003</v>
      </c>
      <c r="AF7">
        <v>142.50736000000001</v>
      </c>
      <c r="AG7">
        <v>87.000330000000005</v>
      </c>
      <c r="AH7">
        <v>71.100340000000003</v>
      </c>
      <c r="AI7">
        <v>50.59</v>
      </c>
      <c r="AJ7">
        <v>112.16166</v>
      </c>
      <c r="AK7">
        <v>75.830219999999997</v>
      </c>
      <c r="AL7">
        <v>81.130420000000001</v>
      </c>
      <c r="AM7">
        <v>50.51003</v>
      </c>
      <c r="AN7">
        <v>149.65051</v>
      </c>
      <c r="AO7">
        <v>48.370170000000002</v>
      </c>
      <c r="AP7">
        <v>110.67722000000001</v>
      </c>
      <c r="AQ7">
        <v>161.03894</v>
      </c>
      <c r="AR7">
        <v>133.51358999999999</v>
      </c>
      <c r="AS7">
        <v>75.830240000000003</v>
      </c>
      <c r="AT7">
        <v>75.830240000000003</v>
      </c>
      <c r="AU7">
        <v>122.62116</v>
      </c>
      <c r="AV7">
        <v>54.00027</v>
      </c>
      <c r="AW7">
        <v>87.089789999999994</v>
      </c>
      <c r="AX7">
        <v>62.820399999999999</v>
      </c>
    </row>
    <row r="8" spans="1:50" x14ac:dyDescent="0.2">
      <c r="A8" s="2">
        <v>43343</v>
      </c>
      <c r="B8">
        <v>81.23021</v>
      </c>
      <c r="C8">
        <v>88.849890000000002</v>
      </c>
      <c r="D8">
        <v>79.320059999999998</v>
      </c>
      <c r="F8">
        <v>54.719169999999998</v>
      </c>
      <c r="G8">
        <v>78.290009999999995</v>
      </c>
      <c r="H8">
        <v>114.02772</v>
      </c>
      <c r="J8">
        <v>100.26640999999999</v>
      </c>
      <c r="K8">
        <v>127.80807</v>
      </c>
      <c r="L8">
        <v>79.900400000000005</v>
      </c>
      <c r="M8">
        <v>165.66501</v>
      </c>
      <c r="N8">
        <v>189.9306</v>
      </c>
      <c r="O8">
        <v>142.52670000000001</v>
      </c>
      <c r="P8">
        <v>84.169280000000001</v>
      </c>
      <c r="Q8">
        <v>88.538160000000005</v>
      </c>
      <c r="R8">
        <v>78.40061</v>
      </c>
      <c r="S8">
        <v>43.119779999999999</v>
      </c>
      <c r="T8">
        <v>52.090130000000002</v>
      </c>
      <c r="U8">
        <v>62.679830000000003</v>
      </c>
      <c r="V8">
        <v>56.399610000000003</v>
      </c>
      <c r="W8">
        <v>74.390320000000003</v>
      </c>
      <c r="X8">
        <v>59.930660000000003</v>
      </c>
      <c r="Y8">
        <v>109.35857</v>
      </c>
      <c r="Z8">
        <v>65.490219999999994</v>
      </c>
      <c r="AA8">
        <v>51.430019999999999</v>
      </c>
      <c r="AB8">
        <v>57.800319999999999</v>
      </c>
      <c r="AC8">
        <v>114.62365</v>
      </c>
      <c r="AD8">
        <v>266.72705000000002</v>
      </c>
      <c r="AE8">
        <v>266.72705000000002</v>
      </c>
      <c r="AF8">
        <v>143.21038999999999</v>
      </c>
      <c r="AG8">
        <v>86.810239999999993</v>
      </c>
      <c r="AH8">
        <v>69.870050000000006</v>
      </c>
      <c r="AJ8">
        <v>114.52827000000001</v>
      </c>
      <c r="AK8">
        <v>76.129620000000003</v>
      </c>
      <c r="AL8">
        <v>81.62988</v>
      </c>
      <c r="AM8">
        <v>51.000770000000003</v>
      </c>
      <c r="AN8">
        <v>150.06613999999999</v>
      </c>
      <c r="AO8">
        <v>48.999789999999997</v>
      </c>
      <c r="AP8">
        <v>110.71256</v>
      </c>
      <c r="AQ8">
        <v>160.74152000000001</v>
      </c>
      <c r="AR8">
        <v>133.47201000000001</v>
      </c>
      <c r="AS8">
        <v>74.911249999999995</v>
      </c>
      <c r="AT8">
        <v>74.911249999999995</v>
      </c>
      <c r="AU8">
        <v>125.10178000000001</v>
      </c>
      <c r="AV8">
        <v>54.14996</v>
      </c>
      <c r="AW8">
        <v>87.410480000000007</v>
      </c>
      <c r="AX8">
        <v>62.510390000000001</v>
      </c>
    </row>
    <row r="9" spans="1:50" x14ac:dyDescent="0.2">
      <c r="A9" s="2">
        <v>43312</v>
      </c>
      <c r="B9">
        <v>80.820689999999999</v>
      </c>
      <c r="C9">
        <v>88.720389999999995</v>
      </c>
      <c r="D9">
        <v>78.98021</v>
      </c>
      <c r="F9">
        <v>54.739420000000003</v>
      </c>
      <c r="G9">
        <v>78.130369999999999</v>
      </c>
      <c r="H9">
        <v>112.17668999999999</v>
      </c>
      <c r="J9">
        <v>96.959549999999993</v>
      </c>
      <c r="K9">
        <v>122.06986999999999</v>
      </c>
      <c r="L9">
        <v>78.130110000000002</v>
      </c>
      <c r="M9">
        <v>158.50358</v>
      </c>
      <c r="N9">
        <v>177.49724000000001</v>
      </c>
      <c r="O9">
        <v>139.16810000000001</v>
      </c>
      <c r="P9">
        <v>83.940060000000003</v>
      </c>
      <c r="Q9">
        <v>89.158630000000002</v>
      </c>
      <c r="R9">
        <v>78.16198</v>
      </c>
      <c r="S9">
        <v>43.879510000000003</v>
      </c>
      <c r="T9">
        <v>53.340389999999999</v>
      </c>
      <c r="U9">
        <v>62.350929999999998</v>
      </c>
      <c r="V9">
        <v>58.040869999999998</v>
      </c>
      <c r="W9">
        <v>73.598749999999995</v>
      </c>
      <c r="X9">
        <v>59.809019999999997</v>
      </c>
      <c r="Y9">
        <v>106.38455</v>
      </c>
      <c r="Z9">
        <v>66.403890000000004</v>
      </c>
      <c r="AA9">
        <v>51.289589999999997</v>
      </c>
      <c r="AB9">
        <v>58.999400000000001</v>
      </c>
      <c r="AC9">
        <v>114.01139999999999</v>
      </c>
      <c r="AD9">
        <v>258.38833</v>
      </c>
      <c r="AE9">
        <v>258.38833</v>
      </c>
      <c r="AF9">
        <v>136.85219000000001</v>
      </c>
      <c r="AG9">
        <v>84.420270000000002</v>
      </c>
      <c r="AH9">
        <v>70.540390000000002</v>
      </c>
      <c r="AJ9">
        <v>116.52840999999999</v>
      </c>
      <c r="AK9">
        <v>75.480149999999995</v>
      </c>
      <c r="AL9">
        <v>81.650720000000007</v>
      </c>
      <c r="AM9">
        <v>51.029769999999999</v>
      </c>
      <c r="AN9">
        <v>145.0873</v>
      </c>
      <c r="AO9">
        <v>48.770650000000003</v>
      </c>
      <c r="AP9">
        <v>108.66025</v>
      </c>
      <c r="AQ9">
        <v>153.57141999999999</v>
      </c>
      <c r="AR9">
        <v>129.27241000000001</v>
      </c>
      <c r="AS9">
        <v>76.529960000000003</v>
      </c>
      <c r="AT9">
        <v>76.529960000000003</v>
      </c>
      <c r="AU9">
        <v>119.7514</v>
      </c>
      <c r="AV9">
        <v>55.48001</v>
      </c>
      <c r="AW9">
        <v>86.450800000000001</v>
      </c>
      <c r="AX9">
        <v>64.529300000000006</v>
      </c>
    </row>
    <row r="10" spans="1:50" x14ac:dyDescent="0.2">
      <c r="A10" s="2">
        <v>43281</v>
      </c>
      <c r="B10">
        <v>80.969679999999997</v>
      </c>
      <c r="C10">
        <v>88.63982</v>
      </c>
      <c r="D10">
        <v>79.190790000000007</v>
      </c>
      <c r="F10">
        <v>54.708309999999997</v>
      </c>
      <c r="G10">
        <v>78.209789999999998</v>
      </c>
      <c r="H10">
        <v>114.72314</v>
      </c>
      <c r="J10">
        <v>93.389570000000006</v>
      </c>
      <c r="K10">
        <v>118.96460999999999</v>
      </c>
      <c r="L10">
        <v>74.409719999999993</v>
      </c>
      <c r="M10">
        <v>155.66738000000001</v>
      </c>
      <c r="N10">
        <v>175.79721000000001</v>
      </c>
      <c r="O10">
        <v>135.78914</v>
      </c>
      <c r="P10">
        <v>83.520290000000003</v>
      </c>
      <c r="Q10">
        <v>87.570250000000001</v>
      </c>
      <c r="R10">
        <v>78.099950000000007</v>
      </c>
      <c r="S10">
        <v>42.898780000000002</v>
      </c>
      <c r="T10">
        <v>51.840479999999999</v>
      </c>
      <c r="U10">
        <v>62.650970000000001</v>
      </c>
      <c r="V10">
        <v>56.130299999999998</v>
      </c>
      <c r="W10">
        <v>74.780429999999996</v>
      </c>
      <c r="X10">
        <v>59.9193</v>
      </c>
      <c r="Y10">
        <v>101.61394</v>
      </c>
      <c r="Z10">
        <v>64.759879999999995</v>
      </c>
      <c r="AA10">
        <v>51.409979999999997</v>
      </c>
      <c r="AB10">
        <v>58.079720000000002</v>
      </c>
      <c r="AC10">
        <v>110.46034</v>
      </c>
      <c r="AD10">
        <v>249.50116</v>
      </c>
      <c r="AE10">
        <v>249.50116</v>
      </c>
      <c r="AF10">
        <v>134.4075</v>
      </c>
      <c r="AG10">
        <v>84.920240000000007</v>
      </c>
      <c r="AH10">
        <v>69.979380000000006</v>
      </c>
      <c r="AJ10">
        <v>115.40588</v>
      </c>
      <c r="AK10">
        <v>73.37012</v>
      </c>
      <c r="AL10">
        <v>80.984669999999994</v>
      </c>
      <c r="AM10">
        <v>50.979529999999997</v>
      </c>
      <c r="AN10">
        <v>140.43361999999999</v>
      </c>
      <c r="AO10">
        <v>48.850079999999998</v>
      </c>
      <c r="AP10">
        <v>103.82047</v>
      </c>
      <c r="AQ10">
        <v>149.80459999999999</v>
      </c>
      <c r="AR10">
        <v>124.75758</v>
      </c>
      <c r="AS10">
        <v>75.300439999999995</v>
      </c>
      <c r="AT10">
        <v>75.300439999999995</v>
      </c>
      <c r="AU10">
        <v>117.79937</v>
      </c>
      <c r="AV10">
        <v>54.100020000000001</v>
      </c>
      <c r="AW10">
        <v>83.049899999999994</v>
      </c>
      <c r="AX10">
        <v>62.229300000000002</v>
      </c>
    </row>
    <row r="11" spans="1:50" x14ac:dyDescent="0.2">
      <c r="A11" s="2">
        <v>43251</v>
      </c>
      <c r="B11">
        <v>81.149230000000003</v>
      </c>
      <c r="C11">
        <v>89.458150000000003</v>
      </c>
      <c r="D11">
        <v>79.409620000000004</v>
      </c>
      <c r="F11">
        <v>54.429450000000003</v>
      </c>
      <c r="G11">
        <v>78.300169999999994</v>
      </c>
      <c r="H11">
        <v>114.04338</v>
      </c>
      <c r="J11">
        <v>93.279629999999997</v>
      </c>
      <c r="K11">
        <v>117.9263</v>
      </c>
      <c r="L11">
        <v>74.939800000000005</v>
      </c>
      <c r="M11">
        <v>154.98354</v>
      </c>
      <c r="N11">
        <v>173.94633999999999</v>
      </c>
      <c r="O11">
        <v>135.79984999999999</v>
      </c>
      <c r="P11">
        <v>83.921329999999998</v>
      </c>
      <c r="Q11">
        <v>88.890249999999995</v>
      </c>
      <c r="R11">
        <v>78.289339999999996</v>
      </c>
      <c r="S11">
        <v>44.169649999999997</v>
      </c>
      <c r="T11">
        <v>53.590910000000001</v>
      </c>
      <c r="U11">
        <v>62.711300000000001</v>
      </c>
      <c r="V11">
        <v>57.959670000000003</v>
      </c>
      <c r="W11">
        <v>74.530739999999994</v>
      </c>
      <c r="X11">
        <v>60.004219999999997</v>
      </c>
      <c r="Y11">
        <v>101.89019999999999</v>
      </c>
      <c r="Z11">
        <v>66.0505</v>
      </c>
      <c r="AA11">
        <v>51.490130000000001</v>
      </c>
      <c r="AB11">
        <v>60.390839999999997</v>
      </c>
      <c r="AC11">
        <v>109.9194</v>
      </c>
      <c r="AD11">
        <v>248.78334000000001</v>
      </c>
      <c r="AE11">
        <v>248.78334000000001</v>
      </c>
      <c r="AF11">
        <v>133.33178000000001</v>
      </c>
      <c r="AG11">
        <v>82.580590000000001</v>
      </c>
      <c r="AH11">
        <v>72.390429999999995</v>
      </c>
      <c r="AJ11">
        <v>119.43788000000001</v>
      </c>
      <c r="AK11">
        <v>74.359780000000001</v>
      </c>
      <c r="AL11">
        <v>81.753559999999993</v>
      </c>
      <c r="AM11">
        <v>51.028799999999997</v>
      </c>
      <c r="AN11">
        <v>140.03619</v>
      </c>
      <c r="AO11">
        <v>49.0398</v>
      </c>
      <c r="AP11">
        <v>104.25072</v>
      </c>
      <c r="AQ11">
        <v>148.50629000000001</v>
      </c>
      <c r="AR11">
        <v>124.56511</v>
      </c>
      <c r="AS11">
        <v>76.260149999999996</v>
      </c>
      <c r="AT11">
        <v>76.260149999999996</v>
      </c>
      <c r="AU11">
        <v>117.24778000000001</v>
      </c>
      <c r="AV11">
        <v>55.879919999999998</v>
      </c>
      <c r="AW11">
        <v>83.919719999999998</v>
      </c>
      <c r="AX11">
        <v>64.389189999999999</v>
      </c>
    </row>
    <row r="12" spans="1:50" x14ac:dyDescent="0.2">
      <c r="A12" s="2">
        <v>43220</v>
      </c>
      <c r="B12">
        <v>80.731319999999997</v>
      </c>
      <c r="C12">
        <v>88.62088</v>
      </c>
      <c r="D12">
        <v>79.04992</v>
      </c>
      <c r="F12">
        <v>54.599060000000001</v>
      </c>
      <c r="G12">
        <v>78.139300000000006</v>
      </c>
      <c r="H12">
        <v>111.42643</v>
      </c>
      <c r="J12">
        <v>91.010019999999997</v>
      </c>
      <c r="K12">
        <v>112.70171000000001</v>
      </c>
      <c r="L12">
        <v>74.40119</v>
      </c>
      <c r="M12">
        <v>147.46992</v>
      </c>
      <c r="N12">
        <v>164.37723</v>
      </c>
      <c r="O12">
        <v>129.93637000000001</v>
      </c>
      <c r="P12">
        <v>83.668729999999996</v>
      </c>
      <c r="Q12">
        <v>88.749880000000005</v>
      </c>
      <c r="R12">
        <v>78.161950000000004</v>
      </c>
      <c r="S12">
        <v>44.809019999999997</v>
      </c>
      <c r="T12">
        <v>54.680599999999998</v>
      </c>
      <c r="U12">
        <v>62.32132</v>
      </c>
      <c r="V12">
        <v>59.400269999999999</v>
      </c>
      <c r="W12">
        <v>73.319059999999993</v>
      </c>
      <c r="X12">
        <v>59.859430000000003</v>
      </c>
      <c r="Y12">
        <v>100.11002999999999</v>
      </c>
      <c r="Z12">
        <v>65.439859999999996</v>
      </c>
      <c r="AA12">
        <v>51.220199999999998</v>
      </c>
      <c r="AB12">
        <v>61.239719999999998</v>
      </c>
      <c r="AC12">
        <v>109.87839</v>
      </c>
      <c r="AD12">
        <v>242.92600999999999</v>
      </c>
      <c r="AE12">
        <v>242.92600999999999</v>
      </c>
      <c r="AF12">
        <v>128.5145</v>
      </c>
      <c r="AG12">
        <v>84.810360000000003</v>
      </c>
      <c r="AH12">
        <v>73.199560000000005</v>
      </c>
      <c r="AJ12">
        <v>119.60214000000001</v>
      </c>
      <c r="AK12">
        <v>73.940979999999996</v>
      </c>
      <c r="AL12">
        <v>81.489670000000004</v>
      </c>
      <c r="AM12">
        <v>50.529319999999998</v>
      </c>
      <c r="AN12">
        <v>136.33223000000001</v>
      </c>
      <c r="AO12">
        <v>48.889200000000002</v>
      </c>
      <c r="AP12">
        <v>103.61386</v>
      </c>
      <c r="AQ12">
        <v>142.27844999999999</v>
      </c>
      <c r="AR12">
        <v>121.58249000000001</v>
      </c>
      <c r="AS12">
        <v>76.967969999999994</v>
      </c>
      <c r="AT12">
        <v>76.967969999999994</v>
      </c>
      <c r="AU12">
        <v>111.8095</v>
      </c>
      <c r="AV12">
        <v>56.810290000000002</v>
      </c>
      <c r="AW12">
        <v>82.600530000000006</v>
      </c>
      <c r="AX12">
        <v>66.609899999999996</v>
      </c>
    </row>
    <row r="13" spans="1:50" x14ac:dyDescent="0.2">
      <c r="A13" s="2">
        <v>43190</v>
      </c>
      <c r="B13">
        <v>81.769810000000007</v>
      </c>
      <c r="C13">
        <v>90.910240000000002</v>
      </c>
      <c r="D13">
        <v>79.929419999999993</v>
      </c>
      <c r="F13">
        <v>54.729349999999997</v>
      </c>
      <c r="G13">
        <v>78.440529999999995</v>
      </c>
      <c r="H13">
        <v>114.59974</v>
      </c>
      <c r="J13">
        <v>90.589380000000006</v>
      </c>
      <c r="K13">
        <v>112.23775000000001</v>
      </c>
      <c r="L13">
        <v>74.059939999999997</v>
      </c>
      <c r="M13">
        <v>146.92162999999999</v>
      </c>
      <c r="N13">
        <v>163.95417</v>
      </c>
      <c r="O13">
        <v>129.41540000000001</v>
      </c>
      <c r="P13">
        <v>84.838890000000006</v>
      </c>
      <c r="Q13">
        <v>91.360259999999997</v>
      </c>
      <c r="R13">
        <v>78.430090000000007</v>
      </c>
      <c r="S13">
        <v>44.25009</v>
      </c>
      <c r="T13">
        <v>54.371319999999997</v>
      </c>
      <c r="U13">
        <v>62.979430000000001</v>
      </c>
      <c r="V13">
        <v>58.150370000000002</v>
      </c>
      <c r="W13">
        <v>75.021680000000003</v>
      </c>
      <c r="X13">
        <v>60.040260000000004</v>
      </c>
      <c r="Y13">
        <v>101.04707000000001</v>
      </c>
      <c r="Z13">
        <v>64.410600000000002</v>
      </c>
      <c r="AA13">
        <v>51.598559999999999</v>
      </c>
      <c r="AB13">
        <v>60.92022</v>
      </c>
      <c r="AC13">
        <v>109.38625999999999</v>
      </c>
      <c r="AD13">
        <v>242.07903999999999</v>
      </c>
      <c r="AE13">
        <v>242.07903999999999</v>
      </c>
      <c r="AF13">
        <v>129.60292000000001</v>
      </c>
      <c r="AG13">
        <v>83.67004</v>
      </c>
      <c r="AH13">
        <v>72.95044</v>
      </c>
      <c r="AJ13">
        <v>119.24281999999999</v>
      </c>
      <c r="AK13">
        <v>73.629689999999997</v>
      </c>
      <c r="AL13">
        <v>82.589259999999996</v>
      </c>
      <c r="AM13">
        <v>50.819569999999999</v>
      </c>
      <c r="AN13">
        <v>135.72001</v>
      </c>
      <c r="AO13">
        <v>48.909689999999998</v>
      </c>
      <c r="AP13">
        <v>103.17216000000001</v>
      </c>
      <c r="AQ13">
        <v>141.88351</v>
      </c>
      <c r="AR13">
        <v>121.22499000000001</v>
      </c>
      <c r="AS13">
        <v>78.450249999999997</v>
      </c>
      <c r="AT13">
        <v>78.450249999999997</v>
      </c>
      <c r="AU13">
        <v>111.56599</v>
      </c>
      <c r="AV13">
        <v>56.549619999999997</v>
      </c>
      <c r="AW13">
        <v>82.491029999999995</v>
      </c>
      <c r="AX13">
        <v>66.449489999999997</v>
      </c>
    </row>
    <row r="14" spans="1:50" x14ac:dyDescent="0.2">
      <c r="A14" s="2">
        <v>43159</v>
      </c>
      <c r="B14">
        <v>81.510270000000006</v>
      </c>
      <c r="C14">
        <v>89.829179999999994</v>
      </c>
      <c r="D14">
        <v>79.54992</v>
      </c>
      <c r="F14">
        <v>54.151159999999997</v>
      </c>
      <c r="G14">
        <v>78.369829999999993</v>
      </c>
      <c r="H14">
        <v>110.85096</v>
      </c>
      <c r="J14">
        <v>93.860150000000004</v>
      </c>
      <c r="K14">
        <v>116.17845</v>
      </c>
      <c r="L14">
        <v>76.499380000000002</v>
      </c>
      <c r="M14">
        <v>145.76132999999999</v>
      </c>
      <c r="N14">
        <v>161.76658</v>
      </c>
      <c r="O14">
        <v>128.93683999999999</v>
      </c>
      <c r="P14">
        <v>84.840130000000002</v>
      </c>
      <c r="Q14">
        <v>90.798190000000005</v>
      </c>
      <c r="R14">
        <v>78.461200000000005</v>
      </c>
      <c r="S14">
        <v>44.589089999999999</v>
      </c>
      <c r="T14">
        <v>54.77</v>
      </c>
      <c r="U14">
        <v>62.623860000000001</v>
      </c>
      <c r="V14">
        <v>58.640560000000001</v>
      </c>
      <c r="W14">
        <v>73.080370000000002</v>
      </c>
      <c r="X14">
        <v>59.999090000000002</v>
      </c>
      <c r="Y14">
        <v>102.82666</v>
      </c>
      <c r="Z14">
        <v>64.660210000000006</v>
      </c>
      <c r="AA14">
        <v>51.410469999999997</v>
      </c>
      <c r="AB14">
        <v>59.319009999999999</v>
      </c>
      <c r="AC14">
        <v>110.23614000000001</v>
      </c>
      <c r="AD14">
        <v>249.34293</v>
      </c>
      <c r="AE14">
        <v>249.34293</v>
      </c>
      <c r="AF14">
        <v>129.66494</v>
      </c>
      <c r="AG14">
        <v>86.919650000000004</v>
      </c>
      <c r="AH14">
        <v>73.299459999999996</v>
      </c>
      <c r="AJ14">
        <v>119.00642999999999</v>
      </c>
      <c r="AK14">
        <v>74.850120000000004</v>
      </c>
      <c r="AL14">
        <v>82.449119999999994</v>
      </c>
      <c r="AM14">
        <v>50.689749999999997</v>
      </c>
      <c r="AN14">
        <v>139.00041999999999</v>
      </c>
      <c r="AO14">
        <v>48.619770000000003</v>
      </c>
      <c r="AP14">
        <v>106.40470999999999</v>
      </c>
      <c r="AQ14">
        <v>145.85558</v>
      </c>
      <c r="AR14">
        <v>124.76761999999999</v>
      </c>
      <c r="AS14">
        <v>78.319180000000003</v>
      </c>
      <c r="AT14">
        <v>78.319180000000003</v>
      </c>
      <c r="AU14">
        <v>111.1272</v>
      </c>
      <c r="AV14">
        <v>56.910960000000003</v>
      </c>
      <c r="AW14">
        <v>84.940020000000004</v>
      </c>
      <c r="AX14">
        <v>67.049869999999999</v>
      </c>
    </row>
    <row r="15" spans="1:50" x14ac:dyDescent="0.2">
      <c r="A15" s="2">
        <v>43131</v>
      </c>
      <c r="B15">
        <v>82.538439999999994</v>
      </c>
      <c r="C15">
        <v>93.020039999999995</v>
      </c>
      <c r="D15">
        <v>80.559020000000004</v>
      </c>
      <c r="F15">
        <v>54.060929999999999</v>
      </c>
      <c r="G15">
        <v>78.720879999999994</v>
      </c>
      <c r="H15">
        <v>115.82079</v>
      </c>
      <c r="J15">
        <v>97.249899999999997</v>
      </c>
      <c r="K15">
        <v>119.51430000000001</v>
      </c>
      <c r="L15">
        <v>80.000110000000006</v>
      </c>
      <c r="M15">
        <v>151.79058000000001</v>
      </c>
      <c r="N15">
        <v>167.08247</v>
      </c>
      <c r="O15">
        <v>135.33853999999999</v>
      </c>
      <c r="P15">
        <v>86.380920000000003</v>
      </c>
      <c r="Q15">
        <v>94.720849999999999</v>
      </c>
      <c r="R15">
        <v>79.030320000000003</v>
      </c>
      <c r="S15">
        <v>46.989379999999997</v>
      </c>
      <c r="T15">
        <v>57.839030000000001</v>
      </c>
      <c r="U15">
        <v>63.015779999999999</v>
      </c>
      <c r="V15">
        <v>62.479520000000001</v>
      </c>
      <c r="W15">
        <v>75.509069999999994</v>
      </c>
      <c r="X15">
        <v>60.087679999999999</v>
      </c>
      <c r="Y15">
        <v>107.15167</v>
      </c>
      <c r="Z15">
        <v>68.890240000000006</v>
      </c>
      <c r="AA15">
        <v>51.847569999999997</v>
      </c>
      <c r="AB15">
        <v>63.820079999999997</v>
      </c>
      <c r="AC15">
        <v>115.65421000000001</v>
      </c>
      <c r="AD15">
        <v>258.98903000000001</v>
      </c>
      <c r="AE15">
        <v>258.98903000000001</v>
      </c>
      <c r="AF15">
        <v>134.06618</v>
      </c>
      <c r="AG15">
        <v>92.189130000000006</v>
      </c>
      <c r="AH15">
        <v>76.359579999999994</v>
      </c>
      <c r="AJ15">
        <v>124.51103999999999</v>
      </c>
      <c r="AK15">
        <v>78.329750000000004</v>
      </c>
      <c r="AL15">
        <v>84.270129999999995</v>
      </c>
      <c r="AM15">
        <v>51.099589999999999</v>
      </c>
      <c r="AN15">
        <v>144.43052</v>
      </c>
      <c r="AO15">
        <v>48.650500000000001</v>
      </c>
      <c r="AP15">
        <v>111.33239</v>
      </c>
      <c r="AQ15">
        <v>150.25115</v>
      </c>
      <c r="AR15">
        <v>129.57821000000001</v>
      </c>
      <c r="AS15">
        <v>79.899090000000001</v>
      </c>
      <c r="AT15">
        <v>79.899090000000001</v>
      </c>
      <c r="AU15">
        <v>115.44164000000001</v>
      </c>
      <c r="AV15">
        <v>60.060339999999997</v>
      </c>
      <c r="AW15">
        <v>89.150379999999998</v>
      </c>
      <c r="AX15">
        <v>70.940060000000003</v>
      </c>
    </row>
    <row r="16" spans="1:50" x14ac:dyDescent="0.2">
      <c r="A16" s="2">
        <v>43100</v>
      </c>
      <c r="B16">
        <v>83.830669999999998</v>
      </c>
      <c r="C16">
        <v>95.081400000000002</v>
      </c>
      <c r="D16">
        <v>81.571870000000004</v>
      </c>
      <c r="F16">
        <v>54.372610000000002</v>
      </c>
      <c r="G16">
        <v>79.098699999999994</v>
      </c>
      <c r="H16">
        <v>120.97736999999999</v>
      </c>
      <c r="J16">
        <v>91.789609999999996</v>
      </c>
      <c r="K16">
        <v>111.33642</v>
      </c>
      <c r="L16">
        <v>76.460099999999997</v>
      </c>
      <c r="M16">
        <v>147.79823999999999</v>
      </c>
      <c r="N16">
        <v>160.84864999999999</v>
      </c>
      <c r="O16">
        <v>132.77376000000001</v>
      </c>
      <c r="P16">
        <v>87.38982</v>
      </c>
      <c r="Q16">
        <v>95.749859999999998</v>
      </c>
      <c r="R16">
        <v>79.301450000000003</v>
      </c>
      <c r="S16">
        <v>44.860280000000003</v>
      </c>
      <c r="T16">
        <v>54.719340000000003</v>
      </c>
      <c r="U16">
        <v>63.939190000000004</v>
      </c>
      <c r="V16">
        <v>59.149850000000001</v>
      </c>
      <c r="W16">
        <v>78.000429999999994</v>
      </c>
      <c r="X16">
        <v>60.27984</v>
      </c>
      <c r="Y16">
        <v>102.03749999999999</v>
      </c>
      <c r="Z16">
        <v>66.300240000000002</v>
      </c>
      <c r="AA16">
        <v>52.439410000000002</v>
      </c>
      <c r="AB16">
        <v>60.480609999999999</v>
      </c>
      <c r="AC16">
        <v>111.55459999999999</v>
      </c>
      <c r="AD16">
        <v>245.29383000000001</v>
      </c>
      <c r="AE16">
        <v>245.29383000000001</v>
      </c>
      <c r="AF16">
        <v>127.72678000000001</v>
      </c>
      <c r="AG16">
        <v>91.150419999999997</v>
      </c>
      <c r="AH16">
        <v>72.899420000000006</v>
      </c>
      <c r="AJ16">
        <v>119.23237</v>
      </c>
      <c r="AK16">
        <v>74.260249999999999</v>
      </c>
      <c r="AL16">
        <v>85.000039999999998</v>
      </c>
      <c r="AM16">
        <v>51.676720000000003</v>
      </c>
      <c r="AN16">
        <v>137.25868</v>
      </c>
      <c r="AO16">
        <v>48.819540000000003</v>
      </c>
      <c r="AP16">
        <v>106.33240000000001</v>
      </c>
      <c r="AQ16">
        <v>140.63775000000001</v>
      </c>
      <c r="AR16">
        <v>122.57259999999999</v>
      </c>
      <c r="AS16">
        <v>80.271839999999997</v>
      </c>
      <c r="AT16">
        <v>80.271839999999997</v>
      </c>
      <c r="AU16">
        <v>111.73774</v>
      </c>
      <c r="AV16">
        <v>56.809739999999998</v>
      </c>
      <c r="AW16">
        <v>85.631169999999997</v>
      </c>
      <c r="AX16">
        <v>67.000630000000001</v>
      </c>
    </row>
    <row r="17" spans="1:50" x14ac:dyDescent="0.2">
      <c r="A17" s="2">
        <v>43069</v>
      </c>
      <c r="B17">
        <v>84.079499999999996</v>
      </c>
      <c r="C17">
        <v>93.910600000000002</v>
      </c>
      <c r="D17">
        <v>81.511520000000004</v>
      </c>
      <c r="F17">
        <v>54.961979999999997</v>
      </c>
      <c r="G17">
        <v>79.3596</v>
      </c>
      <c r="H17">
        <v>118.43625</v>
      </c>
      <c r="J17">
        <v>91.090670000000003</v>
      </c>
      <c r="K17">
        <v>110.57756000000001</v>
      </c>
      <c r="L17">
        <v>75.700119999999998</v>
      </c>
      <c r="M17">
        <v>147.90492</v>
      </c>
      <c r="N17">
        <v>160.97511</v>
      </c>
      <c r="O17">
        <v>132.96430000000001</v>
      </c>
      <c r="P17">
        <v>87.492260000000002</v>
      </c>
      <c r="Q17">
        <v>94.350620000000006</v>
      </c>
      <c r="R17">
        <v>79.631029999999996</v>
      </c>
      <c r="S17">
        <v>44.56062</v>
      </c>
      <c r="T17">
        <v>54.080300000000001</v>
      </c>
      <c r="U17">
        <v>64.12106</v>
      </c>
      <c r="V17">
        <v>58.570079999999997</v>
      </c>
      <c r="W17">
        <v>77.030410000000003</v>
      </c>
      <c r="X17">
        <v>60.430129999999998</v>
      </c>
      <c r="Y17">
        <v>101.12103999999999</v>
      </c>
      <c r="Z17">
        <v>65.830749999999995</v>
      </c>
      <c r="AA17">
        <v>52.538989999999998</v>
      </c>
      <c r="AB17">
        <v>60.519919999999999</v>
      </c>
      <c r="AC17">
        <v>110.1139</v>
      </c>
      <c r="AD17">
        <v>243.35032000000001</v>
      </c>
      <c r="AE17">
        <v>243.35032000000001</v>
      </c>
      <c r="AF17">
        <v>127.97716</v>
      </c>
      <c r="AG17">
        <v>91.64949</v>
      </c>
      <c r="AH17">
        <v>72.739059999999995</v>
      </c>
      <c r="AJ17">
        <v>117.64832</v>
      </c>
      <c r="AK17">
        <v>73.579470000000001</v>
      </c>
      <c r="AL17">
        <v>84.688370000000006</v>
      </c>
      <c r="AM17">
        <v>51.409759999999999</v>
      </c>
      <c r="AN17">
        <v>136.34316999999999</v>
      </c>
      <c r="AO17">
        <v>49.479649999999999</v>
      </c>
      <c r="AP17">
        <v>105.2376</v>
      </c>
      <c r="AQ17">
        <v>139.91404</v>
      </c>
      <c r="AR17">
        <v>121.64689</v>
      </c>
      <c r="AS17">
        <v>80.2393</v>
      </c>
      <c r="AT17">
        <v>80.2393</v>
      </c>
      <c r="AU17">
        <v>111.94099</v>
      </c>
      <c r="AV17">
        <v>56.190370000000001</v>
      </c>
      <c r="AW17">
        <v>85.010369999999995</v>
      </c>
      <c r="AX17">
        <v>66.180509999999998</v>
      </c>
    </row>
    <row r="18" spans="1:50" x14ac:dyDescent="0.2">
      <c r="A18" s="2">
        <v>43039</v>
      </c>
      <c r="B18">
        <v>84.491060000000004</v>
      </c>
      <c r="C18">
        <v>93.498400000000004</v>
      </c>
      <c r="D18">
        <v>81.771860000000004</v>
      </c>
      <c r="F18">
        <v>54.880180000000003</v>
      </c>
      <c r="G18">
        <v>79.690380000000005</v>
      </c>
      <c r="H18">
        <v>116.84383</v>
      </c>
      <c r="J18">
        <v>88.419499999999999</v>
      </c>
      <c r="K18">
        <v>107.89886</v>
      </c>
      <c r="L18">
        <v>73.199100000000001</v>
      </c>
      <c r="M18">
        <v>143.52286000000001</v>
      </c>
      <c r="N18">
        <v>156.19767999999999</v>
      </c>
      <c r="O18">
        <v>128.88564</v>
      </c>
      <c r="P18">
        <v>87.948170000000005</v>
      </c>
      <c r="Q18">
        <v>94.511700000000005</v>
      </c>
      <c r="R18">
        <v>80.04083</v>
      </c>
      <c r="S18">
        <v>44.180210000000002</v>
      </c>
      <c r="T18">
        <v>53.74033</v>
      </c>
      <c r="U18">
        <v>64.440330000000003</v>
      </c>
      <c r="V18">
        <v>58.600439999999999</v>
      </c>
      <c r="W18">
        <v>76.659670000000006</v>
      </c>
      <c r="X18">
        <v>60.592579999999998</v>
      </c>
      <c r="Y18">
        <v>96.779889999999995</v>
      </c>
      <c r="Z18">
        <v>64.390950000000004</v>
      </c>
      <c r="AA18">
        <v>52.730249999999998</v>
      </c>
      <c r="AB18">
        <v>59.660330000000002</v>
      </c>
      <c r="AC18">
        <v>106.49732</v>
      </c>
      <c r="AD18">
        <v>236.12995000000001</v>
      </c>
      <c r="AE18">
        <v>236.12995000000001</v>
      </c>
      <c r="AF18">
        <v>124.46747999999999</v>
      </c>
      <c r="AG18">
        <v>89.429919999999996</v>
      </c>
      <c r="AH18">
        <v>71.150080000000003</v>
      </c>
      <c r="AJ18">
        <v>116.63491999999999</v>
      </c>
      <c r="AK18">
        <v>72.208830000000006</v>
      </c>
      <c r="AM18">
        <v>51.64846</v>
      </c>
      <c r="AN18">
        <v>132.32793000000001</v>
      </c>
      <c r="AO18">
        <v>49.539969999999997</v>
      </c>
      <c r="AP18">
        <v>101.65276</v>
      </c>
      <c r="AQ18">
        <v>136.60361</v>
      </c>
      <c r="AR18">
        <v>118.11178</v>
      </c>
      <c r="AS18">
        <v>80.960250000000002</v>
      </c>
      <c r="AT18">
        <v>80.960250000000002</v>
      </c>
      <c r="AU18">
        <v>108.56681</v>
      </c>
      <c r="AV18">
        <v>55.841000000000001</v>
      </c>
      <c r="AW18">
        <v>82.478890000000007</v>
      </c>
      <c r="AX18">
        <v>65.908280000000005</v>
      </c>
    </row>
    <row r="19" spans="1:50" x14ac:dyDescent="0.2">
      <c r="A19" s="2">
        <v>43008</v>
      </c>
      <c r="B19">
        <v>84.661680000000004</v>
      </c>
      <c r="C19">
        <v>93.767229999999998</v>
      </c>
      <c r="D19">
        <v>81.96163</v>
      </c>
      <c r="F19">
        <v>54.587789999999998</v>
      </c>
      <c r="G19">
        <v>79.819919999999996</v>
      </c>
      <c r="H19">
        <v>116.72859</v>
      </c>
      <c r="J19">
        <v>86.269589999999994</v>
      </c>
      <c r="K19">
        <v>104.72298000000001</v>
      </c>
      <c r="L19">
        <v>71.790009999999995</v>
      </c>
      <c r="M19">
        <v>141.32158999999999</v>
      </c>
      <c r="N19">
        <v>152.63485</v>
      </c>
      <c r="O19">
        <v>127.81176000000001</v>
      </c>
      <c r="P19">
        <v>88.009500000000003</v>
      </c>
      <c r="Q19">
        <v>94.239959999999996</v>
      </c>
      <c r="R19">
        <v>80.130690000000001</v>
      </c>
      <c r="S19">
        <v>43.411020000000001</v>
      </c>
      <c r="T19">
        <v>52.711030000000001</v>
      </c>
      <c r="U19">
        <v>64.658720000000002</v>
      </c>
      <c r="V19">
        <v>58.330309999999997</v>
      </c>
      <c r="W19">
        <v>76.889949999999999</v>
      </c>
      <c r="X19">
        <v>60.727440000000001</v>
      </c>
      <c r="Y19">
        <v>94.790149999999997</v>
      </c>
      <c r="Z19">
        <v>63.899760000000001</v>
      </c>
      <c r="AA19">
        <v>52.779339999999998</v>
      </c>
      <c r="AB19">
        <v>59.410110000000003</v>
      </c>
      <c r="AC19">
        <v>105.63722</v>
      </c>
      <c r="AD19">
        <v>230.75328999999999</v>
      </c>
      <c r="AE19">
        <v>230.75328999999999</v>
      </c>
      <c r="AF19">
        <v>121.74670999999999</v>
      </c>
      <c r="AG19">
        <v>92.260210000000001</v>
      </c>
      <c r="AH19">
        <v>68.198809999999995</v>
      </c>
      <c r="AJ19">
        <v>114.93199</v>
      </c>
      <c r="AK19">
        <v>70.720249999999993</v>
      </c>
      <c r="AM19">
        <v>51.65795</v>
      </c>
      <c r="AN19">
        <v>129.51725999999999</v>
      </c>
      <c r="AO19">
        <v>49.448450000000001</v>
      </c>
      <c r="AP19">
        <v>99.819289999999995</v>
      </c>
      <c r="AQ19">
        <v>132.76351</v>
      </c>
      <c r="AR19">
        <v>115.41149</v>
      </c>
      <c r="AS19">
        <v>81.148359999999997</v>
      </c>
      <c r="AT19">
        <v>81.148359999999997</v>
      </c>
      <c r="AU19">
        <v>107.12511000000001</v>
      </c>
      <c r="AV19">
        <v>54.729289999999999</v>
      </c>
      <c r="AW19">
        <v>81.071569999999994</v>
      </c>
      <c r="AX19">
        <v>65.689859999999996</v>
      </c>
    </row>
    <row r="20" spans="1:50" x14ac:dyDescent="0.2">
      <c r="A20" s="2">
        <v>42978</v>
      </c>
      <c r="B20">
        <v>85.608080000000001</v>
      </c>
      <c r="C20">
        <v>94.861869999999996</v>
      </c>
      <c r="D20">
        <v>82.521600000000007</v>
      </c>
      <c r="F20">
        <v>54.859969999999997</v>
      </c>
      <c r="G20">
        <v>80.181169999999995</v>
      </c>
      <c r="H20">
        <v>121.62035</v>
      </c>
      <c r="J20">
        <v>84.979619999999997</v>
      </c>
      <c r="K20">
        <v>104.069</v>
      </c>
      <c r="L20">
        <v>70.159980000000004</v>
      </c>
      <c r="M20">
        <v>135.87262000000001</v>
      </c>
      <c r="N20">
        <v>147.14293000000001</v>
      </c>
      <c r="O20">
        <v>122.3389</v>
      </c>
      <c r="P20">
        <v>88.572519999999997</v>
      </c>
      <c r="Q20">
        <v>94.478880000000004</v>
      </c>
      <c r="R20">
        <v>80.371080000000006</v>
      </c>
      <c r="S20">
        <v>42.518599999999999</v>
      </c>
      <c r="T20">
        <v>52.051220000000001</v>
      </c>
      <c r="U20">
        <v>65.327179999999998</v>
      </c>
      <c r="V20">
        <v>56.740259999999999</v>
      </c>
      <c r="W20">
        <v>78.818269999999998</v>
      </c>
      <c r="X20">
        <v>60.881880000000002</v>
      </c>
      <c r="Y20">
        <v>93.011020000000002</v>
      </c>
      <c r="Z20">
        <v>63.65869</v>
      </c>
      <c r="AA20">
        <v>53.041730000000001</v>
      </c>
      <c r="AB20">
        <v>59.28931</v>
      </c>
      <c r="AC20">
        <v>103.3094</v>
      </c>
      <c r="AD20">
        <v>227.29075</v>
      </c>
      <c r="AE20">
        <v>227.29075</v>
      </c>
      <c r="AF20">
        <v>119.98179</v>
      </c>
      <c r="AG20">
        <v>93.548289999999994</v>
      </c>
      <c r="AH20">
        <v>67.719579999999993</v>
      </c>
      <c r="AJ20">
        <v>113.08168000000001</v>
      </c>
      <c r="AK20">
        <v>69.609520000000003</v>
      </c>
      <c r="AM20">
        <v>51.990929999999999</v>
      </c>
      <c r="AN20">
        <v>126.9914</v>
      </c>
      <c r="AO20">
        <v>49.500450000000001</v>
      </c>
      <c r="AP20">
        <v>97.588629999999995</v>
      </c>
      <c r="AQ20">
        <v>131.78684999999999</v>
      </c>
      <c r="AR20">
        <v>113.6429</v>
      </c>
      <c r="AS20">
        <v>81.580340000000007</v>
      </c>
      <c r="AT20">
        <v>81.580340000000007</v>
      </c>
      <c r="AU20">
        <v>103.07465999999999</v>
      </c>
      <c r="AV20">
        <v>54.010809999999999</v>
      </c>
      <c r="AW20">
        <v>79.280640000000005</v>
      </c>
      <c r="AX20">
        <v>64.798270000000002</v>
      </c>
    </row>
    <row r="21" spans="1:50" x14ac:dyDescent="0.2">
      <c r="A21" s="2">
        <v>42947</v>
      </c>
      <c r="B21">
        <v>84.889690000000002</v>
      </c>
      <c r="C21">
        <v>93.223389999999995</v>
      </c>
      <c r="D21">
        <v>81.989469999999997</v>
      </c>
      <c r="F21">
        <v>54.400170000000003</v>
      </c>
      <c r="G21">
        <v>80.019980000000004</v>
      </c>
      <c r="H21">
        <v>115.96653000000001</v>
      </c>
      <c r="J21">
        <v>84.590159999999997</v>
      </c>
      <c r="K21">
        <v>102.70475999999999</v>
      </c>
      <c r="L21">
        <v>70.479429999999994</v>
      </c>
      <c r="M21">
        <v>137.16762</v>
      </c>
      <c r="N21">
        <v>147.71054000000001</v>
      </c>
      <c r="O21">
        <v>124.15478</v>
      </c>
      <c r="P21">
        <v>88.130520000000004</v>
      </c>
      <c r="Q21">
        <v>93.709109999999995</v>
      </c>
      <c r="R21">
        <v>80.240039999999993</v>
      </c>
      <c r="S21">
        <v>42.508099999999999</v>
      </c>
      <c r="T21">
        <v>51.720860000000002</v>
      </c>
      <c r="U21">
        <v>64.828620000000001</v>
      </c>
      <c r="V21">
        <v>56.699269999999999</v>
      </c>
      <c r="W21">
        <v>76.488100000000003</v>
      </c>
      <c r="X21">
        <v>60.812690000000003</v>
      </c>
      <c r="Y21">
        <v>93.349500000000006</v>
      </c>
      <c r="Z21">
        <v>63.160269999999997</v>
      </c>
      <c r="AA21">
        <v>52.760019999999997</v>
      </c>
      <c r="AB21">
        <v>58.549349999999997</v>
      </c>
      <c r="AC21">
        <v>104.61277</v>
      </c>
      <c r="AD21">
        <v>226.63851</v>
      </c>
      <c r="AE21">
        <v>226.63851</v>
      </c>
      <c r="AF21">
        <v>119.78915000000001</v>
      </c>
      <c r="AG21">
        <v>93.769440000000003</v>
      </c>
      <c r="AH21">
        <v>67.610470000000007</v>
      </c>
      <c r="AJ21">
        <v>112.03269</v>
      </c>
      <c r="AK21">
        <v>69.320509999999999</v>
      </c>
      <c r="AM21">
        <v>51.649389999999997</v>
      </c>
      <c r="AN21">
        <v>126.79495</v>
      </c>
      <c r="AO21">
        <v>49.360039999999998</v>
      </c>
      <c r="AP21">
        <v>98.050150000000002</v>
      </c>
      <c r="AQ21">
        <v>130.27464000000001</v>
      </c>
      <c r="AR21">
        <v>113.31143</v>
      </c>
      <c r="AS21">
        <v>80.438980000000001</v>
      </c>
      <c r="AT21">
        <v>80.438980000000001</v>
      </c>
      <c r="AU21">
        <v>103.42323</v>
      </c>
      <c r="AV21">
        <v>53.720359999999999</v>
      </c>
      <c r="AW21">
        <v>79.420100000000005</v>
      </c>
      <c r="AX21">
        <v>64.661159999999995</v>
      </c>
    </row>
    <row r="22" spans="1:50" x14ac:dyDescent="0.2">
      <c r="A22" s="2">
        <v>42916</v>
      </c>
      <c r="B22">
        <v>84.530349999999999</v>
      </c>
      <c r="C22">
        <v>93.141480000000001</v>
      </c>
      <c r="D22">
        <v>81.829660000000004</v>
      </c>
      <c r="F22">
        <v>54.36092</v>
      </c>
      <c r="G22">
        <v>79.849119999999999</v>
      </c>
      <c r="H22">
        <v>117.44327</v>
      </c>
      <c r="J22">
        <v>82.8904</v>
      </c>
      <c r="K22">
        <v>100.05671</v>
      </c>
      <c r="L22">
        <v>69.360849999999999</v>
      </c>
      <c r="M22">
        <v>135.54373000000001</v>
      </c>
      <c r="N22">
        <v>145.73403999999999</v>
      </c>
      <c r="O22">
        <v>122.91998</v>
      </c>
      <c r="P22">
        <v>87.529970000000006</v>
      </c>
      <c r="Q22">
        <v>93.29759</v>
      </c>
      <c r="R22">
        <v>80.038600000000002</v>
      </c>
      <c r="S22">
        <v>41.319099999999999</v>
      </c>
      <c r="T22">
        <v>50.031300000000002</v>
      </c>
      <c r="U22">
        <v>64.651859999999999</v>
      </c>
      <c r="V22">
        <v>55.141489999999997</v>
      </c>
      <c r="W22">
        <v>77.079149999999998</v>
      </c>
      <c r="X22">
        <v>60.762659999999997</v>
      </c>
      <c r="Y22">
        <v>92.670469999999995</v>
      </c>
      <c r="Z22">
        <v>61.691690000000001</v>
      </c>
      <c r="AA22">
        <v>52.660440000000001</v>
      </c>
      <c r="AB22">
        <v>56.25047</v>
      </c>
      <c r="AC22">
        <v>102.8805</v>
      </c>
      <c r="AD22">
        <v>222.05211</v>
      </c>
      <c r="AE22">
        <v>222.05211</v>
      </c>
      <c r="AF22">
        <v>117.69044</v>
      </c>
      <c r="AG22">
        <v>91.829449999999994</v>
      </c>
      <c r="AH22">
        <v>65.799689999999998</v>
      </c>
      <c r="AJ22">
        <v>108.11994</v>
      </c>
      <c r="AK22">
        <v>67.529250000000005</v>
      </c>
      <c r="AM22">
        <v>51.320309999999999</v>
      </c>
      <c r="AN22">
        <v>124.44785</v>
      </c>
      <c r="AO22">
        <v>49.231079999999999</v>
      </c>
      <c r="AP22">
        <v>96.559910000000002</v>
      </c>
      <c r="AQ22">
        <v>127.02544</v>
      </c>
      <c r="AR22">
        <v>111.02221</v>
      </c>
      <c r="AS22">
        <v>80.110479999999995</v>
      </c>
      <c r="AT22">
        <v>80.110479999999995</v>
      </c>
      <c r="AU22">
        <v>102.30575</v>
      </c>
      <c r="AV22">
        <v>51.971339999999998</v>
      </c>
      <c r="AW22">
        <v>78.159739999999999</v>
      </c>
      <c r="AX22">
        <v>62.559849999999997</v>
      </c>
    </row>
    <row r="23" spans="1:50" x14ac:dyDescent="0.2">
      <c r="A23" s="2">
        <v>42886</v>
      </c>
      <c r="B23">
        <v>84.91086</v>
      </c>
      <c r="C23">
        <v>92.608649999999997</v>
      </c>
      <c r="D23">
        <v>81.958849999999998</v>
      </c>
      <c r="F23">
        <v>54.697969999999998</v>
      </c>
      <c r="G23">
        <v>80.029560000000004</v>
      </c>
      <c r="H23">
        <v>116.81976</v>
      </c>
      <c r="J23">
        <v>82.740600000000001</v>
      </c>
      <c r="K23">
        <v>100.94173000000001</v>
      </c>
      <c r="L23">
        <v>68.529179999999997</v>
      </c>
      <c r="M23">
        <v>132.92447999999999</v>
      </c>
      <c r="N23">
        <v>143.08279999999999</v>
      </c>
      <c r="O23">
        <v>120.38625</v>
      </c>
      <c r="P23">
        <v>87.821209999999994</v>
      </c>
      <c r="Q23">
        <v>92.529949999999999</v>
      </c>
      <c r="R23">
        <v>80.147850000000005</v>
      </c>
      <c r="S23">
        <v>41.539439999999999</v>
      </c>
      <c r="T23">
        <v>50.319240000000001</v>
      </c>
      <c r="U23">
        <v>65.038129999999995</v>
      </c>
      <c r="V23">
        <v>56.209620000000001</v>
      </c>
      <c r="W23">
        <v>76.738810000000001</v>
      </c>
      <c r="X23">
        <v>60.843420000000002</v>
      </c>
      <c r="Y23">
        <v>92.930670000000006</v>
      </c>
      <c r="Z23">
        <v>62.110370000000003</v>
      </c>
      <c r="AA23">
        <v>52.892589999999998</v>
      </c>
      <c r="AB23">
        <v>56.433610000000002</v>
      </c>
      <c r="AC23">
        <v>102.39584000000001</v>
      </c>
      <c r="AD23">
        <v>221.66426999999999</v>
      </c>
      <c r="AE23">
        <v>221.66426999999999</v>
      </c>
      <c r="AF23">
        <v>117.42511</v>
      </c>
      <c r="AG23">
        <v>93.978679999999997</v>
      </c>
      <c r="AH23">
        <v>65.170640000000006</v>
      </c>
      <c r="AJ23">
        <v>107.66288</v>
      </c>
      <c r="AK23">
        <v>67.569540000000003</v>
      </c>
      <c r="AM23">
        <v>51.528930000000003</v>
      </c>
      <c r="AN23">
        <v>123.84730999999999</v>
      </c>
      <c r="AO23">
        <v>49.448450000000001</v>
      </c>
      <c r="AP23">
        <v>95.400369999999995</v>
      </c>
      <c r="AQ23">
        <v>127.90546999999999</v>
      </c>
      <c r="AR23">
        <v>110.80620999999999</v>
      </c>
      <c r="AS23">
        <v>80.737350000000006</v>
      </c>
      <c r="AT23">
        <v>80.737350000000006</v>
      </c>
      <c r="AU23">
        <v>100.24048999999999</v>
      </c>
      <c r="AV23">
        <v>52.200189999999999</v>
      </c>
      <c r="AW23">
        <v>77.869219999999999</v>
      </c>
      <c r="AX23">
        <v>62.967489999999998</v>
      </c>
    </row>
    <row r="24" spans="1:50" x14ac:dyDescent="0.2">
      <c r="A24" s="2">
        <v>42855</v>
      </c>
      <c r="B24">
        <v>84.38937</v>
      </c>
      <c r="C24">
        <v>91.168469999999999</v>
      </c>
      <c r="D24">
        <v>81.548479999999998</v>
      </c>
      <c r="F24">
        <v>54.351649999999999</v>
      </c>
      <c r="G24">
        <v>79.940870000000004</v>
      </c>
      <c r="H24">
        <v>113.20798000000001</v>
      </c>
      <c r="J24">
        <v>81.511399999999995</v>
      </c>
      <c r="K24">
        <v>98.021050000000002</v>
      </c>
      <c r="L24">
        <v>68.420659999999998</v>
      </c>
      <c r="M24">
        <v>134.42796000000001</v>
      </c>
      <c r="N24">
        <v>142.57526999999999</v>
      </c>
      <c r="O24">
        <v>123.36415</v>
      </c>
      <c r="P24">
        <v>87.14734</v>
      </c>
      <c r="Q24">
        <v>90.649870000000007</v>
      </c>
      <c r="R24">
        <v>79.920109999999994</v>
      </c>
      <c r="S24">
        <v>40.168729999999996</v>
      </c>
      <c r="T24">
        <v>48.830750000000002</v>
      </c>
      <c r="U24">
        <v>64.740409999999997</v>
      </c>
      <c r="V24">
        <v>53.579729999999998</v>
      </c>
      <c r="W24">
        <v>75.570310000000006</v>
      </c>
      <c r="X24">
        <v>60.839779999999998</v>
      </c>
      <c r="Y24">
        <v>91.490110000000001</v>
      </c>
      <c r="Z24">
        <v>59.310389999999998</v>
      </c>
      <c r="AA24">
        <v>52.716990000000003</v>
      </c>
      <c r="AB24">
        <v>54.459249999999997</v>
      </c>
      <c r="AC24">
        <v>102.31532</v>
      </c>
      <c r="AD24">
        <v>218.59629000000001</v>
      </c>
      <c r="AE24">
        <v>218.59629000000001</v>
      </c>
      <c r="AF24">
        <v>115.30267000000001</v>
      </c>
      <c r="AG24">
        <v>96.951009999999997</v>
      </c>
      <c r="AH24">
        <v>63.75958</v>
      </c>
      <c r="AJ24">
        <v>105.48531</v>
      </c>
      <c r="AK24">
        <v>66.279809999999998</v>
      </c>
      <c r="AM24">
        <v>50.828980000000001</v>
      </c>
      <c r="AN24">
        <v>122.60083</v>
      </c>
      <c r="AO24">
        <v>49.458849999999998</v>
      </c>
      <c r="AP24">
        <v>95.339330000000004</v>
      </c>
      <c r="AQ24">
        <v>124.43250999999999</v>
      </c>
      <c r="AR24">
        <v>109.28747</v>
      </c>
      <c r="AS24">
        <v>80.431030000000007</v>
      </c>
      <c r="AT24">
        <v>80.431030000000007</v>
      </c>
      <c r="AU24">
        <v>101.0187</v>
      </c>
      <c r="AV24">
        <v>50.700490000000002</v>
      </c>
      <c r="AW24">
        <v>77.590329999999994</v>
      </c>
      <c r="AX24">
        <v>61.449950000000001</v>
      </c>
    </row>
    <row r="25" spans="1:50" x14ac:dyDescent="0.2">
      <c r="A25" s="2">
        <v>42825</v>
      </c>
      <c r="B25">
        <v>83.610979999999998</v>
      </c>
      <c r="C25">
        <v>90.038480000000007</v>
      </c>
      <c r="D25">
        <v>81.080460000000002</v>
      </c>
      <c r="F25">
        <v>54.151319999999998</v>
      </c>
      <c r="G25">
        <v>79.719459999999998</v>
      </c>
      <c r="H25">
        <v>111.14713999999999</v>
      </c>
      <c r="J25">
        <v>80.649600000000007</v>
      </c>
      <c r="K25">
        <v>95.709230000000005</v>
      </c>
      <c r="L25">
        <v>68.529179999999997</v>
      </c>
      <c r="M25">
        <v>133.28489999999999</v>
      </c>
      <c r="N25">
        <v>140.6568</v>
      </c>
      <c r="O25">
        <v>122.85395</v>
      </c>
      <c r="P25">
        <v>86.378770000000003</v>
      </c>
      <c r="Q25">
        <v>89.902119999999996</v>
      </c>
      <c r="R25">
        <v>79.740819999999999</v>
      </c>
      <c r="S25">
        <v>39.299169999999997</v>
      </c>
      <c r="T25">
        <v>47.829940000000001</v>
      </c>
      <c r="U25">
        <v>64.312719999999999</v>
      </c>
      <c r="V25">
        <v>51.570259999999998</v>
      </c>
      <c r="W25">
        <v>74.536439999999999</v>
      </c>
      <c r="X25">
        <v>60.786729999999999</v>
      </c>
      <c r="Y25">
        <v>89.939220000000006</v>
      </c>
      <c r="Z25">
        <v>57.459589999999999</v>
      </c>
      <c r="AA25">
        <v>52.523209999999999</v>
      </c>
      <c r="AB25">
        <v>53.261150000000001</v>
      </c>
      <c r="AC25">
        <v>101.91063</v>
      </c>
      <c r="AD25">
        <v>216.34989999999999</v>
      </c>
      <c r="AE25">
        <v>216.34989999999999</v>
      </c>
      <c r="AF25">
        <v>112.9568</v>
      </c>
      <c r="AG25">
        <v>94.870480000000001</v>
      </c>
      <c r="AH25">
        <v>63.279719999999998</v>
      </c>
      <c r="AJ25">
        <v>102.6661</v>
      </c>
      <c r="AK25">
        <v>65.220389999999995</v>
      </c>
      <c r="AM25">
        <v>50.642180000000003</v>
      </c>
      <c r="AN25">
        <v>121.31281</v>
      </c>
      <c r="AO25">
        <v>49.469250000000002</v>
      </c>
      <c r="AP25">
        <v>95.370900000000006</v>
      </c>
      <c r="AQ25">
        <v>121.66643000000001</v>
      </c>
      <c r="AR25">
        <v>108.09119</v>
      </c>
      <c r="AS25">
        <v>79.648979999999995</v>
      </c>
      <c r="AT25">
        <v>79.648979999999995</v>
      </c>
      <c r="AU25">
        <v>99.894040000000004</v>
      </c>
      <c r="AV25">
        <v>49.679839999999999</v>
      </c>
      <c r="AW25">
        <v>77.648880000000005</v>
      </c>
      <c r="AX25">
        <v>60.559249999999999</v>
      </c>
    </row>
    <row r="26" spans="1:50" x14ac:dyDescent="0.2">
      <c r="A26" s="2">
        <v>42794</v>
      </c>
      <c r="B26">
        <v>83.781710000000004</v>
      </c>
      <c r="C26">
        <v>90.94744</v>
      </c>
      <c r="D26">
        <v>81.271569999999997</v>
      </c>
      <c r="F26">
        <v>54.191000000000003</v>
      </c>
      <c r="G26">
        <v>79.730320000000006</v>
      </c>
      <c r="H26">
        <v>112.93331999999999</v>
      </c>
      <c r="J26">
        <v>80.868949999999998</v>
      </c>
      <c r="K26">
        <v>94.529349999999994</v>
      </c>
      <c r="L26">
        <v>69.651470000000003</v>
      </c>
      <c r="M26">
        <v>133.97608</v>
      </c>
      <c r="N26">
        <v>140.37115</v>
      </c>
      <c r="O26">
        <v>124.2497</v>
      </c>
      <c r="P26">
        <v>86.619200000000006</v>
      </c>
      <c r="Q26">
        <v>90.830340000000007</v>
      </c>
      <c r="R26">
        <v>79.791520000000006</v>
      </c>
      <c r="S26">
        <v>38.280740000000002</v>
      </c>
      <c r="T26">
        <v>46.58952</v>
      </c>
      <c r="U26">
        <v>64.360209999999995</v>
      </c>
      <c r="V26">
        <v>49.649470000000001</v>
      </c>
      <c r="W26">
        <v>75.187669999999997</v>
      </c>
      <c r="X26">
        <v>60.798569999999998</v>
      </c>
      <c r="Y26">
        <v>90.430930000000004</v>
      </c>
      <c r="Z26">
        <v>55.681379999999997</v>
      </c>
      <c r="AA26">
        <v>52.561590000000002</v>
      </c>
      <c r="AB26">
        <v>52.601210000000002</v>
      </c>
      <c r="AC26">
        <v>102.63035000000001</v>
      </c>
      <c r="AD26">
        <v>217.08447000000001</v>
      </c>
      <c r="AE26">
        <v>217.08447000000001</v>
      </c>
      <c r="AF26">
        <v>112.75515</v>
      </c>
      <c r="AG26">
        <v>97.740160000000003</v>
      </c>
      <c r="AH26">
        <v>62.291159999999998</v>
      </c>
      <c r="AJ26">
        <v>100.1523</v>
      </c>
      <c r="AK26">
        <v>64.520889999999994</v>
      </c>
      <c r="AM26">
        <v>50.611359999999998</v>
      </c>
      <c r="AN26">
        <v>121.78703</v>
      </c>
      <c r="AO26">
        <v>49.411009999999997</v>
      </c>
      <c r="AP26">
        <v>96.821190000000001</v>
      </c>
      <c r="AQ26">
        <v>120.46679</v>
      </c>
      <c r="AR26">
        <v>108.50944</v>
      </c>
      <c r="AS26">
        <v>79.448459999999997</v>
      </c>
      <c r="AT26">
        <v>79.448459999999997</v>
      </c>
      <c r="AU26">
        <v>100.30231000000001</v>
      </c>
      <c r="AV26">
        <v>48.38888</v>
      </c>
      <c r="AW26">
        <v>78.448849999999993</v>
      </c>
      <c r="AX26">
        <v>59.259650000000001</v>
      </c>
    </row>
    <row r="27" spans="1:50" x14ac:dyDescent="0.2">
      <c r="A27" s="2">
        <v>42766</v>
      </c>
      <c r="B27">
        <v>83.33972</v>
      </c>
      <c r="C27">
        <v>89.631299999999996</v>
      </c>
      <c r="D27">
        <v>80.941329999999994</v>
      </c>
      <c r="F27">
        <v>53.75797</v>
      </c>
      <c r="G27">
        <v>79.679199999999994</v>
      </c>
      <c r="H27">
        <v>110.79524000000001</v>
      </c>
      <c r="J27">
        <v>77.700999999999993</v>
      </c>
      <c r="K27">
        <v>90.270880000000005</v>
      </c>
      <c r="L27">
        <v>67.219549999999998</v>
      </c>
      <c r="M27">
        <v>130.94900999999999</v>
      </c>
      <c r="N27">
        <v>136.73849000000001</v>
      </c>
      <c r="O27">
        <v>121.78269</v>
      </c>
      <c r="P27">
        <v>85.989270000000005</v>
      </c>
      <c r="Q27">
        <v>89.419820000000001</v>
      </c>
      <c r="R27">
        <v>79.621080000000006</v>
      </c>
      <c r="S27">
        <v>37.880000000000003</v>
      </c>
      <c r="T27">
        <v>46.009860000000003</v>
      </c>
      <c r="U27">
        <v>64.149079999999998</v>
      </c>
      <c r="V27">
        <v>49.36009</v>
      </c>
      <c r="W27">
        <v>74.110910000000004</v>
      </c>
      <c r="X27">
        <v>60.797519999999999</v>
      </c>
      <c r="Y27">
        <v>86.67971</v>
      </c>
      <c r="Z27">
        <v>54.769570000000002</v>
      </c>
      <c r="AA27">
        <v>52.380549999999999</v>
      </c>
      <c r="AB27">
        <v>51.22916</v>
      </c>
      <c r="AC27">
        <v>99.299499999999995</v>
      </c>
      <c r="AD27">
        <v>208.96614</v>
      </c>
      <c r="AE27">
        <v>208.96614</v>
      </c>
      <c r="AF27">
        <v>109.68297</v>
      </c>
      <c r="AG27">
        <v>100.53331</v>
      </c>
      <c r="AH27">
        <v>60.979990000000001</v>
      </c>
      <c r="AJ27">
        <v>98.539090000000002</v>
      </c>
      <c r="AK27">
        <v>62.831020000000002</v>
      </c>
      <c r="AM27">
        <v>50.375779999999999</v>
      </c>
      <c r="AN27">
        <v>117.45687</v>
      </c>
      <c r="AO27">
        <v>49.390210000000003</v>
      </c>
      <c r="AP27">
        <v>93.469170000000005</v>
      </c>
      <c r="AQ27">
        <v>115.41051</v>
      </c>
      <c r="AR27">
        <v>104.36051</v>
      </c>
      <c r="AS27">
        <v>78.635829999999999</v>
      </c>
      <c r="AT27">
        <v>78.635829999999999</v>
      </c>
      <c r="AU27">
        <v>97.942130000000006</v>
      </c>
      <c r="AV27">
        <v>47.74879</v>
      </c>
      <c r="AW27">
        <v>75.740499999999997</v>
      </c>
      <c r="AX27">
        <v>58.819719999999997</v>
      </c>
    </row>
    <row r="28" spans="1:50" x14ac:dyDescent="0.2">
      <c r="A28" s="2">
        <v>42735</v>
      </c>
      <c r="B28">
        <v>83.070840000000004</v>
      </c>
      <c r="C28">
        <v>89.129800000000003</v>
      </c>
      <c r="D28">
        <v>80.791849999999997</v>
      </c>
      <c r="F28">
        <v>54.291379999999997</v>
      </c>
      <c r="G28">
        <v>79.4495</v>
      </c>
      <c r="H28">
        <v>109.43756</v>
      </c>
      <c r="J28">
        <v>76.341210000000004</v>
      </c>
      <c r="K28">
        <v>87.110309999999998</v>
      </c>
      <c r="L28">
        <v>67.089209999999994</v>
      </c>
      <c r="M28">
        <v>128.95508000000001</v>
      </c>
      <c r="N28">
        <v>133.13636</v>
      </c>
      <c r="O28">
        <v>120.99867999999999</v>
      </c>
      <c r="P28">
        <v>85.700839999999999</v>
      </c>
      <c r="Q28">
        <v>89.349630000000005</v>
      </c>
      <c r="R28">
        <v>79.369159999999994</v>
      </c>
      <c r="S28">
        <v>36.54027</v>
      </c>
      <c r="T28">
        <v>44.17942</v>
      </c>
      <c r="U28">
        <v>63.919820000000001</v>
      </c>
      <c r="V28">
        <v>47.93994</v>
      </c>
      <c r="W28">
        <v>73.690200000000004</v>
      </c>
      <c r="X28">
        <v>60.918430000000001</v>
      </c>
      <c r="Y28">
        <v>85.180059999999997</v>
      </c>
      <c r="Z28">
        <v>52.790190000000003</v>
      </c>
      <c r="AA28">
        <v>52.290799999999997</v>
      </c>
      <c r="AB28">
        <v>49.571170000000002</v>
      </c>
      <c r="AC28">
        <v>97.190269999999998</v>
      </c>
      <c r="AD28">
        <v>205.30923000000001</v>
      </c>
      <c r="AE28">
        <v>205.30923000000001</v>
      </c>
      <c r="AF28">
        <v>105.67489999999999</v>
      </c>
      <c r="AG28">
        <v>100.14966</v>
      </c>
      <c r="AH28">
        <v>58.119349999999997</v>
      </c>
      <c r="AJ28">
        <v>94.031620000000004</v>
      </c>
      <c r="AK28">
        <v>61.001370000000001</v>
      </c>
      <c r="AM28">
        <v>50.261600000000001</v>
      </c>
      <c r="AN28">
        <v>115.31788</v>
      </c>
      <c r="AO28">
        <v>49.159320000000001</v>
      </c>
      <c r="AP28">
        <v>93.00967</v>
      </c>
      <c r="AQ28">
        <v>111.49498</v>
      </c>
      <c r="AR28">
        <v>102.37488999999999</v>
      </c>
      <c r="AS28">
        <v>77.538719999999998</v>
      </c>
      <c r="AT28">
        <v>77.538719999999998</v>
      </c>
      <c r="AU28">
        <v>95.899519999999995</v>
      </c>
      <c r="AV28">
        <v>45.877409999999998</v>
      </c>
      <c r="AW28">
        <v>75.772660000000002</v>
      </c>
      <c r="AX28">
        <v>56.629860000000001</v>
      </c>
    </row>
    <row r="29" spans="1:50" x14ac:dyDescent="0.2">
      <c r="A29" s="2">
        <v>42704</v>
      </c>
      <c r="B29">
        <v>83.618600000000001</v>
      </c>
      <c r="C29">
        <v>89.022440000000003</v>
      </c>
      <c r="D29">
        <v>80.888980000000004</v>
      </c>
      <c r="F29">
        <v>54.528730000000003</v>
      </c>
      <c r="G29">
        <v>79.610789999999994</v>
      </c>
      <c r="H29">
        <v>113.32033</v>
      </c>
      <c r="J29">
        <v>75.159080000000003</v>
      </c>
      <c r="K29">
        <v>86.369770000000003</v>
      </c>
      <c r="L29">
        <v>65.610060000000004</v>
      </c>
      <c r="M29">
        <v>127.24263999999999</v>
      </c>
      <c r="N29">
        <v>132.82324</v>
      </c>
      <c r="O29">
        <v>118.40703999999999</v>
      </c>
      <c r="P29">
        <v>85.688730000000007</v>
      </c>
      <c r="Q29">
        <v>88.201030000000003</v>
      </c>
      <c r="R29">
        <v>79.420659999999998</v>
      </c>
      <c r="S29">
        <v>35.96069</v>
      </c>
      <c r="T29">
        <v>43.708930000000002</v>
      </c>
      <c r="U29">
        <v>64.275679999999994</v>
      </c>
      <c r="V29">
        <v>45.912050000000001</v>
      </c>
      <c r="W29">
        <v>74.318250000000006</v>
      </c>
      <c r="X29">
        <v>60.786239999999999</v>
      </c>
      <c r="Y29">
        <v>84.759600000000006</v>
      </c>
      <c r="Z29">
        <v>52.429969999999997</v>
      </c>
      <c r="AA29">
        <v>52.660179999999997</v>
      </c>
      <c r="AB29">
        <v>51.369990000000001</v>
      </c>
      <c r="AC29">
        <v>96.73066</v>
      </c>
      <c r="AD29">
        <v>202.38749000000001</v>
      </c>
      <c r="AE29">
        <v>202.38749000000001</v>
      </c>
      <c r="AF29">
        <v>105.74285999999999</v>
      </c>
      <c r="AG29">
        <v>93.939869999999999</v>
      </c>
      <c r="AH29">
        <v>59.200189999999999</v>
      </c>
      <c r="AJ29">
        <v>94.48948</v>
      </c>
      <c r="AK29">
        <v>60.360390000000002</v>
      </c>
      <c r="AM29">
        <v>49.690829999999998</v>
      </c>
      <c r="AN29">
        <v>113.78094</v>
      </c>
      <c r="AO29">
        <v>49.370469999999997</v>
      </c>
      <c r="AP29">
        <v>91.21096</v>
      </c>
      <c r="AQ29">
        <v>110.69571000000001</v>
      </c>
      <c r="AR29">
        <v>100.97959</v>
      </c>
      <c r="AS29">
        <v>77.017039999999994</v>
      </c>
      <c r="AT29">
        <v>77.017039999999994</v>
      </c>
      <c r="AU29">
        <v>94.700720000000004</v>
      </c>
      <c r="AV29">
        <v>45.369070000000001</v>
      </c>
      <c r="AW29">
        <v>74.230639999999994</v>
      </c>
      <c r="AX29">
        <v>55.30986</v>
      </c>
    </row>
    <row r="30" spans="1:50" x14ac:dyDescent="0.2">
      <c r="A30" s="2">
        <v>42674</v>
      </c>
      <c r="B30">
        <v>86.646950000000004</v>
      </c>
      <c r="C30">
        <v>95.297690000000003</v>
      </c>
      <c r="D30">
        <v>83.187700000000007</v>
      </c>
      <c r="F30">
        <v>55.28013</v>
      </c>
      <c r="G30">
        <v>80.519909999999996</v>
      </c>
      <c r="H30">
        <v>128.048</v>
      </c>
      <c r="J30">
        <v>72.587980000000002</v>
      </c>
      <c r="K30">
        <v>85.539490000000001</v>
      </c>
      <c r="L30">
        <v>62.009830000000001</v>
      </c>
      <c r="M30">
        <v>117.21576</v>
      </c>
      <c r="N30">
        <v>124.68599</v>
      </c>
      <c r="O30">
        <v>107.44381</v>
      </c>
      <c r="P30">
        <v>88.558520000000001</v>
      </c>
      <c r="Q30">
        <v>92.998729999999995</v>
      </c>
      <c r="R30">
        <v>80.322630000000004</v>
      </c>
      <c r="S30">
        <v>36.510869999999997</v>
      </c>
      <c r="T30">
        <v>44.66039</v>
      </c>
      <c r="U30">
        <v>66.082080000000005</v>
      </c>
      <c r="V30">
        <v>47.009450000000001</v>
      </c>
      <c r="W30">
        <v>80.709329999999994</v>
      </c>
      <c r="X30">
        <v>61.109900000000003</v>
      </c>
      <c r="Y30">
        <v>82.3108</v>
      </c>
      <c r="Z30">
        <v>54.679409999999997</v>
      </c>
      <c r="AA30">
        <v>53.701329999999999</v>
      </c>
      <c r="AB30">
        <v>53.449640000000002</v>
      </c>
      <c r="AC30">
        <v>91.309520000000006</v>
      </c>
      <c r="AD30">
        <v>195.14358999999999</v>
      </c>
      <c r="AE30">
        <v>195.14358999999999</v>
      </c>
      <c r="AF30">
        <v>102.45721</v>
      </c>
      <c r="AG30">
        <v>90.979749999999996</v>
      </c>
      <c r="AH30">
        <v>60.021859999999997</v>
      </c>
      <c r="AJ30">
        <v>96.590029999999999</v>
      </c>
      <c r="AK30">
        <v>59.652090000000001</v>
      </c>
      <c r="AM30">
        <v>51.718980000000002</v>
      </c>
      <c r="AN30">
        <v>108.88826</v>
      </c>
      <c r="AO30">
        <v>49.659709999999997</v>
      </c>
      <c r="AP30">
        <v>86.05077</v>
      </c>
      <c r="AQ30">
        <v>109.38442000000001</v>
      </c>
      <c r="AR30">
        <v>97.361919999999998</v>
      </c>
      <c r="AS30">
        <v>80.207380000000001</v>
      </c>
      <c r="AT30">
        <v>80.207380000000001</v>
      </c>
      <c r="AU30">
        <v>87.771529999999998</v>
      </c>
      <c r="AV30">
        <v>46.308480000000003</v>
      </c>
      <c r="AW30">
        <v>71.219579999999993</v>
      </c>
      <c r="AX30">
        <v>55.8309</v>
      </c>
    </row>
    <row r="31" spans="1:50" x14ac:dyDescent="0.2">
      <c r="A31" s="2">
        <v>42643</v>
      </c>
      <c r="B31">
        <v>87.662869999999998</v>
      </c>
      <c r="C31">
        <v>98.597679999999997</v>
      </c>
      <c r="D31">
        <v>84.139960000000002</v>
      </c>
      <c r="F31">
        <v>56.041150000000002</v>
      </c>
      <c r="G31">
        <v>80.830060000000003</v>
      </c>
      <c r="H31">
        <v>136.46539000000001</v>
      </c>
      <c r="J31">
        <v>73.752080000000007</v>
      </c>
      <c r="K31">
        <v>87.479900000000001</v>
      </c>
      <c r="L31">
        <v>62.669460000000001</v>
      </c>
      <c r="M31">
        <v>122.19283</v>
      </c>
      <c r="N31">
        <v>131.78053</v>
      </c>
      <c r="O31">
        <v>110.66334000000001</v>
      </c>
      <c r="P31">
        <v>89.578379999999996</v>
      </c>
      <c r="Q31">
        <v>95.698740000000001</v>
      </c>
      <c r="R31">
        <v>80.550600000000003</v>
      </c>
      <c r="S31">
        <v>37.410290000000003</v>
      </c>
      <c r="T31">
        <v>45.43056</v>
      </c>
      <c r="U31">
        <v>66.780929999999998</v>
      </c>
      <c r="V31">
        <v>48.729320000000001</v>
      </c>
      <c r="W31">
        <v>84.318179999999998</v>
      </c>
      <c r="X31">
        <v>61.215049999999998</v>
      </c>
      <c r="Y31">
        <v>83.931049999999999</v>
      </c>
      <c r="Z31">
        <v>57.019489999999998</v>
      </c>
      <c r="AA31">
        <v>53.959710000000001</v>
      </c>
      <c r="AB31">
        <v>56.170830000000002</v>
      </c>
      <c r="AC31">
        <v>93.570359999999994</v>
      </c>
      <c r="AD31">
        <v>198.68669</v>
      </c>
      <c r="AE31">
        <v>198.68669</v>
      </c>
      <c r="AF31">
        <v>106.40611</v>
      </c>
      <c r="AG31">
        <v>94.388829999999999</v>
      </c>
      <c r="AH31">
        <v>60.580730000000003</v>
      </c>
      <c r="AJ31">
        <v>99.526510000000002</v>
      </c>
      <c r="AK31">
        <v>60.850589999999997</v>
      </c>
      <c r="AM31">
        <v>52.200270000000003</v>
      </c>
      <c r="AN31">
        <v>111.33459999999999</v>
      </c>
      <c r="AO31">
        <v>49.649230000000003</v>
      </c>
      <c r="AP31">
        <v>87.000039999999998</v>
      </c>
      <c r="AQ31">
        <v>112.30643000000001</v>
      </c>
      <c r="AR31">
        <v>99.228560000000002</v>
      </c>
      <c r="AS31">
        <v>81.633080000000007</v>
      </c>
      <c r="AT31">
        <v>81.633080000000007</v>
      </c>
      <c r="AU31">
        <v>91.269819999999996</v>
      </c>
      <c r="AV31">
        <v>47.209269999999997</v>
      </c>
      <c r="AW31">
        <v>72.139979999999994</v>
      </c>
      <c r="AX31">
        <v>56.409709999999997</v>
      </c>
    </row>
    <row r="32" spans="1:50" x14ac:dyDescent="0.2">
      <c r="A32" s="2">
        <v>42613</v>
      </c>
      <c r="B32">
        <v>87.700879999999998</v>
      </c>
      <c r="C32">
        <v>99.792349999999999</v>
      </c>
      <c r="D32">
        <v>84.219269999999995</v>
      </c>
      <c r="F32">
        <v>56.09075</v>
      </c>
      <c r="G32">
        <v>80.780460000000005</v>
      </c>
      <c r="H32">
        <v>140.61860999999999</v>
      </c>
      <c r="J32">
        <v>74.191010000000006</v>
      </c>
      <c r="K32">
        <v>87.160430000000005</v>
      </c>
      <c r="L32">
        <v>63.530369999999998</v>
      </c>
      <c r="M32">
        <v>122.31471999999999</v>
      </c>
      <c r="N32">
        <v>131.46509</v>
      </c>
      <c r="O32">
        <v>111.00226000000001</v>
      </c>
      <c r="P32">
        <v>89.649979999999999</v>
      </c>
      <c r="Q32">
        <v>96.453810000000004</v>
      </c>
      <c r="R32">
        <v>80.71078</v>
      </c>
      <c r="S32">
        <v>36.979230000000001</v>
      </c>
      <c r="T32">
        <v>44.979750000000003</v>
      </c>
      <c r="U32">
        <v>66.570300000000003</v>
      </c>
      <c r="V32">
        <v>48.609369999999998</v>
      </c>
      <c r="W32">
        <v>85.680530000000005</v>
      </c>
      <c r="X32">
        <v>61.137729999999998</v>
      </c>
      <c r="Y32">
        <v>85.159899999999993</v>
      </c>
      <c r="Z32">
        <v>56.361440000000002</v>
      </c>
      <c r="AA32">
        <v>53.851289999999999</v>
      </c>
      <c r="AB32">
        <v>55.929789999999997</v>
      </c>
      <c r="AC32">
        <v>93.671369999999996</v>
      </c>
      <c r="AD32">
        <v>199.46881999999999</v>
      </c>
      <c r="AE32">
        <v>199.46881999999999</v>
      </c>
      <c r="AF32">
        <v>106.33383000000001</v>
      </c>
      <c r="AG32">
        <v>95.040620000000004</v>
      </c>
      <c r="AH32">
        <v>59.049619999999997</v>
      </c>
      <c r="AJ32">
        <v>97.200180000000003</v>
      </c>
      <c r="AK32">
        <v>60.688519999999997</v>
      </c>
      <c r="AM32">
        <v>52.599299999999999</v>
      </c>
      <c r="AN32">
        <v>111.65542000000001</v>
      </c>
      <c r="AO32">
        <v>49.240519999999997</v>
      </c>
      <c r="AP32">
        <v>87.969840000000005</v>
      </c>
      <c r="AQ32">
        <v>111.98220999999999</v>
      </c>
      <c r="AR32">
        <v>99.640739999999994</v>
      </c>
      <c r="AS32">
        <v>81.578590000000005</v>
      </c>
      <c r="AT32">
        <v>81.578590000000005</v>
      </c>
      <c r="AU32">
        <v>90.732560000000007</v>
      </c>
      <c r="AV32">
        <v>46.701030000000003</v>
      </c>
      <c r="AW32">
        <v>72.919979999999995</v>
      </c>
      <c r="AX32">
        <v>56.071129999999997</v>
      </c>
    </row>
    <row r="33" spans="1:50" x14ac:dyDescent="0.2">
      <c r="A33" s="2">
        <v>42582</v>
      </c>
      <c r="B33">
        <v>88.327960000000004</v>
      </c>
      <c r="C33">
        <v>100.45774</v>
      </c>
      <c r="D33">
        <v>84.640739999999994</v>
      </c>
      <c r="F33">
        <v>56.097999999999999</v>
      </c>
      <c r="G33">
        <v>81.099940000000004</v>
      </c>
      <c r="H33">
        <v>142.76182</v>
      </c>
      <c r="J33">
        <v>74.089470000000006</v>
      </c>
      <c r="K33">
        <v>87.422780000000003</v>
      </c>
      <c r="L33">
        <v>63.190739999999998</v>
      </c>
      <c r="M33">
        <v>121.46908999999999</v>
      </c>
      <c r="N33">
        <v>130.78881000000001</v>
      </c>
      <c r="O33">
        <v>110.2084</v>
      </c>
      <c r="P33">
        <v>90.059460000000001</v>
      </c>
      <c r="Q33">
        <v>96.620519999999999</v>
      </c>
      <c r="R33">
        <v>80.920779999999993</v>
      </c>
      <c r="S33">
        <v>36.831319999999998</v>
      </c>
      <c r="T33">
        <v>44.669080000000001</v>
      </c>
      <c r="U33">
        <v>67.136319999999998</v>
      </c>
      <c r="V33">
        <v>48.28022</v>
      </c>
      <c r="W33">
        <v>86.739779999999996</v>
      </c>
      <c r="X33">
        <v>61.322890000000001</v>
      </c>
      <c r="Y33">
        <v>85.169420000000002</v>
      </c>
      <c r="Z33">
        <v>57.479039999999998</v>
      </c>
      <c r="AA33">
        <v>53.842039999999997</v>
      </c>
      <c r="AB33">
        <v>56.239730000000002</v>
      </c>
      <c r="AC33">
        <v>92.798940000000002</v>
      </c>
      <c r="AD33">
        <v>199.27873</v>
      </c>
      <c r="AE33">
        <v>199.27873</v>
      </c>
      <c r="AF33">
        <v>107.13141</v>
      </c>
      <c r="AG33">
        <v>101.05249999999999</v>
      </c>
      <c r="AH33">
        <v>58.950580000000002</v>
      </c>
      <c r="AJ33">
        <v>97.708659999999995</v>
      </c>
      <c r="AK33">
        <v>60.459719999999997</v>
      </c>
      <c r="AM33">
        <v>52.64958</v>
      </c>
      <c r="AN33">
        <v>111.42331</v>
      </c>
      <c r="AO33">
        <v>49.439639999999997</v>
      </c>
      <c r="AP33">
        <v>87.380529999999993</v>
      </c>
      <c r="AQ33">
        <v>112.33445</v>
      </c>
      <c r="AR33">
        <v>99.46951</v>
      </c>
      <c r="AS33">
        <v>80.757499999999993</v>
      </c>
      <c r="AT33">
        <v>80.757499999999993</v>
      </c>
      <c r="AU33">
        <v>89.951250000000002</v>
      </c>
      <c r="AV33">
        <v>46.48854</v>
      </c>
      <c r="AW33">
        <v>73.170400000000001</v>
      </c>
      <c r="AX33">
        <v>55.438009999999998</v>
      </c>
    </row>
    <row r="34" spans="1:50" x14ac:dyDescent="0.2">
      <c r="A34" s="2">
        <v>42551</v>
      </c>
      <c r="B34">
        <v>88.039950000000005</v>
      </c>
      <c r="C34">
        <v>98.049599999999998</v>
      </c>
      <c r="D34">
        <v>84.329650000000001</v>
      </c>
      <c r="F34">
        <v>55.697229999999998</v>
      </c>
      <c r="G34">
        <v>81.078199999999995</v>
      </c>
      <c r="H34">
        <v>138.13115999999999</v>
      </c>
      <c r="J34">
        <v>71.470690000000005</v>
      </c>
      <c r="K34">
        <v>83.441980000000001</v>
      </c>
      <c r="L34">
        <v>61.44849</v>
      </c>
      <c r="M34">
        <v>115.64358</v>
      </c>
      <c r="N34">
        <v>123.91328</v>
      </c>
      <c r="O34">
        <v>105.35</v>
      </c>
      <c r="P34">
        <v>89.410200000000003</v>
      </c>
      <c r="Q34">
        <v>94.536339999999996</v>
      </c>
      <c r="R34">
        <v>80.838909999999998</v>
      </c>
      <c r="S34">
        <v>35.359789999999997</v>
      </c>
      <c r="T34">
        <v>42.850389999999997</v>
      </c>
      <c r="U34">
        <v>67.186670000000007</v>
      </c>
      <c r="V34">
        <v>46.658239999999999</v>
      </c>
      <c r="W34">
        <v>85.132660000000001</v>
      </c>
      <c r="X34">
        <v>61.443640000000002</v>
      </c>
      <c r="Y34">
        <v>83.240089999999995</v>
      </c>
      <c r="Z34">
        <v>55.840249999999997</v>
      </c>
      <c r="AA34">
        <v>53.849420000000002</v>
      </c>
      <c r="AB34">
        <v>54.06</v>
      </c>
      <c r="AC34">
        <v>89.048900000000003</v>
      </c>
      <c r="AD34">
        <v>192.20312000000001</v>
      </c>
      <c r="AE34">
        <v>192.20312000000001</v>
      </c>
      <c r="AF34">
        <v>101.90622999999999</v>
      </c>
      <c r="AG34">
        <v>98.380799999999994</v>
      </c>
      <c r="AH34">
        <v>55.751139999999999</v>
      </c>
      <c r="AJ34">
        <v>93.081569999999999</v>
      </c>
      <c r="AK34">
        <v>58.068480000000001</v>
      </c>
      <c r="AM34">
        <v>52.699669999999998</v>
      </c>
      <c r="AN34">
        <v>107.15037</v>
      </c>
      <c r="AO34">
        <v>49.510899999999999</v>
      </c>
      <c r="AP34">
        <v>84.99</v>
      </c>
      <c r="AQ34">
        <v>107.17513</v>
      </c>
      <c r="AR34">
        <v>95.850520000000003</v>
      </c>
      <c r="AS34">
        <v>80.177949999999996</v>
      </c>
      <c r="AT34">
        <v>80.177949999999996</v>
      </c>
      <c r="AU34">
        <v>85.420500000000004</v>
      </c>
      <c r="AV34">
        <v>44.480150000000002</v>
      </c>
      <c r="AW34">
        <v>71.447919999999996</v>
      </c>
      <c r="AX34">
        <v>53.300550000000001</v>
      </c>
    </row>
    <row r="35" spans="1:50" x14ac:dyDescent="0.2">
      <c r="A35" s="2">
        <v>42521</v>
      </c>
      <c r="B35">
        <v>86.003249999999994</v>
      </c>
      <c r="C35">
        <v>93.541719999999998</v>
      </c>
      <c r="D35">
        <v>82.816999999999993</v>
      </c>
      <c r="F35">
        <v>54.698590000000003</v>
      </c>
      <c r="G35">
        <v>80.357770000000002</v>
      </c>
      <c r="H35">
        <v>126.70159</v>
      </c>
      <c r="J35">
        <v>71.631240000000005</v>
      </c>
      <c r="K35">
        <v>84.299390000000002</v>
      </c>
      <c r="L35">
        <v>61.191960000000002</v>
      </c>
      <c r="M35">
        <v>115.59417000000001</v>
      </c>
      <c r="N35">
        <v>123.60816</v>
      </c>
      <c r="O35">
        <v>105.49168</v>
      </c>
      <c r="P35">
        <v>87.369060000000005</v>
      </c>
      <c r="Q35">
        <v>90.590109999999996</v>
      </c>
      <c r="R35">
        <v>80.000960000000006</v>
      </c>
      <c r="S35">
        <v>36.601120000000002</v>
      </c>
      <c r="T35">
        <v>43.708069999999999</v>
      </c>
      <c r="U35">
        <v>65.912580000000005</v>
      </c>
      <c r="V35">
        <v>49.619689999999999</v>
      </c>
      <c r="W35">
        <v>80.349609999999998</v>
      </c>
      <c r="X35">
        <v>61.045180000000002</v>
      </c>
      <c r="Y35">
        <v>81.750169999999997</v>
      </c>
      <c r="Z35">
        <v>55.105739999999997</v>
      </c>
      <c r="AA35">
        <v>53.455550000000002</v>
      </c>
      <c r="AB35">
        <v>53.688549999999999</v>
      </c>
      <c r="AC35">
        <v>89.249099999999999</v>
      </c>
      <c r="AD35">
        <v>192.57991000000001</v>
      </c>
      <c r="AE35">
        <v>192.57991000000001</v>
      </c>
      <c r="AF35">
        <v>102.6422</v>
      </c>
      <c r="AG35">
        <v>92.389340000000004</v>
      </c>
      <c r="AH35">
        <v>56.119950000000003</v>
      </c>
      <c r="AJ35">
        <v>95.850009999999997</v>
      </c>
      <c r="AK35">
        <v>58.651449999999997</v>
      </c>
      <c r="AM35">
        <v>51.88</v>
      </c>
      <c r="AN35">
        <v>107.33771</v>
      </c>
      <c r="AO35">
        <v>49.009970000000003</v>
      </c>
      <c r="AP35">
        <v>84.529070000000004</v>
      </c>
      <c r="AQ35">
        <v>108.23697</v>
      </c>
      <c r="AR35">
        <v>96.040549999999996</v>
      </c>
      <c r="AS35">
        <v>77.381919999999994</v>
      </c>
      <c r="AT35">
        <v>77.381919999999994</v>
      </c>
      <c r="AU35">
        <v>85.709879999999998</v>
      </c>
      <c r="AV35">
        <v>45.44023</v>
      </c>
      <c r="AW35">
        <v>70.509680000000003</v>
      </c>
      <c r="AX35">
        <v>54.889850000000003</v>
      </c>
    </row>
    <row r="36" spans="1:50" x14ac:dyDescent="0.2">
      <c r="A36" s="2">
        <v>42490</v>
      </c>
      <c r="B36">
        <v>86.337400000000002</v>
      </c>
      <c r="C36">
        <v>93.792749999999998</v>
      </c>
      <c r="D36">
        <v>82.971400000000003</v>
      </c>
      <c r="F36">
        <v>54.339790000000001</v>
      </c>
      <c r="G36">
        <v>80.609719999999996</v>
      </c>
      <c r="H36">
        <v>125.33837</v>
      </c>
      <c r="J36">
        <v>70.401169999999993</v>
      </c>
      <c r="K36">
        <v>82.440629999999999</v>
      </c>
      <c r="L36">
        <v>60.419670000000004</v>
      </c>
      <c r="M36">
        <v>113.4483</v>
      </c>
      <c r="N36">
        <v>120.55598000000001</v>
      </c>
      <c r="O36">
        <v>104.0159</v>
      </c>
      <c r="P36">
        <v>87.557959999999994</v>
      </c>
      <c r="Q36">
        <v>91.219059999999999</v>
      </c>
      <c r="R36">
        <v>80.18929</v>
      </c>
      <c r="S36">
        <v>36.709470000000003</v>
      </c>
      <c r="T36">
        <v>44.05979</v>
      </c>
      <c r="U36">
        <v>66.130340000000004</v>
      </c>
      <c r="V36">
        <v>49.858220000000003</v>
      </c>
      <c r="W36">
        <v>79.999989999999997</v>
      </c>
      <c r="X36">
        <v>61.175620000000002</v>
      </c>
      <c r="Y36">
        <v>80.981269999999995</v>
      </c>
      <c r="Z36">
        <v>54.690600000000003</v>
      </c>
      <c r="AA36">
        <v>53.514270000000003</v>
      </c>
      <c r="AB36">
        <v>54.630189999999999</v>
      </c>
      <c r="AC36">
        <v>87.980310000000003</v>
      </c>
      <c r="AD36">
        <v>189.24731</v>
      </c>
      <c r="AE36">
        <v>189.24731</v>
      </c>
      <c r="AF36">
        <v>100.27251</v>
      </c>
      <c r="AG36">
        <v>92.538700000000006</v>
      </c>
      <c r="AH36">
        <v>55.52834</v>
      </c>
      <c r="AJ36">
        <v>96.199510000000004</v>
      </c>
      <c r="AK36">
        <v>58.270600000000002</v>
      </c>
      <c r="AM36">
        <v>51.828159999999997</v>
      </c>
      <c r="AN36">
        <v>105.49382</v>
      </c>
      <c r="AO36">
        <v>49.04036</v>
      </c>
      <c r="AP36">
        <v>83.638369999999995</v>
      </c>
      <c r="AQ36">
        <v>105.60794</v>
      </c>
      <c r="AR36">
        <v>94.419349999999994</v>
      </c>
      <c r="AS36">
        <v>77.972200000000001</v>
      </c>
      <c r="AT36">
        <v>77.972200000000001</v>
      </c>
      <c r="AU36">
        <v>84.130759999999995</v>
      </c>
      <c r="AV36">
        <v>45.892249999999997</v>
      </c>
      <c r="AW36">
        <v>69.541470000000004</v>
      </c>
      <c r="AX36">
        <v>55.640590000000003</v>
      </c>
    </row>
    <row r="37" spans="1:50" x14ac:dyDescent="0.2">
      <c r="A37" s="2">
        <v>42460</v>
      </c>
      <c r="B37">
        <v>86.271609999999995</v>
      </c>
      <c r="C37">
        <v>93.040090000000006</v>
      </c>
      <c r="D37">
        <v>82.802000000000007</v>
      </c>
      <c r="F37">
        <v>54.540640000000003</v>
      </c>
      <c r="G37">
        <v>80.630229999999997</v>
      </c>
      <c r="H37">
        <v>126.76864</v>
      </c>
      <c r="J37">
        <v>70.100300000000004</v>
      </c>
      <c r="K37">
        <v>83.127949999999998</v>
      </c>
      <c r="L37">
        <v>59.540309999999998</v>
      </c>
      <c r="M37">
        <v>111.49084999999999</v>
      </c>
      <c r="N37">
        <v>118.98365</v>
      </c>
      <c r="O37">
        <v>101.87974</v>
      </c>
      <c r="P37">
        <v>86.930719999999994</v>
      </c>
      <c r="Q37">
        <v>89.449550000000002</v>
      </c>
      <c r="R37">
        <v>80.031530000000004</v>
      </c>
      <c r="S37">
        <v>35.879869999999997</v>
      </c>
      <c r="T37">
        <v>43.16957</v>
      </c>
      <c r="U37">
        <v>66.296999999999997</v>
      </c>
      <c r="V37">
        <v>48.519799999999996</v>
      </c>
      <c r="W37">
        <v>80.40925</v>
      </c>
      <c r="X37">
        <v>61.195929999999997</v>
      </c>
      <c r="Y37">
        <v>81.226939999999999</v>
      </c>
      <c r="Z37">
        <v>53.859270000000002</v>
      </c>
      <c r="AA37">
        <v>53.467959999999998</v>
      </c>
      <c r="AB37">
        <v>53.509349999999998</v>
      </c>
      <c r="AC37">
        <v>87.121629999999996</v>
      </c>
      <c r="AD37">
        <v>188.53621000000001</v>
      </c>
      <c r="AE37">
        <v>188.53621000000001</v>
      </c>
      <c r="AF37">
        <v>100.26329</v>
      </c>
      <c r="AG37">
        <v>92.719669999999994</v>
      </c>
      <c r="AH37">
        <v>55.268909999999998</v>
      </c>
      <c r="AJ37">
        <v>93.391570000000002</v>
      </c>
      <c r="AK37">
        <v>57.67089</v>
      </c>
      <c r="AM37">
        <v>51.454090000000001</v>
      </c>
      <c r="AN37">
        <v>104.87072000000001</v>
      </c>
      <c r="AO37">
        <v>49.129440000000002</v>
      </c>
      <c r="AP37">
        <v>82.390309999999999</v>
      </c>
      <c r="AQ37">
        <v>106.47042999999999</v>
      </c>
      <c r="AR37">
        <v>93.98724</v>
      </c>
      <c r="AS37">
        <v>76.945189999999997</v>
      </c>
      <c r="AT37">
        <v>76.945189999999997</v>
      </c>
      <c r="AU37">
        <v>82.800910000000002</v>
      </c>
      <c r="AV37">
        <v>44.92051</v>
      </c>
      <c r="AW37">
        <v>69.039810000000003</v>
      </c>
      <c r="AX37">
        <v>54.12912</v>
      </c>
    </row>
    <row r="38" spans="1:50" x14ac:dyDescent="0.2">
      <c r="A38" s="2">
        <v>42429</v>
      </c>
      <c r="B38">
        <v>85.340950000000007</v>
      </c>
      <c r="C38">
        <v>90.410349999999994</v>
      </c>
      <c r="D38">
        <v>82.254459999999995</v>
      </c>
      <c r="F38">
        <v>54.191789999999997</v>
      </c>
      <c r="G38">
        <v>80.360190000000003</v>
      </c>
      <c r="H38">
        <v>127.72104</v>
      </c>
      <c r="J38">
        <v>66.210980000000006</v>
      </c>
      <c r="K38">
        <v>77.949939999999998</v>
      </c>
      <c r="L38">
        <v>56.36009</v>
      </c>
      <c r="M38">
        <v>103.07335</v>
      </c>
      <c r="N38">
        <v>110.59706</v>
      </c>
      <c r="O38">
        <v>93.867980000000003</v>
      </c>
      <c r="P38">
        <v>85.221329999999995</v>
      </c>
      <c r="Q38">
        <v>84.422169999999994</v>
      </c>
      <c r="R38">
        <v>79.220169999999996</v>
      </c>
      <c r="S38">
        <v>33.61797</v>
      </c>
      <c r="T38">
        <v>39.9816</v>
      </c>
      <c r="U38">
        <v>66.241290000000006</v>
      </c>
      <c r="V38">
        <v>45.589559999999999</v>
      </c>
      <c r="W38">
        <v>80.56917</v>
      </c>
      <c r="X38">
        <v>61.134</v>
      </c>
      <c r="Y38">
        <v>76.839380000000006</v>
      </c>
      <c r="AA38">
        <v>53.446120000000001</v>
      </c>
      <c r="AB38">
        <v>49.120820000000002</v>
      </c>
      <c r="AC38">
        <v>81.139529999999993</v>
      </c>
      <c r="AD38">
        <v>177.3732</v>
      </c>
      <c r="AE38">
        <v>177.3732</v>
      </c>
      <c r="AF38">
        <v>92.780760000000001</v>
      </c>
      <c r="AG38">
        <v>88.312200000000004</v>
      </c>
      <c r="AH38">
        <v>51.419080000000001</v>
      </c>
      <c r="AJ38">
        <v>87.046750000000003</v>
      </c>
      <c r="AK38">
        <v>53.63973</v>
      </c>
      <c r="AM38">
        <v>51.339269999999999</v>
      </c>
      <c r="AN38">
        <v>98.318629999999999</v>
      </c>
      <c r="AO38">
        <v>48.54992</v>
      </c>
      <c r="AP38">
        <v>77.718159999999997</v>
      </c>
      <c r="AQ38">
        <v>99.600579999999994</v>
      </c>
      <c r="AR38">
        <v>88.360590000000002</v>
      </c>
      <c r="AS38">
        <v>74.881680000000003</v>
      </c>
      <c r="AT38">
        <v>74.881680000000003</v>
      </c>
      <c r="AU38">
        <v>76.760279999999995</v>
      </c>
      <c r="AV38">
        <v>41.600549999999998</v>
      </c>
      <c r="AW38">
        <v>65.199380000000005</v>
      </c>
    </row>
    <row r="39" spans="1:50" x14ac:dyDescent="0.2">
      <c r="A39" s="2">
        <v>42400</v>
      </c>
      <c r="B39">
        <v>84.58135</v>
      </c>
      <c r="C39">
        <v>88.840760000000003</v>
      </c>
      <c r="D39">
        <v>81.726399999999998</v>
      </c>
      <c r="F39">
        <v>53.567219999999999</v>
      </c>
      <c r="G39">
        <v>80.200429999999997</v>
      </c>
      <c r="H39">
        <v>122.75467</v>
      </c>
      <c r="J39">
        <v>66.29007</v>
      </c>
      <c r="K39">
        <v>78.410769999999999</v>
      </c>
      <c r="L39">
        <v>56.419969999999999</v>
      </c>
      <c r="M39">
        <v>102.28081</v>
      </c>
      <c r="N39">
        <v>110.53532</v>
      </c>
      <c r="O39">
        <v>92.479439999999997</v>
      </c>
      <c r="P39">
        <v>84.492320000000007</v>
      </c>
      <c r="Q39">
        <v>83.841660000000005</v>
      </c>
      <c r="R39">
        <v>79.16028</v>
      </c>
      <c r="S39">
        <v>34.68976</v>
      </c>
      <c r="T39">
        <v>40.977939999999997</v>
      </c>
      <c r="U39">
        <v>65.790390000000002</v>
      </c>
      <c r="V39">
        <v>47.109879999999997</v>
      </c>
      <c r="W39">
        <v>78.518919999999994</v>
      </c>
      <c r="X39">
        <v>61.106879999999997</v>
      </c>
      <c r="Y39">
        <v>75.979990000000001</v>
      </c>
      <c r="AA39">
        <v>53.370579999999997</v>
      </c>
      <c r="AB39">
        <v>48.620139999999999</v>
      </c>
      <c r="AC39">
        <v>80.051590000000004</v>
      </c>
      <c r="AD39">
        <v>177.75734</v>
      </c>
      <c r="AE39">
        <v>177.75734</v>
      </c>
      <c r="AF39">
        <v>91.819599999999994</v>
      </c>
      <c r="AG39">
        <v>84.940200000000004</v>
      </c>
      <c r="AH39">
        <v>53.289050000000003</v>
      </c>
      <c r="AJ39">
        <v>86.651409999999998</v>
      </c>
      <c r="AK39">
        <v>54.239640000000001</v>
      </c>
      <c r="AM39">
        <v>51.245840000000001</v>
      </c>
      <c r="AN39">
        <v>98.329269999999994</v>
      </c>
      <c r="AO39">
        <v>48.46922</v>
      </c>
      <c r="AP39">
        <v>77.641009999999994</v>
      </c>
      <c r="AQ39">
        <v>100.005</v>
      </c>
      <c r="AR39">
        <v>88.480090000000004</v>
      </c>
      <c r="AS39">
        <v>73.732460000000003</v>
      </c>
      <c r="AT39">
        <v>73.732460000000003</v>
      </c>
      <c r="AU39">
        <v>76.499600000000001</v>
      </c>
      <c r="AV39">
        <v>42.647709999999996</v>
      </c>
      <c r="AW39">
        <v>64.872159999999994</v>
      </c>
    </row>
    <row r="40" spans="1:50" x14ac:dyDescent="0.2">
      <c r="A40" s="2">
        <v>42369</v>
      </c>
      <c r="B40">
        <v>83.060320000000004</v>
      </c>
      <c r="C40">
        <v>86.81026</v>
      </c>
      <c r="D40">
        <v>80.756200000000007</v>
      </c>
      <c r="F40">
        <v>52.882710000000003</v>
      </c>
      <c r="G40">
        <v>79.571780000000004</v>
      </c>
      <c r="H40">
        <v>113.20396</v>
      </c>
      <c r="J40">
        <v>69.759339999999995</v>
      </c>
      <c r="K40">
        <v>83.040909999999997</v>
      </c>
      <c r="L40">
        <v>59.029440000000001</v>
      </c>
      <c r="M40">
        <v>110.63967</v>
      </c>
      <c r="N40">
        <v>121.44273</v>
      </c>
      <c r="O40">
        <v>98.769980000000004</v>
      </c>
      <c r="P40">
        <v>84.101070000000007</v>
      </c>
      <c r="Q40">
        <v>84.188450000000003</v>
      </c>
      <c r="R40">
        <v>78.986990000000006</v>
      </c>
      <c r="S40">
        <v>36.71902</v>
      </c>
      <c r="T40">
        <v>43.410130000000002</v>
      </c>
      <c r="U40">
        <v>64.328469999999996</v>
      </c>
      <c r="V40">
        <v>49.880659999999999</v>
      </c>
      <c r="W40">
        <v>74.620890000000003</v>
      </c>
      <c r="X40">
        <v>60.759880000000003</v>
      </c>
      <c r="Y40">
        <v>77.757559999999998</v>
      </c>
      <c r="AA40">
        <v>52.721710000000002</v>
      </c>
      <c r="AB40">
        <v>51.09836</v>
      </c>
      <c r="AC40">
        <v>85.950019999999995</v>
      </c>
      <c r="AD40">
        <v>186.95518000000001</v>
      </c>
      <c r="AE40">
        <v>186.95518000000001</v>
      </c>
      <c r="AF40">
        <v>99.707849999999993</v>
      </c>
      <c r="AG40">
        <v>83.910839999999993</v>
      </c>
      <c r="AH40">
        <v>56.671080000000003</v>
      </c>
      <c r="AJ40">
        <v>92.87012</v>
      </c>
      <c r="AK40">
        <v>57.61938</v>
      </c>
      <c r="AM40">
        <v>50.992469999999997</v>
      </c>
      <c r="AN40">
        <v>104.28821000000001</v>
      </c>
      <c r="AO40">
        <v>48.349760000000003</v>
      </c>
      <c r="AP40">
        <v>81.520399999999995</v>
      </c>
      <c r="AQ40">
        <v>106.40891999999999</v>
      </c>
      <c r="AR40">
        <v>93.500029999999995</v>
      </c>
      <c r="AS40">
        <v>73.963539999999995</v>
      </c>
      <c r="AT40">
        <v>73.963539999999995</v>
      </c>
      <c r="AU40">
        <v>83.799779999999998</v>
      </c>
      <c r="AV40">
        <v>45.11007</v>
      </c>
      <c r="AW40">
        <v>66.750349999999997</v>
      </c>
    </row>
    <row r="41" spans="1:50" x14ac:dyDescent="0.2">
      <c r="A41" s="2">
        <v>42338</v>
      </c>
      <c r="B41">
        <v>84.188389999999998</v>
      </c>
      <c r="C41">
        <v>88.590019999999996</v>
      </c>
      <c r="D41">
        <v>81.300229999999999</v>
      </c>
      <c r="F41">
        <v>53.204219999999999</v>
      </c>
      <c r="G41">
        <v>79.920289999999994</v>
      </c>
      <c r="H41">
        <v>116.29416000000001</v>
      </c>
      <c r="J41">
        <v>71.330650000000006</v>
      </c>
      <c r="K41">
        <v>85.521230000000003</v>
      </c>
      <c r="L41">
        <v>59.879519999999999</v>
      </c>
      <c r="M41">
        <v>116.14412</v>
      </c>
      <c r="N41">
        <v>126.2654</v>
      </c>
      <c r="O41">
        <v>104.63526</v>
      </c>
      <c r="P41">
        <v>85.190520000000006</v>
      </c>
      <c r="Q41">
        <v>85.972309999999993</v>
      </c>
      <c r="R41">
        <v>79.540430000000001</v>
      </c>
      <c r="S41">
        <v>37.75094</v>
      </c>
      <c r="T41">
        <v>44.88026</v>
      </c>
      <c r="U41">
        <v>64.667940000000002</v>
      </c>
      <c r="V41">
        <v>51.428330000000003</v>
      </c>
      <c r="W41">
        <v>75.158420000000007</v>
      </c>
      <c r="X41">
        <v>60.909439999999996</v>
      </c>
      <c r="Y41">
        <v>78.918689999999998</v>
      </c>
      <c r="AA41">
        <v>53.07929</v>
      </c>
      <c r="AB41">
        <v>52.3</v>
      </c>
      <c r="AC41">
        <v>89.039959999999994</v>
      </c>
      <c r="AD41">
        <v>191.36421000000001</v>
      </c>
      <c r="AE41">
        <v>191.36421000000001</v>
      </c>
      <c r="AF41">
        <v>102.69817</v>
      </c>
      <c r="AG41">
        <v>84.869630000000001</v>
      </c>
      <c r="AH41">
        <v>57.770910000000001</v>
      </c>
      <c r="AJ41">
        <v>95.161460000000005</v>
      </c>
      <c r="AK41">
        <v>59.292070000000002</v>
      </c>
      <c r="AM41">
        <v>50.528219999999997</v>
      </c>
      <c r="AN41">
        <v>107.15881</v>
      </c>
      <c r="AO41">
        <v>48.32985</v>
      </c>
      <c r="AP41">
        <v>83.070629999999994</v>
      </c>
      <c r="AQ41">
        <v>109.45238000000001</v>
      </c>
      <c r="AR41">
        <v>95.668350000000004</v>
      </c>
      <c r="AS41">
        <v>75.800889999999995</v>
      </c>
      <c r="AT41">
        <v>75.800889999999995</v>
      </c>
      <c r="AU41">
        <v>87.579009999999997</v>
      </c>
      <c r="AV41">
        <v>46.469529999999999</v>
      </c>
      <c r="AW41">
        <v>68.070009999999996</v>
      </c>
    </row>
    <row r="42" spans="1:50" x14ac:dyDescent="0.2">
      <c r="A42" s="2">
        <v>42308</v>
      </c>
      <c r="B42">
        <v>84.706779999999995</v>
      </c>
      <c r="C42">
        <v>89.659520000000001</v>
      </c>
      <c r="D42">
        <v>81.786299999999997</v>
      </c>
      <c r="F42">
        <v>53.182510000000001</v>
      </c>
      <c r="G42">
        <v>80.235659999999996</v>
      </c>
      <c r="H42">
        <v>117.97875000000001</v>
      </c>
      <c r="J42">
        <v>71.03819</v>
      </c>
      <c r="K42">
        <v>85.3917</v>
      </c>
      <c r="L42">
        <v>59.55057</v>
      </c>
      <c r="M42">
        <v>114.07501999999999</v>
      </c>
      <c r="N42">
        <v>123.28023</v>
      </c>
      <c r="O42">
        <v>103.27812</v>
      </c>
      <c r="P42">
        <v>85.43047</v>
      </c>
      <c r="Q42">
        <v>86.517700000000005</v>
      </c>
      <c r="R42">
        <v>79.68092</v>
      </c>
      <c r="S42">
        <v>38.04072</v>
      </c>
      <c r="T42">
        <v>45.481200000000001</v>
      </c>
      <c r="U42">
        <v>65.021889999999999</v>
      </c>
      <c r="V42">
        <v>52.079549999999998</v>
      </c>
      <c r="W42">
        <v>75.97269</v>
      </c>
      <c r="X42">
        <v>61.080150000000003</v>
      </c>
      <c r="Y42">
        <v>78.710059999999999</v>
      </c>
      <c r="AA42">
        <v>53.278390000000002</v>
      </c>
      <c r="AB42">
        <v>53.548200000000001</v>
      </c>
      <c r="AC42">
        <v>88.489869999999996</v>
      </c>
      <c r="AD42">
        <v>190.55916999999999</v>
      </c>
      <c r="AE42">
        <v>190.55916999999999</v>
      </c>
      <c r="AF42">
        <v>102.71875</v>
      </c>
      <c r="AG42">
        <v>85.738929999999996</v>
      </c>
      <c r="AH42">
        <v>57.750010000000003</v>
      </c>
      <c r="AJ42">
        <v>94.960530000000006</v>
      </c>
      <c r="AK42">
        <v>59.337600000000002</v>
      </c>
      <c r="AM42">
        <v>50.419800000000002</v>
      </c>
      <c r="AN42">
        <v>106.52066000000001</v>
      </c>
      <c r="AO42">
        <v>48.419969999999999</v>
      </c>
      <c r="AP42">
        <v>82.619630000000001</v>
      </c>
      <c r="AQ42">
        <v>109.28497</v>
      </c>
      <c r="AR42">
        <v>95.342259999999996</v>
      </c>
      <c r="AS42">
        <v>75.950469999999996</v>
      </c>
      <c r="AT42">
        <v>75.950469999999996</v>
      </c>
      <c r="AU42">
        <v>86.160049999999998</v>
      </c>
      <c r="AV42">
        <v>47.089939999999999</v>
      </c>
      <c r="AW42">
        <v>67.920519999999996</v>
      </c>
    </row>
    <row r="43" spans="1:50" x14ac:dyDescent="0.2">
      <c r="A43" s="2">
        <v>42277</v>
      </c>
      <c r="B43">
        <v>84.841459999999998</v>
      </c>
      <c r="C43">
        <v>89.341440000000006</v>
      </c>
      <c r="D43">
        <v>81.92756</v>
      </c>
      <c r="F43">
        <v>52.927210000000002</v>
      </c>
      <c r="G43">
        <v>80.388800000000003</v>
      </c>
      <c r="H43">
        <v>118.49444</v>
      </c>
      <c r="J43">
        <v>65.280339999999995</v>
      </c>
      <c r="K43">
        <v>77.759200000000007</v>
      </c>
      <c r="L43">
        <v>55.240259999999999</v>
      </c>
      <c r="M43">
        <v>107.95217</v>
      </c>
      <c r="N43">
        <v>117.79537000000001</v>
      </c>
      <c r="O43">
        <v>96.849950000000007</v>
      </c>
      <c r="P43">
        <v>85.433139999999995</v>
      </c>
      <c r="Q43">
        <v>86.03098</v>
      </c>
      <c r="R43">
        <v>79.707859999999997</v>
      </c>
      <c r="S43">
        <v>35.640700000000002</v>
      </c>
      <c r="T43">
        <v>42.632269999999998</v>
      </c>
      <c r="U43">
        <v>65.522639999999996</v>
      </c>
      <c r="V43">
        <v>49.180289999999999</v>
      </c>
      <c r="W43">
        <v>76.437389999999994</v>
      </c>
      <c r="X43">
        <v>61.206850000000003</v>
      </c>
      <c r="Y43">
        <v>73.739459999999994</v>
      </c>
      <c r="AA43">
        <v>53.358919999999998</v>
      </c>
      <c r="AB43">
        <v>50.971690000000002</v>
      </c>
      <c r="AC43">
        <v>83.240300000000005</v>
      </c>
      <c r="AD43">
        <v>175.71417</v>
      </c>
      <c r="AE43">
        <v>175.71417</v>
      </c>
      <c r="AF43">
        <v>97.269859999999994</v>
      </c>
      <c r="AG43">
        <v>78.811059999999998</v>
      </c>
      <c r="AH43">
        <v>53.689990000000002</v>
      </c>
      <c r="AJ43">
        <v>90.700199999999995</v>
      </c>
      <c r="AK43">
        <v>55.309269999999998</v>
      </c>
      <c r="AM43">
        <v>50.241970000000002</v>
      </c>
      <c r="AN43">
        <v>98.719309999999993</v>
      </c>
      <c r="AO43">
        <v>48.38015</v>
      </c>
      <c r="AP43">
        <v>76.748949999999994</v>
      </c>
      <c r="AQ43">
        <v>100.29421000000001</v>
      </c>
      <c r="AR43">
        <v>88.051479999999998</v>
      </c>
      <c r="AS43">
        <v>74.188100000000006</v>
      </c>
      <c r="AT43">
        <v>74.188100000000006</v>
      </c>
      <c r="AU43">
        <v>81.631789999999995</v>
      </c>
      <c r="AV43">
        <v>44.3202</v>
      </c>
      <c r="AW43">
        <v>62.649360000000001</v>
      </c>
    </row>
    <row r="44" spans="1:50" x14ac:dyDescent="0.2">
      <c r="A44" s="2">
        <v>42247</v>
      </c>
      <c r="B44">
        <v>84.109499999999997</v>
      </c>
      <c r="C44">
        <v>88.680589999999995</v>
      </c>
      <c r="D44">
        <v>81.441569999999999</v>
      </c>
      <c r="F44">
        <v>52.563560000000003</v>
      </c>
      <c r="G44">
        <v>80.070549999999997</v>
      </c>
      <c r="H44">
        <v>116.77764999999999</v>
      </c>
      <c r="J44">
        <v>67.312600000000003</v>
      </c>
      <c r="K44">
        <v>80.249799999999993</v>
      </c>
      <c r="L44">
        <v>56.859250000000003</v>
      </c>
      <c r="M44">
        <v>114.06197</v>
      </c>
      <c r="N44">
        <v>125.50026</v>
      </c>
      <c r="O44">
        <v>101.6194</v>
      </c>
      <c r="P44">
        <v>84.220519999999993</v>
      </c>
      <c r="Q44">
        <v>85.161540000000002</v>
      </c>
      <c r="R44">
        <v>79.360690000000005</v>
      </c>
      <c r="S44">
        <v>37.318710000000003</v>
      </c>
      <c r="T44">
        <v>44.659860000000002</v>
      </c>
      <c r="U44">
        <v>64.81671</v>
      </c>
      <c r="V44">
        <v>51.530169999999998</v>
      </c>
      <c r="W44">
        <v>75.197819999999993</v>
      </c>
      <c r="X44">
        <v>61.0687</v>
      </c>
      <c r="Y44">
        <v>75.571420000000003</v>
      </c>
      <c r="AA44">
        <v>53.059069999999998</v>
      </c>
      <c r="AB44">
        <v>51.000729999999997</v>
      </c>
      <c r="AC44">
        <v>87.389219999999995</v>
      </c>
      <c r="AD44">
        <v>181.08385000000001</v>
      </c>
      <c r="AE44">
        <v>181.08385000000001</v>
      </c>
      <c r="AF44">
        <v>101.80668</v>
      </c>
      <c r="AG44">
        <v>83.720740000000006</v>
      </c>
      <c r="AH44">
        <v>56.040109999999999</v>
      </c>
      <c r="AJ44">
        <v>93.318870000000004</v>
      </c>
      <c r="AK44">
        <v>57.729990000000001</v>
      </c>
      <c r="AM44">
        <v>49.978850000000001</v>
      </c>
      <c r="AN44">
        <v>102.20384</v>
      </c>
      <c r="AO44">
        <v>48.410539999999997</v>
      </c>
      <c r="AP44">
        <v>79.283019999999993</v>
      </c>
      <c r="AQ44">
        <v>103.58851</v>
      </c>
      <c r="AR44">
        <v>90.969729999999998</v>
      </c>
      <c r="AS44">
        <v>75.550899999999999</v>
      </c>
      <c r="AT44">
        <v>75.550899999999999</v>
      </c>
      <c r="AU44">
        <v>86.419709999999995</v>
      </c>
      <c r="AV44">
        <v>46.329360000000001</v>
      </c>
      <c r="AW44">
        <v>64.179090000000002</v>
      </c>
    </row>
    <row r="45" spans="1:50" x14ac:dyDescent="0.2">
      <c r="A45" s="2">
        <v>42216</v>
      </c>
      <c r="B45">
        <v>84.460030000000003</v>
      </c>
      <c r="C45">
        <v>89.992490000000004</v>
      </c>
      <c r="D45">
        <v>81.806979999999996</v>
      </c>
      <c r="F45">
        <v>52.978149999999999</v>
      </c>
      <c r="G45">
        <v>80.221159999999998</v>
      </c>
      <c r="H45">
        <v>117.72443</v>
      </c>
      <c r="J45">
        <v>71.849410000000006</v>
      </c>
      <c r="K45">
        <v>85.860079999999996</v>
      </c>
      <c r="L45">
        <v>60.53931</v>
      </c>
      <c r="M45">
        <v>121.12163</v>
      </c>
      <c r="N45">
        <v>134.92239000000001</v>
      </c>
      <c r="O45">
        <v>106.78411</v>
      </c>
      <c r="P45">
        <v>85.242180000000005</v>
      </c>
      <c r="Q45">
        <v>87.333910000000003</v>
      </c>
      <c r="R45">
        <v>79.752480000000006</v>
      </c>
      <c r="S45">
        <v>40.229199999999999</v>
      </c>
      <c r="T45">
        <v>48.408160000000002</v>
      </c>
      <c r="U45">
        <v>64.958209999999994</v>
      </c>
      <c r="V45">
        <v>55.41854</v>
      </c>
      <c r="W45">
        <v>75.827039999999997</v>
      </c>
      <c r="X45">
        <v>61.148760000000003</v>
      </c>
      <c r="Y45">
        <v>80.280770000000004</v>
      </c>
      <c r="AA45">
        <v>53.189779999999999</v>
      </c>
      <c r="AB45">
        <v>55.102020000000003</v>
      </c>
      <c r="AC45">
        <v>91.419079999999994</v>
      </c>
      <c r="AD45">
        <v>192.95396</v>
      </c>
      <c r="AE45">
        <v>192.95396</v>
      </c>
      <c r="AF45">
        <v>108.14064</v>
      </c>
      <c r="AG45">
        <v>86.421480000000003</v>
      </c>
      <c r="AH45">
        <v>60.699910000000003</v>
      </c>
      <c r="AJ45">
        <v>98.942019999999999</v>
      </c>
      <c r="AK45">
        <v>61.830829999999999</v>
      </c>
      <c r="AN45">
        <v>108.83419000000001</v>
      </c>
      <c r="AO45">
        <v>48.60022</v>
      </c>
      <c r="AP45">
        <v>84.200400000000002</v>
      </c>
      <c r="AQ45">
        <v>110.5539</v>
      </c>
      <c r="AR45">
        <v>96.810649999999995</v>
      </c>
      <c r="AS45">
        <v>76.839359999999999</v>
      </c>
      <c r="AT45">
        <v>76.839359999999999</v>
      </c>
      <c r="AU45">
        <v>91.819609999999997</v>
      </c>
      <c r="AV45">
        <v>50.050800000000002</v>
      </c>
      <c r="AW45">
        <v>68.029970000000006</v>
      </c>
    </row>
    <row r="46" spans="1:50" x14ac:dyDescent="0.2">
      <c r="A46" s="2">
        <v>42185</v>
      </c>
      <c r="B46">
        <v>83.868350000000007</v>
      </c>
      <c r="C46">
        <v>87.612219999999994</v>
      </c>
      <c r="D46">
        <v>81.260409999999993</v>
      </c>
      <c r="F46">
        <v>52.372019999999999</v>
      </c>
      <c r="G46">
        <v>80.190700000000007</v>
      </c>
      <c r="H46">
        <v>110.00237</v>
      </c>
      <c r="J46">
        <v>70.300020000000004</v>
      </c>
      <c r="K46">
        <v>82.959010000000006</v>
      </c>
      <c r="L46">
        <v>59.890079999999998</v>
      </c>
      <c r="M46">
        <v>121.46237000000001</v>
      </c>
      <c r="N46">
        <v>134.23677000000001</v>
      </c>
      <c r="O46">
        <v>107.82357</v>
      </c>
      <c r="P46">
        <v>85.301209999999998</v>
      </c>
      <c r="Q46">
        <v>85.308319999999995</v>
      </c>
      <c r="R46">
        <v>79.578990000000005</v>
      </c>
      <c r="S46">
        <v>39.650440000000003</v>
      </c>
      <c r="T46">
        <v>48.55254</v>
      </c>
      <c r="U46">
        <v>64.478499999999997</v>
      </c>
      <c r="V46">
        <v>53.980139999999999</v>
      </c>
      <c r="W46">
        <v>73.059920000000005</v>
      </c>
      <c r="X46">
        <v>61.109560000000002</v>
      </c>
      <c r="Y46">
        <v>78.581159999999997</v>
      </c>
      <c r="AA46">
        <v>52.831659999999999</v>
      </c>
      <c r="AB46">
        <v>55.461390000000002</v>
      </c>
      <c r="AC46">
        <v>90.569130000000001</v>
      </c>
      <c r="AD46">
        <v>188.85337999999999</v>
      </c>
      <c r="AE46">
        <v>188.85337999999999</v>
      </c>
      <c r="AF46">
        <v>106.57938</v>
      </c>
      <c r="AG46">
        <v>86.950040000000001</v>
      </c>
      <c r="AH46">
        <v>61.029989999999998</v>
      </c>
      <c r="AJ46">
        <v>101.9178</v>
      </c>
      <c r="AK46">
        <v>61.520330000000001</v>
      </c>
      <c r="AN46">
        <v>107.00899</v>
      </c>
      <c r="AO46">
        <v>48.679870000000001</v>
      </c>
      <c r="AP46">
        <v>83.36063</v>
      </c>
      <c r="AQ46">
        <v>107.05808</v>
      </c>
      <c r="AR46">
        <v>94.819479999999999</v>
      </c>
      <c r="AS46">
        <v>76.940160000000006</v>
      </c>
      <c r="AT46">
        <v>76.940160000000006</v>
      </c>
      <c r="AU46">
        <v>91.988230000000001</v>
      </c>
      <c r="AV46">
        <v>50.330410000000001</v>
      </c>
      <c r="AW46">
        <v>67.321219999999997</v>
      </c>
    </row>
    <row r="47" spans="1:50" x14ac:dyDescent="0.2">
      <c r="A47" s="2">
        <v>42155</v>
      </c>
      <c r="B47">
        <v>85.209879999999998</v>
      </c>
      <c r="C47">
        <v>91.028570000000002</v>
      </c>
      <c r="D47">
        <v>82.343289999999996</v>
      </c>
      <c r="F47">
        <v>53.136539999999997</v>
      </c>
      <c r="G47">
        <v>80.380529999999993</v>
      </c>
      <c r="H47">
        <v>118.06010999999999</v>
      </c>
      <c r="J47">
        <v>72.080250000000007</v>
      </c>
      <c r="K47">
        <v>84.708160000000007</v>
      </c>
      <c r="L47">
        <v>61.499479999999998</v>
      </c>
      <c r="M47">
        <v>122.47393</v>
      </c>
      <c r="N47">
        <v>134.41336999999999</v>
      </c>
      <c r="O47">
        <v>109.45282</v>
      </c>
      <c r="P47">
        <v>86.61985</v>
      </c>
      <c r="Q47">
        <v>88.903450000000007</v>
      </c>
      <c r="R47">
        <v>80.076549999999997</v>
      </c>
      <c r="S47">
        <v>41.349220000000003</v>
      </c>
      <c r="T47">
        <v>50.510809999999999</v>
      </c>
      <c r="U47">
        <v>65.097480000000004</v>
      </c>
      <c r="V47">
        <v>56.680880000000002</v>
      </c>
      <c r="W47">
        <v>75.92183</v>
      </c>
      <c r="X47">
        <v>61.137329999999999</v>
      </c>
      <c r="Y47">
        <v>81.068200000000004</v>
      </c>
      <c r="AA47">
        <v>53.267890000000001</v>
      </c>
      <c r="AB47">
        <v>57.749090000000002</v>
      </c>
      <c r="AC47">
        <v>92.742679999999993</v>
      </c>
      <c r="AD47">
        <v>193.48738</v>
      </c>
      <c r="AE47">
        <v>193.48738</v>
      </c>
      <c r="AF47">
        <v>107.92350999999999</v>
      </c>
      <c r="AG47">
        <v>88.000330000000005</v>
      </c>
      <c r="AH47">
        <v>63.031390000000002</v>
      </c>
      <c r="AJ47">
        <v>104.99764</v>
      </c>
      <c r="AK47">
        <v>63.371229999999997</v>
      </c>
      <c r="AN47">
        <v>109.30117</v>
      </c>
      <c r="AO47">
        <v>48.750079999999997</v>
      </c>
      <c r="AP47">
        <v>85.769109999999998</v>
      </c>
      <c r="AQ47">
        <v>109.15851000000001</v>
      </c>
      <c r="AR47">
        <v>97.160129999999995</v>
      </c>
      <c r="AS47">
        <v>78.430049999999994</v>
      </c>
      <c r="AT47">
        <v>78.430049999999994</v>
      </c>
      <c r="AU47">
        <v>92.648899999999998</v>
      </c>
      <c r="AV47">
        <v>52.290570000000002</v>
      </c>
      <c r="AW47">
        <v>69.72</v>
      </c>
    </row>
    <row r="48" spans="1:50" x14ac:dyDescent="0.2">
      <c r="A48" s="2">
        <v>42124</v>
      </c>
      <c r="B48">
        <v>85.771169999999998</v>
      </c>
      <c r="C48">
        <v>93.547939999999997</v>
      </c>
      <c r="D48">
        <v>82.908810000000003</v>
      </c>
      <c r="F48">
        <v>53.481699999999996</v>
      </c>
      <c r="G48">
        <v>80.369489999999999</v>
      </c>
      <c r="H48">
        <v>122.52970000000001</v>
      </c>
      <c r="J48">
        <v>71.070800000000006</v>
      </c>
      <c r="K48">
        <v>83.420249999999996</v>
      </c>
      <c r="L48">
        <v>60.840879999999999</v>
      </c>
      <c r="M48">
        <v>120.05683000000001</v>
      </c>
      <c r="N48">
        <v>130.81904</v>
      </c>
      <c r="O48">
        <v>107.98650000000001</v>
      </c>
      <c r="P48">
        <v>87.497209999999995</v>
      </c>
      <c r="Q48">
        <v>91.844790000000003</v>
      </c>
      <c r="R48">
        <v>80.132850000000005</v>
      </c>
      <c r="S48">
        <v>41.37059</v>
      </c>
      <c r="T48">
        <v>51.039740000000002</v>
      </c>
      <c r="U48">
        <v>65.23921</v>
      </c>
      <c r="V48">
        <v>56.52046</v>
      </c>
      <c r="W48">
        <v>77.847800000000007</v>
      </c>
      <c r="X48">
        <v>61.13062</v>
      </c>
      <c r="Y48">
        <v>80.299090000000007</v>
      </c>
      <c r="AA48">
        <v>53.440559999999998</v>
      </c>
      <c r="AB48">
        <v>59.12961</v>
      </c>
      <c r="AC48">
        <v>91.638949999999994</v>
      </c>
      <c r="AD48">
        <v>191.09142</v>
      </c>
      <c r="AE48">
        <v>191.09142</v>
      </c>
      <c r="AF48">
        <v>106.86888999999999</v>
      </c>
      <c r="AG48">
        <v>89.641689999999997</v>
      </c>
      <c r="AH48">
        <v>63.399430000000002</v>
      </c>
      <c r="AJ48">
        <v>104.79993</v>
      </c>
      <c r="AK48">
        <v>63.160539999999997</v>
      </c>
      <c r="AN48">
        <v>107.88533</v>
      </c>
      <c r="AO48">
        <v>48.779420000000002</v>
      </c>
      <c r="AP48">
        <v>84.771330000000006</v>
      </c>
      <c r="AQ48">
        <v>107.56903</v>
      </c>
      <c r="AR48">
        <v>95.897310000000004</v>
      </c>
      <c r="AS48">
        <v>78.818920000000006</v>
      </c>
      <c r="AT48">
        <v>78.818920000000006</v>
      </c>
      <c r="AU48">
        <v>91.009420000000006</v>
      </c>
      <c r="AV48">
        <v>52.769350000000003</v>
      </c>
      <c r="AW48">
        <v>69.460269999999994</v>
      </c>
    </row>
    <row r="49" spans="1:49" x14ac:dyDescent="0.2">
      <c r="A49" s="2">
        <v>42094</v>
      </c>
      <c r="B49">
        <v>86.213880000000003</v>
      </c>
      <c r="C49">
        <v>96.319209999999998</v>
      </c>
      <c r="D49">
        <v>83.365780000000001</v>
      </c>
      <c r="F49">
        <v>54.0914</v>
      </c>
      <c r="G49">
        <v>80.522069999999999</v>
      </c>
      <c r="H49">
        <v>129.82771</v>
      </c>
      <c r="J49">
        <v>70.359080000000006</v>
      </c>
      <c r="K49">
        <v>83.338179999999994</v>
      </c>
      <c r="L49">
        <v>59.769129999999997</v>
      </c>
      <c r="M49">
        <v>122.54846999999999</v>
      </c>
      <c r="N49">
        <v>131.77475999999999</v>
      </c>
      <c r="O49">
        <v>109.38764999999999</v>
      </c>
      <c r="P49">
        <v>87.694999999999993</v>
      </c>
      <c r="Q49">
        <v>94.096450000000004</v>
      </c>
      <c r="R49">
        <v>80.213269999999994</v>
      </c>
      <c r="S49">
        <v>39.829639999999998</v>
      </c>
      <c r="T49">
        <v>48.730879999999999</v>
      </c>
      <c r="U49">
        <v>65.418859999999995</v>
      </c>
      <c r="V49">
        <v>54.219859999999997</v>
      </c>
      <c r="W49">
        <v>80.317700000000002</v>
      </c>
      <c r="X49">
        <v>61.101939999999999</v>
      </c>
      <c r="Y49">
        <v>80.468800000000002</v>
      </c>
      <c r="AA49">
        <v>53.430689999999998</v>
      </c>
      <c r="AB49">
        <v>56.271059999999999</v>
      </c>
      <c r="AC49">
        <v>91.911330000000007</v>
      </c>
      <c r="AD49">
        <v>189.20500000000001</v>
      </c>
      <c r="AE49">
        <v>189.20500000000001</v>
      </c>
      <c r="AF49">
        <v>108.04759</v>
      </c>
      <c r="AG49">
        <v>86.448759999999993</v>
      </c>
      <c r="AH49">
        <v>61.277889999999999</v>
      </c>
      <c r="AJ49">
        <v>99.262039999999999</v>
      </c>
      <c r="AK49">
        <v>61.589149999999997</v>
      </c>
      <c r="AN49">
        <v>107.24225</v>
      </c>
      <c r="AO49">
        <v>48.459789999999998</v>
      </c>
      <c r="AP49">
        <v>83.701490000000007</v>
      </c>
      <c r="AQ49">
        <v>104.61427</v>
      </c>
      <c r="AR49">
        <v>95.199839999999995</v>
      </c>
      <c r="AS49">
        <v>77.758099999999999</v>
      </c>
      <c r="AT49">
        <v>77.758099999999999</v>
      </c>
      <c r="AU49">
        <v>92.471800000000002</v>
      </c>
      <c r="AV49">
        <v>50.348520000000001</v>
      </c>
      <c r="AW49">
        <v>68.298850000000002</v>
      </c>
    </row>
    <row r="50" spans="1:49" x14ac:dyDescent="0.2">
      <c r="A50" s="2">
        <v>42063</v>
      </c>
      <c r="B50">
        <v>85.874099999999999</v>
      </c>
      <c r="C50">
        <v>95.969949999999997</v>
      </c>
      <c r="D50">
        <v>83.077979999999997</v>
      </c>
      <c r="F50">
        <v>53.889360000000003</v>
      </c>
      <c r="G50">
        <v>80.238039999999998</v>
      </c>
      <c r="H50">
        <v>128.68392</v>
      </c>
      <c r="J50">
        <v>71.939530000000005</v>
      </c>
      <c r="K50">
        <v>85.141270000000006</v>
      </c>
      <c r="L50">
        <v>61.127589999999998</v>
      </c>
      <c r="M50">
        <v>120.78939</v>
      </c>
      <c r="N50">
        <v>132.2405</v>
      </c>
      <c r="O50">
        <v>108.08299</v>
      </c>
      <c r="P50">
        <v>87.609750000000005</v>
      </c>
      <c r="Q50">
        <v>94.238200000000006</v>
      </c>
      <c r="R50">
        <v>80.088610000000003</v>
      </c>
      <c r="S50">
        <v>40.501049999999999</v>
      </c>
      <c r="T50">
        <v>49.589410000000001</v>
      </c>
      <c r="U50">
        <v>65.002880000000005</v>
      </c>
      <c r="V50">
        <v>55.891199999999998</v>
      </c>
      <c r="W50">
        <v>79.69847</v>
      </c>
      <c r="X50">
        <v>61.01032</v>
      </c>
      <c r="Y50">
        <v>82.798860000000005</v>
      </c>
      <c r="AA50">
        <v>53.237279999999998</v>
      </c>
      <c r="AB50">
        <v>56.961939999999998</v>
      </c>
      <c r="AC50">
        <v>91.979870000000005</v>
      </c>
      <c r="AD50">
        <v>193.21052</v>
      </c>
      <c r="AE50">
        <v>193.21052</v>
      </c>
      <c r="AF50">
        <v>106.67887</v>
      </c>
      <c r="AG50">
        <v>88.609589999999997</v>
      </c>
      <c r="AH50">
        <v>61.033239999999999</v>
      </c>
      <c r="AJ50">
        <v>100.66258000000001</v>
      </c>
      <c r="AK50">
        <v>62.66066</v>
      </c>
      <c r="AN50">
        <v>109.03119</v>
      </c>
      <c r="AO50">
        <v>48.629559999999998</v>
      </c>
      <c r="AP50">
        <v>85.327920000000006</v>
      </c>
      <c r="AQ50">
        <v>109.22646</v>
      </c>
      <c r="AR50">
        <v>96.921250000000001</v>
      </c>
      <c r="AS50">
        <v>77.643649999999994</v>
      </c>
      <c r="AT50">
        <v>77.643649999999994</v>
      </c>
      <c r="AU50">
        <v>91.320409999999995</v>
      </c>
      <c r="AV50">
        <v>51.269129999999997</v>
      </c>
      <c r="AW50">
        <v>70.038200000000003</v>
      </c>
    </row>
    <row r="51" spans="1:49" x14ac:dyDescent="0.2">
      <c r="A51" s="2">
        <v>42035</v>
      </c>
      <c r="B51">
        <v>87.286550000000005</v>
      </c>
      <c r="C51">
        <v>100.44401999999999</v>
      </c>
      <c r="D51">
        <v>84.354590000000002</v>
      </c>
      <c r="F51">
        <v>54.060760000000002</v>
      </c>
      <c r="G51">
        <v>80.708690000000004</v>
      </c>
      <c r="H51">
        <v>141.60732999999999</v>
      </c>
      <c r="J51">
        <v>68.089250000000007</v>
      </c>
      <c r="K51">
        <v>80.119979999999998</v>
      </c>
      <c r="L51">
        <v>58.089359999999999</v>
      </c>
      <c r="M51">
        <v>114.15284</v>
      </c>
      <c r="N51">
        <v>124.78009</v>
      </c>
      <c r="O51">
        <v>102.28646999999999</v>
      </c>
      <c r="P51">
        <v>88.705969999999994</v>
      </c>
      <c r="Q51">
        <v>97.630380000000002</v>
      </c>
      <c r="R51">
        <v>80.372470000000007</v>
      </c>
      <c r="S51">
        <v>38.148870000000002</v>
      </c>
      <c r="T51">
        <v>46.850529999999999</v>
      </c>
      <c r="U51">
        <v>66.093850000000003</v>
      </c>
      <c r="V51">
        <v>52.680480000000003</v>
      </c>
      <c r="W51">
        <v>84.501850000000005</v>
      </c>
      <c r="X51">
        <v>61.171680000000002</v>
      </c>
      <c r="Y51">
        <v>78.416489999999996</v>
      </c>
      <c r="AA51">
        <v>53.47531</v>
      </c>
      <c r="AB51">
        <v>54.939210000000003</v>
      </c>
      <c r="AC51">
        <v>87.308719999999994</v>
      </c>
      <c r="AD51">
        <v>182.96755999999999</v>
      </c>
      <c r="AE51">
        <v>182.96755999999999</v>
      </c>
      <c r="AF51">
        <v>100.05952000000001</v>
      </c>
      <c r="AG51">
        <v>83.110349999999997</v>
      </c>
      <c r="AH51">
        <v>57.540089999999999</v>
      </c>
      <c r="AJ51">
        <v>94.718710000000002</v>
      </c>
      <c r="AK51">
        <v>59.140360000000001</v>
      </c>
      <c r="AN51">
        <v>103.09045</v>
      </c>
      <c r="AO51">
        <v>48.730170000000001</v>
      </c>
      <c r="AP51">
        <v>81.027559999999994</v>
      </c>
      <c r="AQ51">
        <v>102.80485</v>
      </c>
      <c r="AR51">
        <v>91.598259999999996</v>
      </c>
      <c r="AS51">
        <v>76.80838</v>
      </c>
      <c r="AT51">
        <v>76.80838</v>
      </c>
      <c r="AU51">
        <v>86.090220000000002</v>
      </c>
      <c r="AV51">
        <v>48.468580000000003</v>
      </c>
      <c r="AW51">
        <v>66.769270000000006</v>
      </c>
    </row>
    <row r="52" spans="1:49" x14ac:dyDescent="0.2">
      <c r="A52" s="2">
        <v>42004</v>
      </c>
      <c r="B52">
        <v>84.672830000000005</v>
      </c>
      <c r="C52">
        <v>94.273079999999993</v>
      </c>
      <c r="D52">
        <v>82.373949999999994</v>
      </c>
      <c r="F52">
        <v>53.106949999999998</v>
      </c>
      <c r="G52">
        <v>79.952250000000006</v>
      </c>
      <c r="H52">
        <v>123.943</v>
      </c>
      <c r="J52">
        <v>70.25121</v>
      </c>
      <c r="K52">
        <v>81.270060000000001</v>
      </c>
      <c r="L52">
        <v>60.689720000000001</v>
      </c>
      <c r="M52">
        <v>116.66685</v>
      </c>
      <c r="N52">
        <v>125.95422000000001</v>
      </c>
      <c r="O52">
        <v>105.77764000000001</v>
      </c>
      <c r="P52">
        <v>86.100049999999996</v>
      </c>
      <c r="Q52">
        <v>92.415419999999997</v>
      </c>
      <c r="R52">
        <v>79.629739999999998</v>
      </c>
      <c r="S52">
        <v>37.878860000000003</v>
      </c>
      <c r="T52">
        <v>46.860669999999999</v>
      </c>
      <c r="U52">
        <v>64.494079999999997</v>
      </c>
      <c r="V52">
        <v>52.410449999999997</v>
      </c>
      <c r="W52">
        <v>77.768659999999997</v>
      </c>
      <c r="X52">
        <v>60.877850000000002</v>
      </c>
      <c r="Y52">
        <v>81.161209999999997</v>
      </c>
      <c r="AA52">
        <v>53.00855</v>
      </c>
      <c r="AB52">
        <v>53.51943</v>
      </c>
      <c r="AC52">
        <v>89.429280000000006</v>
      </c>
      <c r="AD52">
        <v>188.40504999999999</v>
      </c>
      <c r="AE52">
        <v>188.40504999999999</v>
      </c>
      <c r="AF52">
        <v>101.61069000000001</v>
      </c>
      <c r="AG52">
        <v>84.717609999999993</v>
      </c>
      <c r="AH52">
        <v>56.869529999999997</v>
      </c>
      <c r="AJ52">
        <v>95.311080000000004</v>
      </c>
      <c r="AK52">
        <v>60.117489999999997</v>
      </c>
      <c r="AN52">
        <v>106.00273</v>
      </c>
      <c r="AO52">
        <v>48.240769999999998</v>
      </c>
      <c r="AP52">
        <v>84.491489999999999</v>
      </c>
      <c r="AQ52">
        <v>104.37488999999999</v>
      </c>
      <c r="AR52">
        <v>94.391930000000002</v>
      </c>
      <c r="AS52">
        <v>76.364819999999995</v>
      </c>
      <c r="AT52">
        <v>76.364819999999995</v>
      </c>
      <c r="AU52">
        <v>87.790819999999997</v>
      </c>
      <c r="AV52">
        <v>48.340359999999997</v>
      </c>
      <c r="AW52">
        <v>68.751410000000007</v>
      </c>
    </row>
    <row r="53" spans="1:49" x14ac:dyDescent="0.2">
      <c r="A53" s="2">
        <v>41973</v>
      </c>
      <c r="B53">
        <v>85.539000000000001</v>
      </c>
      <c r="C53">
        <v>92.921340000000001</v>
      </c>
      <c r="D53">
        <v>82.871139999999997</v>
      </c>
      <c r="F53">
        <v>52.77449</v>
      </c>
      <c r="G53">
        <v>80.438730000000007</v>
      </c>
      <c r="H53">
        <v>118.97754</v>
      </c>
      <c r="J53">
        <v>70.77928</v>
      </c>
      <c r="K53">
        <v>82.457269999999994</v>
      </c>
      <c r="L53">
        <v>60.937719999999999</v>
      </c>
      <c r="M53">
        <v>116.85004000000001</v>
      </c>
      <c r="N53">
        <v>126.25482</v>
      </c>
      <c r="O53">
        <v>105.72828</v>
      </c>
      <c r="P53">
        <v>86.918959999999998</v>
      </c>
      <c r="Q53">
        <v>91.461420000000004</v>
      </c>
      <c r="R53">
        <v>80.180989999999994</v>
      </c>
      <c r="S53">
        <v>39.609459999999999</v>
      </c>
      <c r="T53">
        <v>49.17792</v>
      </c>
      <c r="U53">
        <v>64.736099999999993</v>
      </c>
      <c r="V53">
        <v>55.29177</v>
      </c>
      <c r="W53">
        <v>75.789739999999995</v>
      </c>
      <c r="X53">
        <v>61.109740000000002</v>
      </c>
      <c r="Y53">
        <v>81.528940000000006</v>
      </c>
      <c r="AA53">
        <v>53.247480000000003</v>
      </c>
      <c r="AB53">
        <v>56.221760000000003</v>
      </c>
      <c r="AC53">
        <v>90.309479999999994</v>
      </c>
      <c r="AD53">
        <v>190.03548000000001</v>
      </c>
      <c r="AE53">
        <v>190.03548000000001</v>
      </c>
      <c r="AF53">
        <v>102.65787</v>
      </c>
      <c r="AG53">
        <v>89.911270000000002</v>
      </c>
      <c r="AH53">
        <v>58.810549999999999</v>
      </c>
      <c r="AJ53">
        <v>98.709540000000004</v>
      </c>
      <c r="AK53">
        <v>61.719450000000002</v>
      </c>
      <c r="AN53">
        <v>106.59247000000001</v>
      </c>
      <c r="AO53">
        <v>49.331249999999997</v>
      </c>
      <c r="AP53">
        <v>84.701769999999996</v>
      </c>
      <c r="AQ53">
        <v>105.80131</v>
      </c>
      <c r="AR53">
        <v>95.139510000000001</v>
      </c>
      <c r="AS53">
        <v>79.041510000000002</v>
      </c>
      <c r="AT53">
        <v>79.041510000000002</v>
      </c>
      <c r="AU53">
        <v>88.139189999999999</v>
      </c>
      <c r="AV53">
        <v>50.700090000000003</v>
      </c>
      <c r="AW53">
        <v>70.110830000000007</v>
      </c>
    </row>
    <row r="54" spans="1:49" x14ac:dyDescent="0.2">
      <c r="A54" s="2">
        <v>41943</v>
      </c>
      <c r="B54">
        <v>85.007249999999999</v>
      </c>
      <c r="C54">
        <v>91.668980000000005</v>
      </c>
      <c r="D54">
        <v>82.358919999999998</v>
      </c>
      <c r="F54">
        <v>52.367780000000003</v>
      </c>
      <c r="G54">
        <v>80.312389999999994</v>
      </c>
      <c r="H54">
        <v>114.04589</v>
      </c>
      <c r="J54">
        <v>69.000500000000002</v>
      </c>
      <c r="K54">
        <v>79.987809999999996</v>
      </c>
      <c r="L54">
        <v>59.598390000000002</v>
      </c>
      <c r="M54">
        <v>115.61821999999999</v>
      </c>
      <c r="N54">
        <v>125.01651</v>
      </c>
      <c r="O54">
        <v>104.57687</v>
      </c>
      <c r="P54">
        <v>86.519289999999998</v>
      </c>
      <c r="Q54">
        <v>91.239819999999995</v>
      </c>
      <c r="R54">
        <v>80.128209999999996</v>
      </c>
      <c r="S54">
        <v>39.609459999999999</v>
      </c>
      <c r="T54">
        <v>49.341459999999998</v>
      </c>
      <c r="U54">
        <v>64.350020000000001</v>
      </c>
      <c r="V54">
        <v>54.171190000000003</v>
      </c>
      <c r="W54">
        <v>74.149050000000003</v>
      </c>
      <c r="X54">
        <v>61.046509999999998</v>
      </c>
      <c r="Y54">
        <v>78.990650000000002</v>
      </c>
      <c r="AA54">
        <v>52.942300000000003</v>
      </c>
      <c r="AB54">
        <v>56.860480000000003</v>
      </c>
      <c r="AC54">
        <v>87.919300000000007</v>
      </c>
      <c r="AD54">
        <v>184.97313</v>
      </c>
      <c r="AE54">
        <v>184.97313</v>
      </c>
      <c r="AF54">
        <v>99.546999999999997</v>
      </c>
      <c r="AG54">
        <v>89.119560000000007</v>
      </c>
      <c r="AH54">
        <v>61.120229999999999</v>
      </c>
      <c r="AJ54">
        <v>100.61266000000001</v>
      </c>
      <c r="AK54">
        <v>60.949269999999999</v>
      </c>
      <c r="AN54">
        <v>104.0185</v>
      </c>
      <c r="AO54">
        <v>49.40943</v>
      </c>
      <c r="AP54">
        <v>82.660880000000006</v>
      </c>
      <c r="AQ54">
        <v>102.63851</v>
      </c>
      <c r="AR54">
        <v>92.589659999999995</v>
      </c>
      <c r="AS54">
        <v>79.73742</v>
      </c>
      <c r="AT54">
        <v>79.73742</v>
      </c>
      <c r="AU54">
        <v>86.980609999999999</v>
      </c>
      <c r="AV54">
        <v>50.959769999999999</v>
      </c>
      <c r="AW54">
        <v>68.048810000000003</v>
      </c>
    </row>
    <row r="55" spans="1:49" x14ac:dyDescent="0.2">
      <c r="A55" s="2">
        <v>41912</v>
      </c>
      <c r="B55">
        <v>84.258439999999993</v>
      </c>
      <c r="C55">
        <v>90.228859999999997</v>
      </c>
      <c r="D55">
        <v>81.932329999999993</v>
      </c>
      <c r="F55">
        <v>52.108409999999999</v>
      </c>
      <c r="G55">
        <v>80.072280000000006</v>
      </c>
      <c r="H55">
        <v>109.46928</v>
      </c>
      <c r="J55">
        <v>67.549819999999997</v>
      </c>
      <c r="K55">
        <v>77.778970000000001</v>
      </c>
      <c r="L55">
        <v>58.669519999999999</v>
      </c>
      <c r="M55">
        <v>110.6153</v>
      </c>
      <c r="N55">
        <v>120.33614</v>
      </c>
      <c r="O55">
        <v>99.738960000000006</v>
      </c>
      <c r="P55">
        <v>85.772800000000004</v>
      </c>
      <c r="Q55">
        <v>89.520979999999994</v>
      </c>
      <c r="R55">
        <v>79.873109999999997</v>
      </c>
      <c r="S55">
        <v>39.751559999999998</v>
      </c>
      <c r="T55">
        <v>49.241520000000001</v>
      </c>
      <c r="U55">
        <v>63.750259999999997</v>
      </c>
      <c r="V55">
        <v>55.219290000000001</v>
      </c>
      <c r="W55">
        <v>72.367630000000005</v>
      </c>
      <c r="X55">
        <v>60.923319999999997</v>
      </c>
      <c r="Y55">
        <v>76.948580000000007</v>
      </c>
      <c r="AA55">
        <v>52.573439999999998</v>
      </c>
      <c r="AB55">
        <v>54.451419999999999</v>
      </c>
      <c r="AC55">
        <v>84.901830000000004</v>
      </c>
      <c r="AD55">
        <v>180.60109</v>
      </c>
      <c r="AE55">
        <v>180.60109</v>
      </c>
      <c r="AF55">
        <v>96.280839999999998</v>
      </c>
      <c r="AG55">
        <v>87.29907</v>
      </c>
      <c r="AH55">
        <v>59.303789999999999</v>
      </c>
      <c r="AJ55">
        <v>102.1279</v>
      </c>
      <c r="AK55">
        <v>60.381079999999997</v>
      </c>
      <c r="AN55">
        <v>101.23932000000001</v>
      </c>
      <c r="AO55">
        <v>49.369280000000003</v>
      </c>
      <c r="AP55">
        <v>81.198939999999993</v>
      </c>
      <c r="AQ55">
        <v>99.668610000000001</v>
      </c>
      <c r="AR55">
        <v>90.459680000000006</v>
      </c>
      <c r="AS55">
        <v>78.762050000000002</v>
      </c>
      <c r="AT55">
        <v>78.762050000000002</v>
      </c>
      <c r="AU55">
        <v>83.58117</v>
      </c>
      <c r="AV55">
        <v>50.999459999999999</v>
      </c>
      <c r="AW55">
        <v>66.410489999999996</v>
      </c>
    </row>
    <row r="56" spans="1:49" x14ac:dyDescent="0.2">
      <c r="A56" s="2">
        <v>41882</v>
      </c>
      <c r="B56">
        <v>85.290580000000006</v>
      </c>
      <c r="C56">
        <v>92.818179999999998</v>
      </c>
      <c r="D56">
        <v>82.582189999999997</v>
      </c>
      <c r="F56">
        <v>52.240560000000002</v>
      </c>
      <c r="G56">
        <v>80.274630000000002</v>
      </c>
      <c r="H56">
        <v>113.7214</v>
      </c>
      <c r="J56">
        <v>68.708860000000001</v>
      </c>
      <c r="K56">
        <v>79.160330000000002</v>
      </c>
      <c r="L56">
        <v>59.599580000000003</v>
      </c>
      <c r="M56">
        <v>116.87165</v>
      </c>
      <c r="N56">
        <v>126.43322000000001</v>
      </c>
      <c r="O56">
        <v>105.57564000000001</v>
      </c>
      <c r="P56">
        <v>87.148520000000005</v>
      </c>
      <c r="Q56">
        <v>92.587599999999995</v>
      </c>
      <c r="R56">
        <v>80.238529999999997</v>
      </c>
      <c r="S56">
        <v>41.691609999999997</v>
      </c>
      <c r="T56">
        <v>52.039259999999999</v>
      </c>
      <c r="U56">
        <v>64.238749999999996</v>
      </c>
      <c r="V56">
        <v>57.779499999999999</v>
      </c>
      <c r="W56">
        <v>73.988159999999993</v>
      </c>
      <c r="X56">
        <v>60.978020000000001</v>
      </c>
      <c r="Y56">
        <v>78.119079999999997</v>
      </c>
      <c r="AA56">
        <v>52.679929999999999</v>
      </c>
      <c r="AB56">
        <v>58.798549999999999</v>
      </c>
      <c r="AC56">
        <v>87.949330000000003</v>
      </c>
      <c r="AD56">
        <v>184.01523</v>
      </c>
      <c r="AE56">
        <v>184.01523</v>
      </c>
      <c r="AF56">
        <v>99.211420000000004</v>
      </c>
      <c r="AG56">
        <v>88.417749999999998</v>
      </c>
      <c r="AH56">
        <v>62.529139999999998</v>
      </c>
      <c r="AJ56">
        <v>109.37882999999999</v>
      </c>
      <c r="AK56">
        <v>62.759259999999998</v>
      </c>
      <c r="AN56">
        <v>103.8824</v>
      </c>
      <c r="AO56">
        <v>49.910220000000002</v>
      </c>
      <c r="AP56">
        <v>82.730919999999998</v>
      </c>
      <c r="AQ56">
        <v>101.83783</v>
      </c>
      <c r="AR56">
        <v>92.288120000000006</v>
      </c>
      <c r="AS56">
        <v>80.818340000000006</v>
      </c>
      <c r="AT56">
        <v>80.818340000000006</v>
      </c>
      <c r="AU56">
        <v>88.029560000000004</v>
      </c>
      <c r="AV56">
        <v>53.971359999999997</v>
      </c>
      <c r="AW56">
        <v>67.659419999999997</v>
      </c>
    </row>
    <row r="57" spans="1:49" x14ac:dyDescent="0.2">
      <c r="A57" s="2">
        <v>41851</v>
      </c>
      <c r="B57">
        <v>84.228300000000004</v>
      </c>
      <c r="C57">
        <v>89.57132</v>
      </c>
      <c r="D57">
        <v>81.822980000000001</v>
      </c>
      <c r="F57">
        <v>51.609020000000001</v>
      </c>
      <c r="G57">
        <v>80.068129999999996</v>
      </c>
      <c r="H57">
        <v>106.30244999999999</v>
      </c>
      <c r="J57">
        <v>66.133750000000006</v>
      </c>
      <c r="K57">
        <v>75.787599999999998</v>
      </c>
      <c r="L57">
        <v>57.649459999999998</v>
      </c>
      <c r="M57">
        <v>111.23121</v>
      </c>
      <c r="N57">
        <v>120.71392</v>
      </c>
      <c r="O57">
        <v>100.44905</v>
      </c>
      <c r="P57">
        <v>86.113870000000006</v>
      </c>
      <c r="Q57">
        <v>89.995710000000003</v>
      </c>
      <c r="R57">
        <v>80.119950000000003</v>
      </c>
      <c r="S57">
        <v>41.579619999999998</v>
      </c>
      <c r="T57">
        <v>51.522039999999997</v>
      </c>
      <c r="U57">
        <v>63.600540000000002</v>
      </c>
      <c r="V57">
        <v>57.36103</v>
      </c>
      <c r="W57">
        <v>71.117469999999997</v>
      </c>
      <c r="X57">
        <v>60.912849999999999</v>
      </c>
      <c r="Y57">
        <v>75.370220000000003</v>
      </c>
      <c r="AA57">
        <v>52.372500000000002</v>
      </c>
      <c r="AB57">
        <v>58.647799999999997</v>
      </c>
      <c r="AC57">
        <v>84.681610000000006</v>
      </c>
      <c r="AD57">
        <v>176.93602000000001</v>
      </c>
      <c r="AE57">
        <v>176.93602000000001</v>
      </c>
      <c r="AF57">
        <v>93.950550000000007</v>
      </c>
      <c r="AG57">
        <v>88.988770000000002</v>
      </c>
      <c r="AH57">
        <v>62.80874</v>
      </c>
      <c r="AJ57">
        <v>107.801</v>
      </c>
      <c r="AK57">
        <v>61.140239999999999</v>
      </c>
      <c r="AN57">
        <v>99.739559999999997</v>
      </c>
      <c r="AO57">
        <v>49.94932</v>
      </c>
      <c r="AP57">
        <v>79.979619999999997</v>
      </c>
      <c r="AQ57">
        <v>97.361980000000003</v>
      </c>
      <c r="AR57">
        <v>88.76097</v>
      </c>
      <c r="AS57">
        <v>80.224680000000006</v>
      </c>
      <c r="AT57">
        <v>80.224680000000006</v>
      </c>
      <c r="AU57">
        <v>83.900369999999995</v>
      </c>
      <c r="AV57">
        <v>53.350079999999998</v>
      </c>
      <c r="AW57">
        <v>65.21096</v>
      </c>
    </row>
    <row r="58" spans="1:49" x14ac:dyDescent="0.2">
      <c r="A58" s="2">
        <v>41820</v>
      </c>
      <c r="B58">
        <v>84.692459999999997</v>
      </c>
      <c r="C58">
        <v>89.891090000000005</v>
      </c>
      <c r="D58">
        <v>82.214889999999997</v>
      </c>
      <c r="F58">
        <v>51.406820000000003</v>
      </c>
      <c r="G58">
        <v>80.341309999999993</v>
      </c>
      <c r="H58">
        <v>104.74327</v>
      </c>
      <c r="J58">
        <v>66.938469999999995</v>
      </c>
      <c r="K58">
        <v>76.780079999999998</v>
      </c>
      <c r="L58">
        <v>58.280650000000001</v>
      </c>
      <c r="M58">
        <v>117.09857</v>
      </c>
      <c r="N58">
        <v>127.38818999999999</v>
      </c>
      <c r="O58">
        <v>105.49047</v>
      </c>
      <c r="P58">
        <v>86.562780000000004</v>
      </c>
      <c r="Q58">
        <v>90.249769999999998</v>
      </c>
      <c r="R58">
        <v>80.37003</v>
      </c>
      <c r="S58">
        <v>42.588709999999999</v>
      </c>
      <c r="T58">
        <v>52.29045</v>
      </c>
      <c r="U58">
        <v>64.001589999999993</v>
      </c>
      <c r="V58">
        <v>59.950429999999997</v>
      </c>
      <c r="W58">
        <v>70.944950000000006</v>
      </c>
      <c r="X58">
        <v>60.93806</v>
      </c>
      <c r="Y58">
        <v>77.9499</v>
      </c>
      <c r="AA58">
        <v>52.621450000000003</v>
      </c>
      <c r="AB58">
        <v>58.050849999999997</v>
      </c>
      <c r="AC58">
        <v>86.939430000000002</v>
      </c>
      <c r="AD58">
        <v>179.42420000000001</v>
      </c>
      <c r="AE58">
        <v>179.42420000000001</v>
      </c>
      <c r="AF58">
        <v>96.369420000000005</v>
      </c>
      <c r="AG58">
        <v>87.961169999999996</v>
      </c>
      <c r="AH58">
        <v>62.239359999999998</v>
      </c>
      <c r="AJ58">
        <v>111.16498</v>
      </c>
      <c r="AK58">
        <v>62.231850000000001</v>
      </c>
      <c r="AN58">
        <v>101.7726</v>
      </c>
      <c r="AO58">
        <v>50.120469999999997</v>
      </c>
      <c r="AP58">
        <v>80.948999999999998</v>
      </c>
      <c r="AQ58">
        <v>98.901420000000002</v>
      </c>
      <c r="AR58">
        <v>90.009910000000005</v>
      </c>
      <c r="AS58">
        <v>80.71893</v>
      </c>
      <c r="AT58">
        <v>80.71893</v>
      </c>
      <c r="AU58">
        <v>87.739379999999997</v>
      </c>
      <c r="AV58">
        <v>54.290550000000003</v>
      </c>
      <c r="AW58">
        <v>66.320419999999999</v>
      </c>
    </row>
    <row r="59" spans="1:49" x14ac:dyDescent="0.2">
      <c r="A59" s="2">
        <v>41790</v>
      </c>
      <c r="B59">
        <v>84.911029999999997</v>
      </c>
      <c r="C59">
        <v>90.010779999999997</v>
      </c>
      <c r="D59">
        <v>82.330219999999997</v>
      </c>
      <c r="F59">
        <v>51.164490000000001</v>
      </c>
      <c r="G59">
        <v>80.451220000000006</v>
      </c>
      <c r="H59">
        <v>105.91602</v>
      </c>
      <c r="J59">
        <v>65.949629999999999</v>
      </c>
      <c r="K59">
        <v>75.409689999999998</v>
      </c>
      <c r="L59">
        <v>57.570740000000001</v>
      </c>
      <c r="M59">
        <v>111.56618</v>
      </c>
      <c r="N59">
        <v>120.37811000000001</v>
      </c>
      <c r="O59">
        <v>101.13039000000001</v>
      </c>
      <c r="P59">
        <v>86.660849999999996</v>
      </c>
      <c r="Q59">
        <v>90.506640000000004</v>
      </c>
      <c r="R59">
        <v>80.490920000000003</v>
      </c>
      <c r="S59">
        <v>42.659889999999997</v>
      </c>
      <c r="T59">
        <v>52.031260000000003</v>
      </c>
      <c r="U59">
        <v>64.169589999999999</v>
      </c>
      <c r="V59">
        <v>60.981580000000001</v>
      </c>
      <c r="W59">
        <v>71.209770000000006</v>
      </c>
      <c r="X59">
        <v>60.997019999999999</v>
      </c>
      <c r="Y59">
        <v>77.210269999999994</v>
      </c>
      <c r="AA59">
        <v>52.549329999999998</v>
      </c>
      <c r="AB59">
        <v>57.867710000000002</v>
      </c>
      <c r="AC59">
        <v>84.588179999999994</v>
      </c>
      <c r="AD59">
        <v>176.56056000000001</v>
      </c>
      <c r="AE59">
        <v>176.56056000000001</v>
      </c>
      <c r="AF59">
        <v>93.239789999999999</v>
      </c>
      <c r="AG59">
        <v>87.689089999999993</v>
      </c>
      <c r="AH59">
        <v>60.941780000000001</v>
      </c>
      <c r="AJ59">
        <v>109.38704</v>
      </c>
      <c r="AK59">
        <v>61.341720000000002</v>
      </c>
      <c r="AN59">
        <v>99.578819999999993</v>
      </c>
      <c r="AO59">
        <v>49.973619999999997</v>
      </c>
      <c r="AP59">
        <v>79.868250000000003</v>
      </c>
      <c r="AQ59">
        <v>96.860290000000006</v>
      </c>
      <c r="AR59">
        <v>88.501679999999993</v>
      </c>
      <c r="AS59">
        <v>80.902500000000003</v>
      </c>
      <c r="AT59">
        <v>80.902500000000003</v>
      </c>
      <c r="AU59">
        <v>84.007850000000005</v>
      </c>
      <c r="AV59">
        <v>53.880989999999997</v>
      </c>
      <c r="AW59">
        <v>65.468149999999994</v>
      </c>
    </row>
    <row r="60" spans="1:49" x14ac:dyDescent="0.2">
      <c r="A60" s="2">
        <v>41759</v>
      </c>
      <c r="B60">
        <v>83.916390000000007</v>
      </c>
      <c r="C60">
        <v>88.478620000000006</v>
      </c>
      <c r="D60">
        <v>81.648709999999994</v>
      </c>
      <c r="F60">
        <v>50.851379999999999</v>
      </c>
      <c r="G60">
        <v>80.196299999999994</v>
      </c>
      <c r="H60">
        <v>101.73256000000001</v>
      </c>
      <c r="J60">
        <v>64.388210000000001</v>
      </c>
      <c r="K60">
        <v>72.800759999999997</v>
      </c>
      <c r="L60">
        <v>56.701889999999999</v>
      </c>
      <c r="M60">
        <v>110.2047</v>
      </c>
      <c r="N60">
        <v>119.57006</v>
      </c>
      <c r="O60">
        <v>99.500050000000002</v>
      </c>
      <c r="P60">
        <v>85.668109999999999</v>
      </c>
      <c r="Q60">
        <v>89.168890000000005</v>
      </c>
      <c r="R60">
        <v>80.188869999999994</v>
      </c>
      <c r="S60">
        <v>41.918550000000003</v>
      </c>
      <c r="T60">
        <v>51.050600000000003</v>
      </c>
      <c r="U60">
        <v>63.58746</v>
      </c>
      <c r="V60">
        <v>60.508139999999997</v>
      </c>
      <c r="W60">
        <v>69.530550000000005</v>
      </c>
      <c r="X60">
        <v>60.929810000000003</v>
      </c>
      <c r="Y60">
        <v>75.988730000000004</v>
      </c>
      <c r="AA60">
        <v>52.048720000000003</v>
      </c>
      <c r="AB60">
        <v>55.287959999999998</v>
      </c>
      <c r="AC60">
        <v>83.167869999999994</v>
      </c>
      <c r="AD60">
        <v>172.61241999999999</v>
      </c>
      <c r="AE60">
        <v>172.61241999999999</v>
      </c>
      <c r="AF60">
        <v>90.599969999999999</v>
      </c>
      <c r="AG60">
        <v>84.418300000000002</v>
      </c>
      <c r="AH60">
        <v>59.042700000000004</v>
      </c>
      <c r="AJ60">
        <v>107.96011</v>
      </c>
      <c r="AK60">
        <v>60.110550000000003</v>
      </c>
      <c r="AN60">
        <v>97.530779999999993</v>
      </c>
      <c r="AO60">
        <v>49.611229999999999</v>
      </c>
      <c r="AP60">
        <v>78.781120000000001</v>
      </c>
      <c r="AQ60">
        <v>93.519059999999996</v>
      </c>
      <c r="AR60">
        <v>86.460639999999998</v>
      </c>
      <c r="AS60">
        <v>78.547300000000007</v>
      </c>
      <c r="AT60">
        <v>78.547300000000007</v>
      </c>
      <c r="AU60">
        <v>82.760059999999996</v>
      </c>
      <c r="AV60">
        <v>52.858600000000003</v>
      </c>
      <c r="AW60">
        <v>64.452340000000007</v>
      </c>
    </row>
    <row r="61" spans="1:49" x14ac:dyDescent="0.2">
      <c r="A61" s="2">
        <v>41729</v>
      </c>
      <c r="B61">
        <v>83.325370000000007</v>
      </c>
      <c r="C61">
        <v>86.726550000000003</v>
      </c>
      <c r="D61">
        <v>81.188779999999994</v>
      </c>
      <c r="F61">
        <v>50.606650000000002</v>
      </c>
      <c r="G61">
        <v>80.090369999999993</v>
      </c>
      <c r="H61">
        <v>98.830489999999998</v>
      </c>
      <c r="J61">
        <v>63.879919999999998</v>
      </c>
      <c r="K61">
        <v>72.400940000000006</v>
      </c>
      <c r="L61">
        <v>56.178750000000001</v>
      </c>
      <c r="M61">
        <v>112.94928</v>
      </c>
      <c r="N61">
        <v>124.21896</v>
      </c>
      <c r="O61">
        <v>100.6404</v>
      </c>
      <c r="P61">
        <v>84.981650000000002</v>
      </c>
      <c r="Q61">
        <v>87.256529999999998</v>
      </c>
      <c r="R61">
        <v>79.979889999999997</v>
      </c>
      <c r="S61">
        <v>41.269739999999999</v>
      </c>
      <c r="T61">
        <v>50.311360000000001</v>
      </c>
      <c r="U61">
        <v>63.299950000000003</v>
      </c>
      <c r="V61">
        <v>58.951529999999998</v>
      </c>
      <c r="W61">
        <v>68.422380000000004</v>
      </c>
      <c r="X61">
        <v>60.858490000000003</v>
      </c>
      <c r="Y61">
        <v>75.228470000000002</v>
      </c>
      <c r="AA61">
        <v>51.724049999999998</v>
      </c>
      <c r="AB61">
        <v>54.068420000000003</v>
      </c>
      <c r="AC61">
        <v>82.829750000000004</v>
      </c>
      <c r="AD61">
        <v>171.35167000000001</v>
      </c>
      <c r="AE61">
        <v>171.35167000000001</v>
      </c>
      <c r="AF61">
        <v>92.611360000000005</v>
      </c>
      <c r="AG61">
        <v>85.108419999999995</v>
      </c>
      <c r="AH61">
        <v>59.0792</v>
      </c>
      <c r="AJ61">
        <v>106.84148</v>
      </c>
      <c r="AK61">
        <v>59.671329999999998</v>
      </c>
      <c r="AN61">
        <v>97.469110000000001</v>
      </c>
      <c r="AO61">
        <v>49.33231</v>
      </c>
      <c r="AP61">
        <v>78.109319999999997</v>
      </c>
      <c r="AQ61">
        <v>93.478549999999998</v>
      </c>
      <c r="AR61">
        <v>86.017129999999995</v>
      </c>
      <c r="AS61">
        <v>78.22963</v>
      </c>
      <c r="AT61">
        <v>78.22963</v>
      </c>
      <c r="AU61">
        <v>84.981570000000005</v>
      </c>
      <c r="AV61">
        <v>52.199300000000001</v>
      </c>
      <c r="AW61">
        <v>63.121290000000002</v>
      </c>
    </row>
    <row r="62" spans="1:49" x14ac:dyDescent="0.2">
      <c r="A62" s="2">
        <v>41698</v>
      </c>
      <c r="B62">
        <v>83.908420000000007</v>
      </c>
      <c r="C62">
        <v>86.2393</v>
      </c>
      <c r="D62">
        <v>81.500649999999993</v>
      </c>
      <c r="F62">
        <v>50.506039999999999</v>
      </c>
      <c r="G62">
        <v>80.398589999999999</v>
      </c>
      <c r="H62">
        <v>97.729830000000007</v>
      </c>
      <c r="J62">
        <v>63.568629999999999</v>
      </c>
      <c r="K62">
        <v>73.709389999999999</v>
      </c>
      <c r="L62">
        <v>54.940980000000003</v>
      </c>
      <c r="M62">
        <v>113.17440999999999</v>
      </c>
      <c r="N62">
        <v>127.13265</v>
      </c>
      <c r="O62">
        <v>99.359089999999995</v>
      </c>
      <c r="P62">
        <v>85.20093</v>
      </c>
      <c r="Q62">
        <v>86.858930000000001</v>
      </c>
      <c r="R62">
        <v>80.343649999999997</v>
      </c>
      <c r="S62">
        <v>41.859079999999999</v>
      </c>
      <c r="T62">
        <v>50.480800000000002</v>
      </c>
      <c r="U62">
        <v>63.819710000000001</v>
      </c>
      <c r="V62">
        <v>60.228479999999998</v>
      </c>
      <c r="W62">
        <v>68.114410000000007</v>
      </c>
      <c r="X62">
        <v>60.966099999999997</v>
      </c>
      <c r="Y62">
        <v>74.970280000000002</v>
      </c>
      <c r="AA62">
        <v>51.988280000000003</v>
      </c>
      <c r="AB62">
        <v>53.630510000000001</v>
      </c>
      <c r="AC62">
        <v>81.911190000000005</v>
      </c>
      <c r="AD62">
        <v>170.64520999999999</v>
      </c>
      <c r="AE62">
        <v>170.64520999999999</v>
      </c>
      <c r="AF62">
        <v>94.180599999999998</v>
      </c>
      <c r="AG62">
        <v>80.800690000000003</v>
      </c>
      <c r="AH62">
        <v>59.420949999999998</v>
      </c>
      <c r="AJ62">
        <v>107.46154</v>
      </c>
      <c r="AK62">
        <v>59.721580000000003</v>
      </c>
      <c r="AN62">
        <v>97.399780000000007</v>
      </c>
      <c r="AO62">
        <v>49.551009999999998</v>
      </c>
      <c r="AP62">
        <v>76.491739999999993</v>
      </c>
      <c r="AQ62">
        <v>95.271109999999993</v>
      </c>
      <c r="AR62">
        <v>85.790189999999996</v>
      </c>
      <c r="AS62">
        <v>77.816410000000005</v>
      </c>
      <c r="AT62">
        <v>77.816410000000005</v>
      </c>
      <c r="AU62">
        <v>85.61018</v>
      </c>
      <c r="AV62">
        <v>52.320630000000001</v>
      </c>
      <c r="AW62">
        <v>61.99156</v>
      </c>
    </row>
    <row r="63" spans="1:49" x14ac:dyDescent="0.2">
      <c r="A63" s="2">
        <v>41670</v>
      </c>
      <c r="B63">
        <v>83.501379999999997</v>
      </c>
      <c r="C63">
        <v>85.703670000000002</v>
      </c>
      <c r="D63">
        <v>81.295019999999994</v>
      </c>
      <c r="F63">
        <v>50.333289999999998</v>
      </c>
      <c r="G63">
        <v>80.347480000000004</v>
      </c>
      <c r="H63">
        <v>97.392700000000005</v>
      </c>
      <c r="J63">
        <v>60.869329999999998</v>
      </c>
      <c r="K63">
        <v>70.028570000000002</v>
      </c>
      <c r="L63">
        <v>52.979990000000001</v>
      </c>
      <c r="M63">
        <v>107.70641999999999</v>
      </c>
      <c r="N63">
        <v>120.8878</v>
      </c>
      <c r="O63">
        <v>94.659419999999997</v>
      </c>
      <c r="P63">
        <v>84.380390000000006</v>
      </c>
      <c r="Q63">
        <v>86.020889999999994</v>
      </c>
      <c r="R63">
        <v>80.150850000000005</v>
      </c>
      <c r="S63">
        <v>39.508380000000002</v>
      </c>
      <c r="T63">
        <v>47.792169999999999</v>
      </c>
      <c r="U63">
        <v>63.709650000000003</v>
      </c>
      <c r="V63">
        <v>56.10868</v>
      </c>
      <c r="W63">
        <v>67.972579999999994</v>
      </c>
      <c r="X63">
        <v>60.947429999999997</v>
      </c>
      <c r="Y63">
        <v>71.469220000000007</v>
      </c>
      <c r="AA63">
        <v>51.902929999999998</v>
      </c>
      <c r="AB63">
        <v>51.577959999999997</v>
      </c>
      <c r="AC63">
        <v>77.722679999999997</v>
      </c>
      <c r="AD63">
        <v>163.17948000000001</v>
      </c>
      <c r="AE63">
        <v>163.17948000000001</v>
      </c>
      <c r="AF63">
        <v>88.338539999999995</v>
      </c>
      <c r="AG63">
        <v>81.320329999999998</v>
      </c>
      <c r="AH63">
        <v>57.11918</v>
      </c>
      <c r="AJ63">
        <v>100.26496</v>
      </c>
      <c r="AK63">
        <v>56.761650000000003</v>
      </c>
      <c r="AN63">
        <v>92.879919999999998</v>
      </c>
      <c r="AO63">
        <v>49.40943</v>
      </c>
      <c r="AP63">
        <v>73.56814</v>
      </c>
      <c r="AQ63">
        <v>90.210300000000004</v>
      </c>
      <c r="AR63">
        <v>81.980490000000003</v>
      </c>
      <c r="AS63">
        <v>75.913669999999996</v>
      </c>
      <c r="AT63">
        <v>75.913669999999996</v>
      </c>
      <c r="AU63">
        <v>81.140420000000006</v>
      </c>
      <c r="AV63">
        <v>49.551690000000001</v>
      </c>
      <c r="AW63">
        <v>59.830489999999998</v>
      </c>
    </row>
    <row r="64" spans="1:49" x14ac:dyDescent="0.2">
      <c r="A64" s="2">
        <v>41639</v>
      </c>
      <c r="B64">
        <v>81.696809999999999</v>
      </c>
      <c r="C64">
        <v>81.651910000000001</v>
      </c>
      <c r="D64">
        <v>80.046419999999998</v>
      </c>
      <c r="F64">
        <v>49.613880000000002</v>
      </c>
      <c r="G64">
        <v>79.934290000000004</v>
      </c>
      <c r="H64">
        <v>88.77176</v>
      </c>
      <c r="J64">
        <v>63.161569999999998</v>
      </c>
      <c r="K64">
        <v>72.478880000000004</v>
      </c>
      <c r="L64">
        <v>55.008450000000003</v>
      </c>
      <c r="M64">
        <v>109.95414</v>
      </c>
      <c r="N64">
        <v>122.2837</v>
      </c>
      <c r="O64">
        <v>97.369919999999993</v>
      </c>
      <c r="P64">
        <v>82.699879999999993</v>
      </c>
      <c r="Q64">
        <v>82.992679999999993</v>
      </c>
      <c r="R64">
        <v>79.782079999999993</v>
      </c>
      <c r="S64">
        <v>41.67906</v>
      </c>
      <c r="T64">
        <v>50.729990000000001</v>
      </c>
      <c r="U64">
        <v>62.639519999999997</v>
      </c>
      <c r="V64">
        <v>58.799550000000004</v>
      </c>
      <c r="W64">
        <v>64.013649999999998</v>
      </c>
      <c r="X64">
        <v>60.877850000000002</v>
      </c>
      <c r="Y64">
        <v>75.242679999999993</v>
      </c>
      <c r="AA64">
        <v>51.028779999999998</v>
      </c>
      <c r="AB64">
        <v>54.480640000000001</v>
      </c>
      <c r="AC64">
        <v>79.779660000000007</v>
      </c>
      <c r="AD64">
        <v>169.1454</v>
      </c>
      <c r="AE64">
        <v>169.1454</v>
      </c>
      <c r="AF64">
        <v>90.250110000000006</v>
      </c>
      <c r="AG64">
        <v>83.660449999999997</v>
      </c>
      <c r="AH64">
        <v>61.301000000000002</v>
      </c>
      <c r="AJ64">
        <v>102.93774999999999</v>
      </c>
      <c r="AK64">
        <v>59.400730000000003</v>
      </c>
      <c r="AN64">
        <v>95.920069999999996</v>
      </c>
      <c r="AO64">
        <v>49.331249999999997</v>
      </c>
      <c r="AP64">
        <v>76.390180000000001</v>
      </c>
      <c r="AQ64">
        <v>93.050250000000005</v>
      </c>
      <c r="AR64">
        <v>84.798429999999996</v>
      </c>
      <c r="AS64">
        <v>76.562989999999999</v>
      </c>
      <c r="AT64">
        <v>76.562989999999999</v>
      </c>
      <c r="AU64">
        <v>82.69914</v>
      </c>
      <c r="AV64">
        <v>52.382159999999999</v>
      </c>
      <c r="AW64">
        <v>62.319420000000001</v>
      </c>
    </row>
    <row r="65" spans="1:49" x14ac:dyDescent="0.2">
      <c r="A65" s="2">
        <v>41608</v>
      </c>
      <c r="B65">
        <v>83.9298</v>
      </c>
      <c r="C65">
        <v>83.130420000000001</v>
      </c>
      <c r="D65">
        <v>81.152169999999998</v>
      </c>
      <c r="F65">
        <v>50.069299999999998</v>
      </c>
      <c r="G65">
        <v>80.700159999999997</v>
      </c>
      <c r="H65">
        <v>92.859189999999998</v>
      </c>
      <c r="J65">
        <v>61.909550000000003</v>
      </c>
      <c r="K65">
        <v>70.418790000000001</v>
      </c>
      <c r="L65">
        <v>54.28013</v>
      </c>
      <c r="M65">
        <v>108.62191</v>
      </c>
      <c r="N65">
        <v>120.07808</v>
      </c>
      <c r="O65">
        <v>96.530640000000005</v>
      </c>
      <c r="P65">
        <v>83.919529999999995</v>
      </c>
      <c r="Q65">
        <v>82.617540000000005</v>
      </c>
      <c r="R65">
        <v>80.188609999999997</v>
      </c>
      <c r="S65">
        <v>41.119320000000002</v>
      </c>
      <c r="T65">
        <v>50.3917</v>
      </c>
      <c r="U65">
        <v>63.819380000000002</v>
      </c>
      <c r="V65">
        <v>57.361829999999998</v>
      </c>
      <c r="W65">
        <v>65.479429999999994</v>
      </c>
      <c r="X65">
        <v>60.942970000000003</v>
      </c>
      <c r="Y65">
        <v>74.188649999999996</v>
      </c>
      <c r="AA65">
        <v>51.351700000000001</v>
      </c>
      <c r="AB65">
        <v>56.298369999999998</v>
      </c>
      <c r="AC65">
        <v>78.76934</v>
      </c>
      <c r="AD65">
        <v>165.67556999999999</v>
      </c>
      <c r="AE65">
        <v>165.67556999999999</v>
      </c>
      <c r="AF65">
        <v>88.011650000000003</v>
      </c>
      <c r="AG65">
        <v>85.050330000000002</v>
      </c>
      <c r="AH65">
        <v>61.730040000000002</v>
      </c>
      <c r="AJ65">
        <v>102.36622</v>
      </c>
      <c r="AK65">
        <v>58.497549999999997</v>
      </c>
      <c r="AN65">
        <v>93.858729999999994</v>
      </c>
      <c r="AO65">
        <v>49.549819999999997</v>
      </c>
      <c r="AP65">
        <v>75.311130000000006</v>
      </c>
      <c r="AQ65">
        <v>90.313299999999998</v>
      </c>
      <c r="AR65">
        <v>83.040809999999993</v>
      </c>
      <c r="AS65">
        <v>76.907520000000005</v>
      </c>
      <c r="AT65">
        <v>76.907520000000005</v>
      </c>
      <c r="AU65">
        <v>81.199799999999996</v>
      </c>
      <c r="AV65">
        <v>52.059820000000002</v>
      </c>
      <c r="AW65">
        <v>61.60904</v>
      </c>
    </row>
    <row r="66" spans="1:49" x14ac:dyDescent="0.2">
      <c r="A66" s="2">
        <v>41578</v>
      </c>
      <c r="B66">
        <v>84.81165</v>
      </c>
      <c r="C66">
        <v>85.27337</v>
      </c>
      <c r="D66">
        <v>81.758480000000006</v>
      </c>
      <c r="F66">
        <v>50.207000000000001</v>
      </c>
      <c r="G66">
        <v>80.686850000000007</v>
      </c>
      <c r="H66">
        <v>97.101759999999999</v>
      </c>
      <c r="J66">
        <v>60.130890000000001</v>
      </c>
      <c r="K66">
        <v>68.650400000000005</v>
      </c>
      <c r="L66">
        <v>52.568150000000003</v>
      </c>
      <c r="M66">
        <v>105.75924000000001</v>
      </c>
      <c r="N66">
        <v>117.31062</v>
      </c>
      <c r="O66">
        <v>93.779799999999994</v>
      </c>
      <c r="P66">
        <v>84.238429999999994</v>
      </c>
      <c r="Q66">
        <v>83.727789999999999</v>
      </c>
      <c r="R66">
        <v>80.089079999999996</v>
      </c>
      <c r="S66">
        <v>40.85022</v>
      </c>
      <c r="T66">
        <v>50.221530000000001</v>
      </c>
      <c r="U66">
        <v>64.018410000000003</v>
      </c>
      <c r="V66">
        <v>56.779719999999998</v>
      </c>
      <c r="W66">
        <v>67.280590000000004</v>
      </c>
      <c r="X66">
        <v>60.926349999999999</v>
      </c>
      <c r="Y66">
        <v>72.51061</v>
      </c>
      <c r="AA66">
        <v>51.719630000000002</v>
      </c>
      <c r="AB66">
        <v>57.850110000000001</v>
      </c>
      <c r="AC66">
        <v>76.552160000000001</v>
      </c>
      <c r="AD66">
        <v>160.8724</v>
      </c>
      <c r="AE66">
        <v>160.8724</v>
      </c>
      <c r="AF66">
        <v>87.030150000000006</v>
      </c>
      <c r="AG66">
        <v>86.511290000000002</v>
      </c>
      <c r="AH66">
        <v>61.708039999999997</v>
      </c>
      <c r="AJ66">
        <v>102.89951000000001</v>
      </c>
      <c r="AK66">
        <v>57.61177</v>
      </c>
      <c r="AN66">
        <v>91.389560000000003</v>
      </c>
      <c r="AO66">
        <v>49.541359999999997</v>
      </c>
      <c r="AP66">
        <v>72.989850000000004</v>
      </c>
      <c r="AQ66">
        <v>88.209649999999996</v>
      </c>
      <c r="AR66">
        <v>80.771690000000007</v>
      </c>
      <c r="AS66">
        <v>78.616709999999998</v>
      </c>
      <c r="AT66">
        <v>78.616709999999998</v>
      </c>
      <c r="AU66">
        <v>79.191029999999998</v>
      </c>
      <c r="AV66">
        <v>51.98836</v>
      </c>
      <c r="AW66">
        <v>60.218609999999998</v>
      </c>
    </row>
    <row r="67" spans="1:49" x14ac:dyDescent="0.2">
      <c r="A67" s="2">
        <v>41547</v>
      </c>
      <c r="B67">
        <v>84.129930000000002</v>
      </c>
      <c r="C67">
        <v>83.984350000000006</v>
      </c>
      <c r="D67">
        <v>81.412409999999994</v>
      </c>
      <c r="F67">
        <v>49.826140000000002</v>
      </c>
      <c r="G67">
        <v>80.593090000000004</v>
      </c>
      <c r="H67">
        <v>95.298079999999999</v>
      </c>
      <c r="J67">
        <v>57.430459999999997</v>
      </c>
      <c r="K67">
        <v>65.46902</v>
      </c>
      <c r="L67">
        <v>50.308160000000001</v>
      </c>
      <c r="M67">
        <v>102.49042</v>
      </c>
      <c r="N67">
        <v>114.4481</v>
      </c>
      <c r="O67">
        <v>90.238990000000001</v>
      </c>
      <c r="P67">
        <v>83.421859999999995</v>
      </c>
      <c r="Q67">
        <v>81.984319999999997</v>
      </c>
      <c r="R67">
        <v>79.60284</v>
      </c>
      <c r="S67">
        <v>39.579929999999997</v>
      </c>
      <c r="T67">
        <v>48.597279999999998</v>
      </c>
      <c r="U67">
        <v>63.710380000000001</v>
      </c>
      <c r="V67">
        <v>54.50038</v>
      </c>
      <c r="W67">
        <v>66.752740000000003</v>
      </c>
      <c r="X67">
        <v>60.896120000000003</v>
      </c>
      <c r="Y67">
        <v>69.609110000000001</v>
      </c>
      <c r="AA67">
        <v>51.451000000000001</v>
      </c>
      <c r="AB67">
        <v>56.720309999999998</v>
      </c>
      <c r="AC67">
        <v>73.228070000000002</v>
      </c>
      <c r="AD67">
        <v>76.984629999999996</v>
      </c>
      <c r="AE67">
        <v>76.984629999999996</v>
      </c>
      <c r="AF67">
        <v>85.209770000000006</v>
      </c>
      <c r="AG67">
        <v>80.770669999999996</v>
      </c>
      <c r="AH67">
        <v>60.738750000000003</v>
      </c>
      <c r="AJ67">
        <v>99.338840000000005</v>
      </c>
      <c r="AK67">
        <v>55.548000000000002</v>
      </c>
      <c r="AN67">
        <v>87.650769999999994</v>
      </c>
      <c r="AO67">
        <v>49.419800000000002</v>
      </c>
      <c r="AP67">
        <v>69.789910000000006</v>
      </c>
      <c r="AQ67">
        <v>84.610900000000001</v>
      </c>
      <c r="AR67">
        <v>77.340710000000001</v>
      </c>
      <c r="AS67">
        <v>77.682079999999999</v>
      </c>
      <c r="AT67">
        <v>77.682079999999999</v>
      </c>
      <c r="AU67">
        <v>77.1203</v>
      </c>
      <c r="AV67">
        <v>50.149160000000002</v>
      </c>
      <c r="AW67">
        <v>57.492289999999997</v>
      </c>
    </row>
    <row r="68" spans="1:49" x14ac:dyDescent="0.2">
      <c r="A68" s="2">
        <v>41517</v>
      </c>
      <c r="B68">
        <v>83.138800000000003</v>
      </c>
      <c r="C68">
        <v>83.816519999999997</v>
      </c>
      <c r="D68">
        <v>80.683589999999995</v>
      </c>
      <c r="F68">
        <v>49.562980000000003</v>
      </c>
      <c r="G68">
        <v>80.262500000000003</v>
      </c>
      <c r="H68">
        <v>96.290629999999993</v>
      </c>
      <c r="J68">
        <v>55.940649999999998</v>
      </c>
      <c r="K68">
        <v>62.671250000000001</v>
      </c>
      <c r="L68">
        <v>49.660539999999997</v>
      </c>
      <c r="M68">
        <v>96.830749999999995</v>
      </c>
      <c r="N68">
        <v>107.81465</v>
      </c>
      <c r="O68">
        <v>85.700839999999999</v>
      </c>
      <c r="P68">
        <v>82.680499999999995</v>
      </c>
      <c r="Q68">
        <v>82.199380000000005</v>
      </c>
      <c r="R68">
        <v>79.302090000000007</v>
      </c>
      <c r="S68">
        <v>36.851970000000001</v>
      </c>
      <c r="T68">
        <v>45.379939999999998</v>
      </c>
      <c r="U68">
        <v>63.046460000000003</v>
      </c>
      <c r="V68">
        <v>51.040880000000001</v>
      </c>
      <c r="W68">
        <v>66.862189999999998</v>
      </c>
      <c r="X68">
        <v>60.780250000000002</v>
      </c>
      <c r="Y68">
        <v>67.29177</v>
      </c>
      <c r="AA68">
        <v>50.854030000000002</v>
      </c>
      <c r="AB68">
        <v>52.49812</v>
      </c>
      <c r="AC68">
        <v>70.417910000000006</v>
      </c>
      <c r="AD68">
        <v>74.840199999999996</v>
      </c>
      <c r="AE68">
        <v>74.840199999999996</v>
      </c>
      <c r="AF68">
        <v>80.990179999999995</v>
      </c>
      <c r="AG68">
        <v>78.45111</v>
      </c>
      <c r="AH68">
        <v>56.030479999999997</v>
      </c>
      <c r="AJ68">
        <v>92.911140000000003</v>
      </c>
      <c r="AK68">
        <v>52.838329999999999</v>
      </c>
      <c r="AN68">
        <v>84.771050000000002</v>
      </c>
      <c r="AO68">
        <v>49.230600000000003</v>
      </c>
      <c r="AP68">
        <v>68.62903</v>
      </c>
      <c r="AQ68">
        <v>80.977339999999998</v>
      </c>
      <c r="AR68">
        <v>75.131290000000007</v>
      </c>
      <c r="AS68">
        <v>75.884240000000005</v>
      </c>
      <c r="AT68">
        <v>75.884240000000005</v>
      </c>
      <c r="AU68">
        <v>72.620130000000003</v>
      </c>
      <c r="AV68">
        <v>46.859780000000001</v>
      </c>
      <c r="AW68">
        <v>56.588920000000002</v>
      </c>
    </row>
    <row r="69" spans="1:49" x14ac:dyDescent="0.2">
      <c r="A69" s="2">
        <v>41486</v>
      </c>
      <c r="B69">
        <v>83.66919</v>
      </c>
      <c r="C69">
        <v>84.309309999999996</v>
      </c>
      <c r="D69">
        <v>81.017700000000005</v>
      </c>
      <c r="F69">
        <v>49.492339999999999</v>
      </c>
      <c r="G69">
        <v>80.323549999999997</v>
      </c>
      <c r="H69">
        <v>97.400120000000001</v>
      </c>
      <c r="J69">
        <v>57.687849999999997</v>
      </c>
      <c r="K69">
        <v>63.711120000000001</v>
      </c>
      <c r="L69">
        <v>51.61101</v>
      </c>
      <c r="M69">
        <v>100.06891</v>
      </c>
      <c r="N69">
        <v>109.94834</v>
      </c>
      <c r="O69">
        <v>89.429850000000002</v>
      </c>
      <c r="P69">
        <v>83.711039999999997</v>
      </c>
      <c r="Q69">
        <v>83.432850000000002</v>
      </c>
      <c r="R69">
        <v>79.546180000000007</v>
      </c>
      <c r="S69">
        <v>37.45138</v>
      </c>
      <c r="T69">
        <v>46.301819999999999</v>
      </c>
      <c r="U69">
        <v>63.556870000000004</v>
      </c>
      <c r="V69">
        <v>51.798270000000002</v>
      </c>
      <c r="W69">
        <v>67.366929999999996</v>
      </c>
      <c r="X69">
        <v>60.856619999999999</v>
      </c>
      <c r="Y69">
        <v>69.779259999999994</v>
      </c>
      <c r="AA69">
        <v>51.079659999999997</v>
      </c>
      <c r="AB69">
        <v>54.019469999999998</v>
      </c>
      <c r="AC69">
        <v>72.540220000000005</v>
      </c>
      <c r="AD69">
        <v>77.208950000000002</v>
      </c>
      <c r="AE69">
        <v>77.208950000000002</v>
      </c>
      <c r="AF69">
        <v>82.709890000000001</v>
      </c>
      <c r="AG69">
        <v>82.261989999999997</v>
      </c>
      <c r="AH69">
        <v>56.869320000000002</v>
      </c>
      <c r="AJ69">
        <v>93.848489999999998</v>
      </c>
      <c r="AK69">
        <v>54.168799999999997</v>
      </c>
      <c r="AN69">
        <v>87.421959999999999</v>
      </c>
      <c r="AO69">
        <v>49.459969999999998</v>
      </c>
      <c r="AP69">
        <v>71.251589999999993</v>
      </c>
      <c r="AQ69">
        <v>82.510679999999994</v>
      </c>
      <c r="AR69">
        <v>77.337450000000004</v>
      </c>
      <c r="AS69">
        <v>76.679950000000005</v>
      </c>
      <c r="AT69">
        <v>76.679950000000005</v>
      </c>
      <c r="AU69">
        <v>74.797389999999993</v>
      </c>
      <c r="AV69">
        <v>47.790619999999997</v>
      </c>
      <c r="AW69">
        <v>58.890169999999998</v>
      </c>
    </row>
    <row r="70" spans="1:49" x14ac:dyDescent="0.2">
      <c r="A70" s="2">
        <v>41455</v>
      </c>
      <c r="B70">
        <v>84.114429999999999</v>
      </c>
      <c r="C70">
        <v>86.151820000000001</v>
      </c>
      <c r="D70">
        <v>81.406189999999995</v>
      </c>
      <c r="F70">
        <v>49.766060000000003</v>
      </c>
      <c r="G70">
        <v>80.290049999999994</v>
      </c>
      <c r="H70">
        <v>101.05131</v>
      </c>
      <c r="J70">
        <v>54.651060000000001</v>
      </c>
      <c r="K70">
        <v>60.411560000000001</v>
      </c>
      <c r="L70">
        <v>49.030459999999998</v>
      </c>
      <c r="M70">
        <v>93.708619999999996</v>
      </c>
      <c r="N70">
        <v>102.95363999999999</v>
      </c>
      <c r="O70">
        <v>83.69941</v>
      </c>
      <c r="P70">
        <v>83.234579999999994</v>
      </c>
      <c r="Q70">
        <v>83.295810000000003</v>
      </c>
      <c r="R70">
        <v>79.218239999999994</v>
      </c>
      <c r="S70">
        <v>35.601230000000001</v>
      </c>
      <c r="T70">
        <v>44.221089999999997</v>
      </c>
      <c r="U70">
        <v>63.65569</v>
      </c>
      <c r="V70">
        <v>48.131540000000001</v>
      </c>
      <c r="W70">
        <v>68.946489999999997</v>
      </c>
      <c r="X70">
        <v>60.830649999999999</v>
      </c>
      <c r="Y70">
        <v>66.202020000000005</v>
      </c>
      <c r="AA70">
        <v>51.101010000000002</v>
      </c>
      <c r="AB70">
        <v>53.378639999999997</v>
      </c>
      <c r="AC70">
        <v>68.669460000000001</v>
      </c>
      <c r="AD70">
        <v>73.347099999999998</v>
      </c>
      <c r="AE70">
        <v>73.347099999999998</v>
      </c>
      <c r="AF70">
        <v>78.128529999999998</v>
      </c>
      <c r="AG70">
        <v>78.910160000000005</v>
      </c>
      <c r="AH70">
        <v>55.829479999999997</v>
      </c>
      <c r="AJ70">
        <v>89.227189999999993</v>
      </c>
      <c r="AK70">
        <v>51.510150000000003</v>
      </c>
      <c r="AN70">
        <v>82.669759999999997</v>
      </c>
      <c r="AO70">
        <v>49.1175</v>
      </c>
      <c r="AP70">
        <v>67.611199999999997</v>
      </c>
      <c r="AQ70">
        <v>78.151859999999999</v>
      </c>
      <c r="AR70">
        <v>73.410910000000001</v>
      </c>
      <c r="AS70">
        <v>77.535659999999993</v>
      </c>
      <c r="AT70">
        <v>77.535659999999993</v>
      </c>
      <c r="AU70">
        <v>69.829809999999995</v>
      </c>
      <c r="AV70">
        <v>45.681809999999999</v>
      </c>
      <c r="AW70">
        <v>56.370379999999997</v>
      </c>
    </row>
    <row r="71" spans="1:49" x14ac:dyDescent="0.2">
      <c r="A71" s="2">
        <v>41425</v>
      </c>
      <c r="B71">
        <v>86.054230000000004</v>
      </c>
      <c r="C71">
        <v>89.016189999999995</v>
      </c>
      <c r="D71">
        <v>82.396900000000002</v>
      </c>
      <c r="G71">
        <v>80.571849999999998</v>
      </c>
      <c r="H71">
        <v>106.81829</v>
      </c>
      <c r="J71">
        <v>55.901629999999997</v>
      </c>
      <c r="K71">
        <v>62.124229999999997</v>
      </c>
      <c r="L71">
        <v>49.74588</v>
      </c>
      <c r="M71">
        <v>94.711380000000005</v>
      </c>
      <c r="N71">
        <v>103.89901999999999</v>
      </c>
      <c r="O71">
        <v>84.777879999999996</v>
      </c>
      <c r="P71">
        <v>85.805940000000007</v>
      </c>
      <c r="Q71">
        <v>87.130330000000001</v>
      </c>
      <c r="R71">
        <v>79.94941</v>
      </c>
      <c r="S71">
        <v>37.185780000000001</v>
      </c>
      <c r="T71">
        <v>46.510579999999997</v>
      </c>
      <c r="U71">
        <v>64.621380000000002</v>
      </c>
      <c r="V71">
        <v>51.362259999999999</v>
      </c>
      <c r="W71">
        <v>71.402249999999995</v>
      </c>
      <c r="X71">
        <v>60.833089999999999</v>
      </c>
      <c r="Y71">
        <v>67.567790000000002</v>
      </c>
      <c r="AA71">
        <v>51.596760000000003</v>
      </c>
      <c r="AB71">
        <v>55.192210000000003</v>
      </c>
      <c r="AC71">
        <v>69.608069999999998</v>
      </c>
      <c r="AD71">
        <v>74.841390000000004</v>
      </c>
      <c r="AE71">
        <v>74.841390000000004</v>
      </c>
      <c r="AF71">
        <v>79.031379999999999</v>
      </c>
      <c r="AG71">
        <v>77.279179999999997</v>
      </c>
      <c r="AH71">
        <v>56.469990000000003</v>
      </c>
      <c r="AJ71">
        <v>94.36139</v>
      </c>
      <c r="AK71">
        <v>53.375549999999997</v>
      </c>
      <c r="AN71">
        <v>84.279060000000001</v>
      </c>
      <c r="AO71">
        <v>49.61007</v>
      </c>
      <c r="AP71">
        <v>68.706940000000003</v>
      </c>
      <c r="AQ71">
        <v>80.124480000000005</v>
      </c>
      <c r="AR71">
        <v>74.771969999999996</v>
      </c>
      <c r="AU71">
        <v>70.620059999999995</v>
      </c>
      <c r="AV71">
        <v>48.012009999999997</v>
      </c>
      <c r="AW71">
        <v>56.871110000000002</v>
      </c>
    </row>
    <row r="72" spans="1:49" x14ac:dyDescent="0.2">
      <c r="A72" s="2">
        <v>41394</v>
      </c>
      <c r="B72">
        <v>88.720290000000006</v>
      </c>
      <c r="C72">
        <v>94.750680000000003</v>
      </c>
      <c r="D72">
        <v>84.181780000000003</v>
      </c>
      <c r="G72">
        <v>81.082130000000006</v>
      </c>
      <c r="H72">
        <v>118.40991</v>
      </c>
      <c r="J72">
        <v>54.634659999999997</v>
      </c>
      <c r="K72">
        <v>61.109810000000003</v>
      </c>
      <c r="L72">
        <v>48.460369999999998</v>
      </c>
      <c r="M72">
        <v>91.420670000000001</v>
      </c>
      <c r="N72">
        <v>99.532349999999994</v>
      </c>
      <c r="O72">
        <v>82.219750000000005</v>
      </c>
      <c r="P72">
        <v>88.728549999999998</v>
      </c>
      <c r="Q72">
        <v>92.8416</v>
      </c>
      <c r="R72">
        <v>80.579480000000004</v>
      </c>
      <c r="S72">
        <v>38.33484</v>
      </c>
      <c r="T72">
        <v>48.09778</v>
      </c>
      <c r="U72">
        <v>65.835849999999994</v>
      </c>
      <c r="V72">
        <v>51.354909999999997</v>
      </c>
      <c r="W72">
        <v>76.213459999999998</v>
      </c>
      <c r="X72">
        <v>60.906440000000003</v>
      </c>
      <c r="Y72">
        <v>66.798929999999999</v>
      </c>
      <c r="AA72">
        <v>52.37894</v>
      </c>
      <c r="AB72">
        <v>61.320610000000002</v>
      </c>
      <c r="AC72">
        <v>68.331739999999996</v>
      </c>
      <c r="AD72">
        <v>73.131990000000002</v>
      </c>
      <c r="AE72">
        <v>73.131990000000002</v>
      </c>
      <c r="AF72">
        <v>77.580110000000005</v>
      </c>
      <c r="AG72">
        <v>80.271540000000002</v>
      </c>
      <c r="AH72">
        <v>61.183630000000001</v>
      </c>
      <c r="AJ72">
        <v>96.781090000000006</v>
      </c>
      <c r="AK72">
        <v>53.677340000000001</v>
      </c>
      <c r="AN72">
        <v>82.254300000000001</v>
      </c>
      <c r="AO72">
        <v>50.07938</v>
      </c>
      <c r="AP72">
        <v>66.976659999999995</v>
      </c>
      <c r="AQ72">
        <v>78.759969999999996</v>
      </c>
      <c r="AR72">
        <v>73.169300000000007</v>
      </c>
      <c r="AU72">
        <v>68.700419999999994</v>
      </c>
      <c r="AV72">
        <v>49.646749999999997</v>
      </c>
      <c r="AW72">
        <v>56.460830000000001</v>
      </c>
    </row>
    <row r="73" spans="1:49" x14ac:dyDescent="0.2">
      <c r="A73" s="2">
        <v>41364</v>
      </c>
      <c r="B73">
        <v>88.033159999999995</v>
      </c>
      <c r="C73">
        <v>91.644419999999997</v>
      </c>
      <c r="D73">
        <v>83.638170000000002</v>
      </c>
      <c r="G73">
        <v>80.997399999999999</v>
      </c>
      <c r="H73">
        <v>110.32417</v>
      </c>
      <c r="J73">
        <v>53.540610000000001</v>
      </c>
      <c r="K73">
        <v>60.049970000000002</v>
      </c>
      <c r="L73">
        <v>47.410269999999997</v>
      </c>
      <c r="M73">
        <v>91.150279999999995</v>
      </c>
      <c r="N73">
        <v>99.91789</v>
      </c>
      <c r="O73">
        <v>82.150999999999996</v>
      </c>
      <c r="P73">
        <v>87.370590000000007</v>
      </c>
      <c r="Q73">
        <v>89.183090000000007</v>
      </c>
      <c r="R73">
        <v>80.337000000000003</v>
      </c>
      <c r="S73">
        <v>36.43092</v>
      </c>
      <c r="T73">
        <v>46.361179999999997</v>
      </c>
      <c r="U73">
        <v>65.399590000000003</v>
      </c>
      <c r="V73">
        <v>49.128480000000003</v>
      </c>
      <c r="W73">
        <v>73.514619999999994</v>
      </c>
      <c r="X73">
        <v>60.87715</v>
      </c>
      <c r="Y73">
        <v>65.701210000000003</v>
      </c>
      <c r="AA73">
        <v>52.143590000000003</v>
      </c>
      <c r="AB73">
        <v>57.382100000000001</v>
      </c>
      <c r="AC73">
        <v>67.189830000000001</v>
      </c>
      <c r="AD73">
        <v>71.648250000000004</v>
      </c>
      <c r="AE73">
        <v>71.648250000000004</v>
      </c>
      <c r="AF73">
        <v>77.031689999999998</v>
      </c>
      <c r="AG73">
        <v>74.150800000000004</v>
      </c>
      <c r="AH73">
        <v>58.027940000000001</v>
      </c>
      <c r="AJ73">
        <v>94.448689999999999</v>
      </c>
      <c r="AK73">
        <v>52.280119999999997</v>
      </c>
      <c r="AN73">
        <v>80.9602</v>
      </c>
      <c r="AO73">
        <v>50.341520000000003</v>
      </c>
      <c r="AP73">
        <v>65.531080000000003</v>
      </c>
      <c r="AQ73">
        <v>77.509979999999999</v>
      </c>
      <c r="AR73">
        <v>71.740960000000001</v>
      </c>
      <c r="AU73">
        <v>68.252579999999995</v>
      </c>
      <c r="AV73">
        <v>47.967889999999997</v>
      </c>
      <c r="AW73">
        <v>54.808880000000002</v>
      </c>
    </row>
    <row r="74" spans="1:49" x14ac:dyDescent="0.2">
      <c r="A74" s="2">
        <v>41333</v>
      </c>
      <c r="B74">
        <v>87.924350000000004</v>
      </c>
      <c r="C74">
        <v>92.463970000000003</v>
      </c>
      <c r="D74">
        <v>83.719499999999996</v>
      </c>
      <c r="G74">
        <v>81.068669999999997</v>
      </c>
      <c r="H74">
        <v>111.88909</v>
      </c>
      <c r="J74">
        <v>51.819380000000002</v>
      </c>
      <c r="K74">
        <v>58.108649999999997</v>
      </c>
      <c r="L74">
        <v>45.890610000000002</v>
      </c>
      <c r="M74">
        <v>87.117360000000005</v>
      </c>
      <c r="N74">
        <v>95.299769999999995</v>
      </c>
      <c r="O74">
        <v>78.591009999999997</v>
      </c>
      <c r="P74">
        <v>87.27055</v>
      </c>
      <c r="Q74">
        <v>90.513319999999993</v>
      </c>
      <c r="R74">
        <v>80.309950000000001</v>
      </c>
      <c r="S74">
        <v>36.157510000000002</v>
      </c>
      <c r="T74">
        <v>46.201900000000002</v>
      </c>
      <c r="U74">
        <v>65.352869999999996</v>
      </c>
      <c r="V74">
        <v>49.19697</v>
      </c>
      <c r="W74">
        <v>73.75685</v>
      </c>
      <c r="X74">
        <v>60.876460000000002</v>
      </c>
      <c r="Y74">
        <v>63.834350000000001</v>
      </c>
      <c r="AA74">
        <v>52.167850000000001</v>
      </c>
      <c r="AB74">
        <v>55.872439999999997</v>
      </c>
      <c r="AC74">
        <v>64.00855</v>
      </c>
      <c r="AD74">
        <v>69.465450000000004</v>
      </c>
      <c r="AE74">
        <v>69.465450000000004</v>
      </c>
      <c r="AF74">
        <v>74.012839999999997</v>
      </c>
      <c r="AG74">
        <v>71.670929999999998</v>
      </c>
      <c r="AH74">
        <v>56.156100000000002</v>
      </c>
      <c r="AJ74">
        <v>93.421109999999999</v>
      </c>
      <c r="AK74">
        <v>51.241909999999997</v>
      </c>
      <c r="AN74">
        <v>78.243560000000002</v>
      </c>
      <c r="AO74">
        <v>50.211509999999997</v>
      </c>
      <c r="AP74">
        <v>63.36</v>
      </c>
      <c r="AQ74">
        <v>74.929760000000002</v>
      </c>
      <c r="AR74">
        <v>69.543940000000006</v>
      </c>
      <c r="AU74">
        <v>65.143060000000006</v>
      </c>
      <c r="AV74">
        <v>47.650179999999999</v>
      </c>
      <c r="AW74">
        <v>53.258839999999999</v>
      </c>
    </row>
    <row r="75" spans="1:49" x14ac:dyDescent="0.2">
      <c r="A75" s="2">
        <v>41305</v>
      </c>
      <c r="B75">
        <v>87.264709999999994</v>
      </c>
      <c r="C75">
        <v>91.147189999999995</v>
      </c>
      <c r="D75">
        <v>83.445430000000002</v>
      </c>
      <c r="G75">
        <v>80.982230000000001</v>
      </c>
      <c r="H75">
        <v>110.15687</v>
      </c>
      <c r="J75">
        <v>51.258560000000003</v>
      </c>
      <c r="K75">
        <v>57.637920000000001</v>
      </c>
      <c r="L75">
        <v>45.356029999999997</v>
      </c>
      <c r="M75">
        <v>86.041049999999998</v>
      </c>
      <c r="N75">
        <v>94.45993</v>
      </c>
      <c r="O75">
        <v>77.339789999999994</v>
      </c>
      <c r="P75">
        <v>86.840620000000001</v>
      </c>
      <c r="Q75">
        <v>89.300299999999993</v>
      </c>
      <c r="R75">
        <v>80.170410000000004</v>
      </c>
      <c r="S75">
        <v>36.583550000000002</v>
      </c>
      <c r="T75">
        <v>46.858809999999998</v>
      </c>
      <c r="U75">
        <v>64.989739999999998</v>
      </c>
      <c r="V75">
        <v>50.932749999999999</v>
      </c>
      <c r="W75">
        <v>73.018090000000001</v>
      </c>
      <c r="X75">
        <v>60.856670000000001</v>
      </c>
      <c r="Y75">
        <v>63.099649999999997</v>
      </c>
      <c r="AA75">
        <v>51.991010000000003</v>
      </c>
      <c r="AB75">
        <v>55.923020000000001</v>
      </c>
      <c r="AC75">
        <v>63.079859999999996</v>
      </c>
      <c r="AD75">
        <v>68.558520000000001</v>
      </c>
      <c r="AE75">
        <v>68.558520000000001</v>
      </c>
      <c r="AF75">
        <v>73.121380000000002</v>
      </c>
      <c r="AG75">
        <v>72.228359999999995</v>
      </c>
      <c r="AH75">
        <v>55.047409999999999</v>
      </c>
      <c r="AJ75">
        <v>93.63937</v>
      </c>
      <c r="AK75">
        <v>51.40484</v>
      </c>
      <c r="AN75">
        <v>77.252489999999995</v>
      </c>
      <c r="AO75">
        <v>50.190370000000001</v>
      </c>
      <c r="AP75">
        <v>62.539360000000002</v>
      </c>
      <c r="AQ75">
        <v>74.311030000000002</v>
      </c>
      <c r="AR75">
        <v>68.608490000000003</v>
      </c>
      <c r="AU75">
        <v>64.610240000000005</v>
      </c>
      <c r="AV75">
        <v>48.201300000000003</v>
      </c>
      <c r="AW75">
        <v>52.165129999999998</v>
      </c>
    </row>
    <row r="76" spans="1:49" x14ac:dyDescent="0.2">
      <c r="A76" s="2">
        <v>41274</v>
      </c>
      <c r="B76">
        <v>88.257419999999996</v>
      </c>
      <c r="C76">
        <v>93.876009999999994</v>
      </c>
      <c r="D76">
        <v>84.018839999999997</v>
      </c>
      <c r="G76">
        <v>80.995379999999997</v>
      </c>
      <c r="H76">
        <v>116.00677</v>
      </c>
      <c r="J76">
        <v>48.790480000000002</v>
      </c>
      <c r="K76">
        <v>55.463209999999997</v>
      </c>
      <c r="L76">
        <v>42.672580000000004</v>
      </c>
      <c r="M76">
        <v>80.901499999999999</v>
      </c>
      <c r="N76">
        <v>89.027869999999993</v>
      </c>
      <c r="O76">
        <v>72.650549999999996</v>
      </c>
      <c r="P76">
        <v>87.659090000000006</v>
      </c>
      <c r="Q76">
        <v>91.712370000000007</v>
      </c>
      <c r="R76">
        <v>80.316919999999996</v>
      </c>
      <c r="S76">
        <v>35.22842</v>
      </c>
      <c r="T76">
        <v>45.747570000000003</v>
      </c>
      <c r="U76">
        <v>65.408990000000003</v>
      </c>
      <c r="V76">
        <v>48.850790000000003</v>
      </c>
      <c r="W76">
        <v>75.292699999999996</v>
      </c>
      <c r="X76">
        <v>60.885429999999999</v>
      </c>
      <c r="Y76">
        <v>59.57197</v>
      </c>
      <c r="AA76">
        <v>52.198399999999999</v>
      </c>
      <c r="AB76">
        <v>55.031640000000003</v>
      </c>
      <c r="AC76">
        <v>58.808100000000003</v>
      </c>
      <c r="AD76">
        <v>65.168859999999995</v>
      </c>
      <c r="AE76">
        <v>65.168859999999995</v>
      </c>
      <c r="AF76">
        <v>68.579080000000005</v>
      </c>
      <c r="AG76">
        <v>70.008369999999999</v>
      </c>
      <c r="AH76">
        <v>53.399039999999999</v>
      </c>
      <c r="AJ76">
        <v>90.88579</v>
      </c>
      <c r="AK76">
        <v>49.416179999999997</v>
      </c>
      <c r="AN76">
        <v>73.284840000000003</v>
      </c>
      <c r="AO76">
        <v>50.119549999999997</v>
      </c>
      <c r="AP76">
        <v>58.803220000000003</v>
      </c>
      <c r="AQ76">
        <v>71.176230000000004</v>
      </c>
      <c r="AR76">
        <v>65.166089999999997</v>
      </c>
      <c r="AU76">
        <v>60.501010000000001</v>
      </c>
      <c r="AV76">
        <v>47.067970000000003</v>
      </c>
      <c r="AW76">
        <v>49.381799999999998</v>
      </c>
    </row>
    <row r="77" spans="1:49" x14ac:dyDescent="0.2">
      <c r="A77" s="2">
        <v>41243</v>
      </c>
      <c r="B77">
        <v>90.63355</v>
      </c>
      <c r="C77">
        <v>96.884389999999996</v>
      </c>
      <c r="D77">
        <v>84.931169999999995</v>
      </c>
      <c r="G77">
        <v>81.446439999999996</v>
      </c>
      <c r="H77">
        <v>126.73308</v>
      </c>
      <c r="J77">
        <v>48.825670000000002</v>
      </c>
      <c r="K77">
        <v>56.116160000000001</v>
      </c>
      <c r="L77">
        <v>42.245849999999997</v>
      </c>
      <c r="M77">
        <v>79.974519999999998</v>
      </c>
      <c r="N77">
        <v>87.630709999999993</v>
      </c>
      <c r="O77">
        <v>72.117800000000003</v>
      </c>
      <c r="P77">
        <v>88.458979999999997</v>
      </c>
      <c r="Q77">
        <v>92.818579999999997</v>
      </c>
      <c r="R77">
        <v>80.427890000000005</v>
      </c>
      <c r="S77">
        <v>34.133249999999997</v>
      </c>
      <c r="T77">
        <v>44.069330000000001</v>
      </c>
      <c r="U77">
        <v>66.535790000000006</v>
      </c>
      <c r="V77">
        <v>47.19755</v>
      </c>
      <c r="W77">
        <v>77.311809999999994</v>
      </c>
      <c r="X77">
        <v>60.976399999999998</v>
      </c>
      <c r="Y77">
        <v>59.775860000000002</v>
      </c>
      <c r="AA77">
        <v>52.547429999999999</v>
      </c>
      <c r="AB77">
        <v>54.281869999999998</v>
      </c>
      <c r="AC77">
        <v>58.554690000000001</v>
      </c>
      <c r="AD77">
        <v>64.996179999999995</v>
      </c>
      <c r="AE77">
        <v>64.996179999999995</v>
      </c>
      <c r="AF77">
        <v>67.463239999999999</v>
      </c>
      <c r="AG77">
        <v>71.228880000000004</v>
      </c>
      <c r="AH77">
        <v>51.818710000000003</v>
      </c>
      <c r="AJ77">
        <v>88.460189999999997</v>
      </c>
      <c r="AK77">
        <v>48.474420000000002</v>
      </c>
      <c r="AN77">
        <v>72.882329999999996</v>
      </c>
      <c r="AO77">
        <v>50.140689999999999</v>
      </c>
      <c r="AP77">
        <v>58.054949999999998</v>
      </c>
      <c r="AQ77">
        <v>71.550280000000001</v>
      </c>
      <c r="AR77">
        <v>64.941779999999994</v>
      </c>
      <c r="AU77">
        <v>59.711709999999997</v>
      </c>
      <c r="AV77">
        <v>45.489910000000002</v>
      </c>
      <c r="AW77">
        <v>49.729410000000001</v>
      </c>
    </row>
    <row r="78" spans="1:49" x14ac:dyDescent="0.2">
      <c r="A78" s="2">
        <v>41213</v>
      </c>
      <c r="B78">
        <v>90.291489999999996</v>
      </c>
      <c r="C78">
        <v>96.815759999999997</v>
      </c>
      <c r="D78">
        <v>84.884559999999993</v>
      </c>
      <c r="G78">
        <v>81.367890000000003</v>
      </c>
      <c r="H78">
        <v>124.50775</v>
      </c>
      <c r="J78">
        <v>48.58954</v>
      </c>
      <c r="K78">
        <v>55.001150000000003</v>
      </c>
      <c r="L78">
        <v>42.610439999999997</v>
      </c>
      <c r="M78">
        <v>78.986599999999996</v>
      </c>
      <c r="N78">
        <v>86.149280000000005</v>
      </c>
      <c r="O78">
        <v>71.398600000000002</v>
      </c>
      <c r="P78">
        <v>88.786720000000003</v>
      </c>
      <c r="Q78">
        <v>94.169370000000001</v>
      </c>
      <c r="R78">
        <v>80.6982</v>
      </c>
      <c r="S78">
        <v>33.228230000000003</v>
      </c>
      <c r="T78">
        <v>43.291350000000001</v>
      </c>
      <c r="U78">
        <v>66.254639999999995</v>
      </c>
      <c r="V78">
        <v>46.056789999999999</v>
      </c>
      <c r="W78">
        <v>76.759150000000005</v>
      </c>
      <c r="X78">
        <v>60.947150000000001</v>
      </c>
      <c r="Y78">
        <v>58.930669999999999</v>
      </c>
      <c r="AA78">
        <v>52.700800000000001</v>
      </c>
      <c r="AB78">
        <v>52.891060000000003</v>
      </c>
      <c r="AC78">
        <v>57.852290000000004</v>
      </c>
      <c r="AD78">
        <v>64.637780000000006</v>
      </c>
      <c r="AE78">
        <v>64.637780000000006</v>
      </c>
      <c r="AF78">
        <v>66.099029999999999</v>
      </c>
      <c r="AG78">
        <v>71.791160000000005</v>
      </c>
      <c r="AH78">
        <v>50.518790000000003</v>
      </c>
      <c r="AJ78">
        <v>87.298119999999997</v>
      </c>
      <c r="AK78">
        <v>47.738349999999997</v>
      </c>
      <c r="AN78">
        <v>72.319710000000001</v>
      </c>
      <c r="AO78">
        <v>49.911320000000003</v>
      </c>
      <c r="AP78">
        <v>58.48995</v>
      </c>
      <c r="AQ78">
        <v>70.129930000000002</v>
      </c>
      <c r="AR78">
        <v>64.527590000000004</v>
      </c>
      <c r="AU78">
        <v>58.729370000000003</v>
      </c>
      <c r="AV78">
        <v>44.57058</v>
      </c>
      <c r="AW78">
        <v>49.898980000000002</v>
      </c>
    </row>
    <row r="79" spans="1:49" x14ac:dyDescent="0.2">
      <c r="A79" s="2">
        <v>41182</v>
      </c>
      <c r="B79">
        <v>90.272400000000005</v>
      </c>
      <c r="C79">
        <v>96.660889999999995</v>
      </c>
      <c r="D79">
        <v>85.141720000000007</v>
      </c>
      <c r="G79">
        <v>81.45729</v>
      </c>
      <c r="H79">
        <v>125.00848000000001</v>
      </c>
      <c r="J79">
        <v>49.548839999999998</v>
      </c>
      <c r="K79">
        <v>56.854810000000001</v>
      </c>
      <c r="L79">
        <v>42.942210000000003</v>
      </c>
      <c r="M79">
        <v>80.136200000000002</v>
      </c>
      <c r="N79">
        <v>88.241219999999998</v>
      </c>
      <c r="O79">
        <v>71.898110000000003</v>
      </c>
      <c r="P79">
        <v>87.668750000000003</v>
      </c>
      <c r="Q79">
        <v>92.951130000000006</v>
      </c>
      <c r="R79">
        <v>80.33202</v>
      </c>
      <c r="S79">
        <v>32.88644</v>
      </c>
      <c r="T79">
        <v>42.958100000000002</v>
      </c>
      <c r="U79">
        <v>66.502529999999993</v>
      </c>
      <c r="V79">
        <v>45.257269999999998</v>
      </c>
      <c r="W79">
        <v>77.076350000000005</v>
      </c>
      <c r="X79">
        <v>60.9863</v>
      </c>
      <c r="Y79">
        <v>59.682459999999999</v>
      </c>
      <c r="AA79">
        <v>52.870890000000003</v>
      </c>
      <c r="AB79">
        <v>51.430720000000001</v>
      </c>
      <c r="AC79">
        <v>57.924840000000003</v>
      </c>
      <c r="AD79">
        <v>65.940550000000002</v>
      </c>
      <c r="AE79">
        <v>65.940550000000002</v>
      </c>
      <c r="AF79">
        <v>67.751499999999993</v>
      </c>
      <c r="AG79">
        <v>75.051910000000007</v>
      </c>
      <c r="AH79">
        <v>50.35454</v>
      </c>
      <c r="AJ79">
        <v>87.450310000000002</v>
      </c>
      <c r="AK79">
        <v>48.030700000000003</v>
      </c>
      <c r="AN79">
        <v>73.653530000000003</v>
      </c>
      <c r="AP79">
        <v>58.722189999999998</v>
      </c>
      <c r="AQ79">
        <v>72.404880000000006</v>
      </c>
      <c r="AR79">
        <v>65.685950000000005</v>
      </c>
      <c r="AU79">
        <v>59.562539999999998</v>
      </c>
      <c r="AV79">
        <v>44.211930000000002</v>
      </c>
      <c r="AW79">
        <v>50.405259999999998</v>
      </c>
    </row>
    <row r="80" spans="1:49" x14ac:dyDescent="0.2">
      <c r="A80" s="2">
        <v>41152</v>
      </c>
      <c r="B80">
        <v>90.045990000000003</v>
      </c>
      <c r="C80">
        <v>97.724329999999995</v>
      </c>
      <c r="D80">
        <v>85.182329999999993</v>
      </c>
      <c r="G80">
        <v>81.505510000000001</v>
      </c>
      <c r="H80">
        <v>131.24234999999999</v>
      </c>
      <c r="J80">
        <v>48.623480000000001</v>
      </c>
      <c r="K80">
        <v>55.930590000000002</v>
      </c>
      <c r="L80">
        <v>41.823639999999997</v>
      </c>
      <c r="M80">
        <v>77.96078</v>
      </c>
      <c r="N80">
        <v>85.968909999999994</v>
      </c>
      <c r="O80">
        <v>69.940539999999999</v>
      </c>
      <c r="P80">
        <v>87.25188</v>
      </c>
      <c r="Q80">
        <v>93.291300000000007</v>
      </c>
      <c r="R80">
        <v>80.091610000000003</v>
      </c>
      <c r="S80">
        <v>32.694339999999997</v>
      </c>
      <c r="T80">
        <v>42.264629999999997</v>
      </c>
      <c r="U80">
        <v>66.602770000000007</v>
      </c>
      <c r="V80">
        <v>44.977350000000001</v>
      </c>
      <c r="W80">
        <v>78.747510000000005</v>
      </c>
      <c r="X80">
        <v>61.026710000000001</v>
      </c>
      <c r="Y80">
        <v>58.90692</v>
      </c>
      <c r="AA80">
        <v>52.807720000000003</v>
      </c>
      <c r="AB80">
        <v>50.750419999999998</v>
      </c>
      <c r="AC80">
        <v>56.777970000000003</v>
      </c>
      <c r="AD80">
        <v>64.592439999999996</v>
      </c>
      <c r="AE80">
        <v>64.592439999999996</v>
      </c>
      <c r="AF80">
        <v>66.290149999999997</v>
      </c>
      <c r="AG80">
        <v>70.829329999999999</v>
      </c>
      <c r="AH80">
        <v>50.224559999999997</v>
      </c>
      <c r="AJ80">
        <v>83.910550000000001</v>
      </c>
      <c r="AK80">
        <v>47.137999999999998</v>
      </c>
      <c r="AN80">
        <v>72.209959999999995</v>
      </c>
      <c r="AP80">
        <v>57.443480000000001</v>
      </c>
      <c r="AQ80">
        <v>71.179010000000005</v>
      </c>
      <c r="AR80">
        <v>64.376570000000001</v>
      </c>
      <c r="AU80">
        <v>58.098419999999997</v>
      </c>
      <c r="AV80">
        <v>43.473100000000002</v>
      </c>
      <c r="AW80">
        <v>49.528649999999999</v>
      </c>
    </row>
    <row r="81" spans="1:49" x14ac:dyDescent="0.2">
      <c r="A81" s="2">
        <v>41121</v>
      </c>
      <c r="B81">
        <v>90.182540000000003</v>
      </c>
      <c r="C81">
        <v>98.729280000000003</v>
      </c>
      <c r="D81">
        <v>85.233140000000006</v>
      </c>
      <c r="G81">
        <v>81.427080000000004</v>
      </c>
      <c r="H81">
        <v>134.68734000000001</v>
      </c>
      <c r="J81">
        <v>47.463329999999999</v>
      </c>
      <c r="K81">
        <v>54.174729999999997</v>
      </c>
      <c r="L81">
        <v>41.340780000000002</v>
      </c>
      <c r="M81">
        <v>75.280240000000006</v>
      </c>
      <c r="N81">
        <v>82.651700000000005</v>
      </c>
      <c r="O81">
        <v>67.910129999999995</v>
      </c>
      <c r="P81">
        <v>86.980019999999996</v>
      </c>
      <c r="Q81">
        <v>93.775930000000002</v>
      </c>
      <c r="R81">
        <v>79.720759999999999</v>
      </c>
      <c r="S81">
        <v>31.651769999999999</v>
      </c>
      <c r="T81">
        <v>41.175879999999999</v>
      </c>
      <c r="U81">
        <v>66.631330000000005</v>
      </c>
      <c r="V81">
        <v>42.973590000000002</v>
      </c>
      <c r="W81">
        <v>79.608429999999998</v>
      </c>
      <c r="X81">
        <v>60.976900000000001</v>
      </c>
      <c r="Y81">
        <v>57.797240000000002</v>
      </c>
      <c r="AA81">
        <v>52.608139999999999</v>
      </c>
      <c r="AB81">
        <v>49.199930000000002</v>
      </c>
      <c r="AC81">
        <v>55.391599999999997</v>
      </c>
      <c r="AD81">
        <v>63.037100000000002</v>
      </c>
      <c r="AE81">
        <v>63.037100000000002</v>
      </c>
      <c r="AF81">
        <v>63.901710000000001</v>
      </c>
      <c r="AG81">
        <v>70.85848</v>
      </c>
      <c r="AH81">
        <v>49.667349999999999</v>
      </c>
      <c r="AJ81">
        <v>81.377359999999996</v>
      </c>
      <c r="AK81">
        <v>46.002549999999999</v>
      </c>
      <c r="AN81">
        <v>70.311070000000001</v>
      </c>
      <c r="AP81">
        <v>56.597450000000002</v>
      </c>
      <c r="AQ81">
        <v>68.842789999999994</v>
      </c>
      <c r="AR81">
        <v>62.798540000000003</v>
      </c>
      <c r="AU81">
        <v>56.008870000000002</v>
      </c>
      <c r="AV81">
        <v>42.3718</v>
      </c>
      <c r="AW81">
        <v>49.147750000000002</v>
      </c>
    </row>
    <row r="82" spans="1:49" x14ac:dyDescent="0.2">
      <c r="A82" s="2">
        <v>41090</v>
      </c>
      <c r="B82">
        <v>88.810829999999996</v>
      </c>
      <c r="C82">
        <v>94.952269999999999</v>
      </c>
      <c r="D82">
        <v>84.389939999999996</v>
      </c>
      <c r="G82">
        <v>81.133309999999994</v>
      </c>
      <c r="H82">
        <v>127.28126</v>
      </c>
      <c r="J82">
        <v>46.791899999999998</v>
      </c>
      <c r="K82">
        <v>53.24183</v>
      </c>
      <c r="L82">
        <v>40.756390000000003</v>
      </c>
      <c r="M82">
        <v>76.039580000000001</v>
      </c>
      <c r="N82">
        <v>83.770240000000001</v>
      </c>
      <c r="O82">
        <v>68.201509999999999</v>
      </c>
      <c r="P82">
        <v>85.212770000000006</v>
      </c>
      <c r="Q82">
        <v>89.269810000000007</v>
      </c>
      <c r="R82">
        <v>79.151700000000005</v>
      </c>
      <c r="S82">
        <v>31.570720000000001</v>
      </c>
      <c r="T82">
        <v>40.981810000000003</v>
      </c>
      <c r="U82">
        <v>66.181420000000003</v>
      </c>
      <c r="V82">
        <v>42.833710000000004</v>
      </c>
      <c r="W82">
        <v>77.360799999999998</v>
      </c>
      <c r="X82">
        <v>60.907919999999997</v>
      </c>
      <c r="Y82">
        <v>56.694429999999997</v>
      </c>
      <c r="AA82">
        <v>52.337510000000002</v>
      </c>
      <c r="AB82">
        <v>47.799500000000002</v>
      </c>
      <c r="AC82">
        <v>54.960949999999997</v>
      </c>
      <c r="AD82">
        <v>62.276580000000003</v>
      </c>
      <c r="AE82">
        <v>62.276580000000003</v>
      </c>
      <c r="AF82">
        <v>64.369470000000007</v>
      </c>
      <c r="AG82">
        <v>67.810249999999996</v>
      </c>
      <c r="AH82">
        <v>50.122160000000001</v>
      </c>
      <c r="AJ82">
        <v>81.377359999999996</v>
      </c>
      <c r="AK82">
        <v>45.671619999999997</v>
      </c>
      <c r="AN82">
        <v>69.69699</v>
      </c>
      <c r="AP82">
        <v>55.942459999999997</v>
      </c>
      <c r="AQ82">
        <v>68.007180000000005</v>
      </c>
      <c r="AR82">
        <v>62.097580000000001</v>
      </c>
      <c r="AU82">
        <v>56.419930000000001</v>
      </c>
      <c r="AV82">
        <v>42.240519999999997</v>
      </c>
      <c r="AW82">
        <v>48.119819999999997</v>
      </c>
    </row>
    <row r="83" spans="1:49" x14ac:dyDescent="0.2">
      <c r="A83" s="2">
        <v>41060</v>
      </c>
      <c r="B83">
        <v>88.973399999999998</v>
      </c>
      <c r="C83">
        <v>95.680199999999999</v>
      </c>
      <c r="D83">
        <v>84.513999999999996</v>
      </c>
      <c r="G83">
        <v>81.189949999999996</v>
      </c>
      <c r="H83">
        <v>131.04666</v>
      </c>
      <c r="J83">
        <v>45.118160000000003</v>
      </c>
      <c r="K83">
        <v>51.712150000000001</v>
      </c>
      <c r="L83">
        <v>39.119709999999998</v>
      </c>
      <c r="M83">
        <v>72.681100000000001</v>
      </c>
      <c r="N83">
        <v>79.889489999999995</v>
      </c>
      <c r="O83">
        <v>65.280770000000004</v>
      </c>
      <c r="P83">
        <v>84.828940000000003</v>
      </c>
      <c r="Q83">
        <v>88.734499999999997</v>
      </c>
      <c r="R83">
        <v>78.944919999999996</v>
      </c>
      <c r="S83">
        <v>29.50891</v>
      </c>
      <c r="T83">
        <v>38.469880000000003</v>
      </c>
      <c r="U83">
        <v>66.356890000000007</v>
      </c>
      <c r="V83">
        <v>39.557130000000001</v>
      </c>
      <c r="W83">
        <v>78.732309999999998</v>
      </c>
      <c r="X83">
        <v>60.954470000000001</v>
      </c>
      <c r="Y83">
        <v>55.793610000000001</v>
      </c>
      <c r="AA83">
        <v>52.225110000000001</v>
      </c>
      <c r="AB83">
        <v>44.321489999999997</v>
      </c>
      <c r="AC83">
        <v>53.170400000000001</v>
      </c>
      <c r="AD83">
        <v>60.119810000000001</v>
      </c>
      <c r="AE83">
        <v>60.119810000000001</v>
      </c>
      <c r="AF83">
        <v>63.399099999999997</v>
      </c>
      <c r="AG83">
        <v>64.159670000000006</v>
      </c>
      <c r="AH83">
        <v>46.984909999999999</v>
      </c>
      <c r="AJ83">
        <v>78.11242</v>
      </c>
      <c r="AK83">
        <v>43.442819999999998</v>
      </c>
      <c r="AN83">
        <v>67.333539999999999</v>
      </c>
      <c r="AP83">
        <v>53.763330000000003</v>
      </c>
      <c r="AQ83">
        <v>66.308679999999995</v>
      </c>
      <c r="AR83">
        <v>60.10839</v>
      </c>
      <c r="AU83">
        <v>54.700560000000003</v>
      </c>
      <c r="AV83">
        <v>39.860469999999999</v>
      </c>
      <c r="AW83">
        <v>46.20196</v>
      </c>
    </row>
    <row r="84" spans="1:49" x14ac:dyDescent="0.2">
      <c r="A84" s="2">
        <v>41029</v>
      </c>
      <c r="B84">
        <v>87.897989999999993</v>
      </c>
      <c r="C84">
        <v>91.484530000000007</v>
      </c>
      <c r="D84">
        <v>83.918520000000001</v>
      </c>
      <c r="G84">
        <v>81.188730000000007</v>
      </c>
      <c r="H84">
        <v>114.90148000000001</v>
      </c>
      <c r="J84">
        <v>47.974110000000003</v>
      </c>
      <c r="K84">
        <v>55.107129999999998</v>
      </c>
      <c r="L84">
        <v>41.393180000000001</v>
      </c>
      <c r="M84">
        <v>77.921750000000003</v>
      </c>
      <c r="N84">
        <v>86.090580000000003</v>
      </c>
      <c r="O84">
        <v>69.682689999999994</v>
      </c>
      <c r="P84">
        <v>84.725589999999997</v>
      </c>
      <c r="Q84">
        <v>86.53228</v>
      </c>
      <c r="R84">
        <v>79.219909999999999</v>
      </c>
      <c r="S84">
        <v>33.222389999999997</v>
      </c>
      <c r="T84">
        <v>43.41563</v>
      </c>
      <c r="U84">
        <v>65.668840000000003</v>
      </c>
      <c r="V84">
        <v>44.938279999999999</v>
      </c>
      <c r="W84">
        <v>73.145449999999997</v>
      </c>
      <c r="X84">
        <v>60.958460000000002</v>
      </c>
      <c r="Y84">
        <v>58.349260000000001</v>
      </c>
      <c r="AA84">
        <v>52.142949999999999</v>
      </c>
      <c r="AB84">
        <v>47.887990000000002</v>
      </c>
      <c r="AC84">
        <v>57.019779999999997</v>
      </c>
      <c r="AD84">
        <v>63.942329999999998</v>
      </c>
      <c r="AE84">
        <v>63.942329999999998</v>
      </c>
      <c r="AF84">
        <v>68.56138</v>
      </c>
      <c r="AG84">
        <v>64.769310000000004</v>
      </c>
      <c r="AH84">
        <v>51.947360000000003</v>
      </c>
      <c r="AJ84">
        <v>87.750190000000003</v>
      </c>
      <c r="AK84">
        <v>47.701630000000002</v>
      </c>
      <c r="AN84">
        <v>71.800799999999995</v>
      </c>
      <c r="AP84">
        <v>57.149979999999999</v>
      </c>
      <c r="AQ84">
        <v>70.756540000000001</v>
      </c>
      <c r="AR84">
        <v>64.048270000000002</v>
      </c>
      <c r="AU84">
        <v>58.829929999999997</v>
      </c>
      <c r="AV84">
        <v>44.700809999999997</v>
      </c>
      <c r="AW84">
        <v>48.45608</v>
      </c>
    </row>
    <row r="85" spans="1:49" x14ac:dyDescent="0.2">
      <c r="A85" s="2">
        <v>40999</v>
      </c>
      <c r="B85">
        <v>86.961259999999996</v>
      </c>
      <c r="C85">
        <v>88.910939999999997</v>
      </c>
      <c r="D85">
        <v>83.281319999999994</v>
      </c>
      <c r="G85">
        <v>80.945809999999994</v>
      </c>
      <c r="H85">
        <v>107.65478</v>
      </c>
      <c r="J85">
        <v>48.249499999999998</v>
      </c>
      <c r="K85">
        <v>55.278619999999997</v>
      </c>
      <c r="L85">
        <v>41.917549999999999</v>
      </c>
      <c r="M85">
        <v>78.721230000000006</v>
      </c>
      <c r="N85">
        <v>86.950839999999999</v>
      </c>
      <c r="O85">
        <v>70.379919999999998</v>
      </c>
      <c r="P85">
        <v>83.748040000000003</v>
      </c>
      <c r="Q85">
        <v>84.976929999999996</v>
      </c>
      <c r="R85">
        <v>79.034440000000004</v>
      </c>
      <c r="S85">
        <v>34.030410000000003</v>
      </c>
      <c r="T85">
        <v>44.221200000000003</v>
      </c>
      <c r="U85">
        <v>64.66122</v>
      </c>
      <c r="V85">
        <v>46.096420000000002</v>
      </c>
      <c r="W85">
        <v>70.038250000000005</v>
      </c>
      <c r="X85">
        <v>60.859589999999997</v>
      </c>
      <c r="Y85">
        <v>58.550809999999998</v>
      </c>
      <c r="AA85">
        <v>51.871400000000001</v>
      </c>
      <c r="AB85">
        <v>47.01079</v>
      </c>
      <c r="AC85">
        <v>57.461939999999998</v>
      </c>
      <c r="AD85">
        <v>64.367689999999996</v>
      </c>
      <c r="AE85">
        <v>64.367689999999996</v>
      </c>
      <c r="AF85">
        <v>68.919319999999999</v>
      </c>
      <c r="AG85">
        <v>65.009770000000003</v>
      </c>
      <c r="AH85">
        <v>53.135590000000001</v>
      </c>
      <c r="AJ85">
        <v>88.972170000000006</v>
      </c>
      <c r="AK85">
        <v>48.271099999999997</v>
      </c>
      <c r="AN85">
        <v>72.264269999999996</v>
      </c>
      <c r="AP85">
        <v>57.678170000000001</v>
      </c>
      <c r="AQ85">
        <v>70.969390000000004</v>
      </c>
      <c r="AR85">
        <v>64.42295</v>
      </c>
      <c r="AU85">
        <v>59.342640000000003</v>
      </c>
      <c r="AV85">
        <v>45.648940000000003</v>
      </c>
      <c r="AW85">
        <v>48.465919999999997</v>
      </c>
    </row>
    <row r="86" spans="1:49" x14ac:dyDescent="0.2">
      <c r="A86" s="2">
        <v>40968</v>
      </c>
      <c r="B86">
        <v>88.053920000000005</v>
      </c>
      <c r="C86">
        <v>91.859669999999994</v>
      </c>
      <c r="D86">
        <v>83.906540000000007</v>
      </c>
      <c r="G86">
        <v>81.196039999999996</v>
      </c>
      <c r="H86">
        <v>116.14473</v>
      </c>
      <c r="J86">
        <v>46.872419999999998</v>
      </c>
      <c r="K86">
        <v>53.412350000000004</v>
      </c>
      <c r="L86">
        <v>40.892299999999999</v>
      </c>
      <c r="M86">
        <v>76.947980000000001</v>
      </c>
      <c r="N86">
        <v>85.038759999999996</v>
      </c>
      <c r="O86">
        <v>68.749009999999998</v>
      </c>
      <c r="P86">
        <v>84.599490000000003</v>
      </c>
      <c r="Q86">
        <v>88.632639999999995</v>
      </c>
      <c r="R86">
        <v>79.262950000000004</v>
      </c>
      <c r="S86">
        <v>33.929650000000002</v>
      </c>
      <c r="T86">
        <v>44.619109999999999</v>
      </c>
      <c r="U86">
        <v>65.400000000000006</v>
      </c>
      <c r="V86">
        <v>46.061140000000002</v>
      </c>
      <c r="W86">
        <v>73.380610000000004</v>
      </c>
      <c r="X86">
        <v>60.912410000000001</v>
      </c>
      <c r="Y86">
        <v>57.614559999999997</v>
      </c>
      <c r="AA86">
        <v>51.896850000000001</v>
      </c>
      <c r="AB86">
        <v>47.641759999999998</v>
      </c>
      <c r="AC86">
        <v>56.335929999999998</v>
      </c>
      <c r="AD86">
        <v>62.587789999999998</v>
      </c>
      <c r="AE86">
        <v>62.587789999999998</v>
      </c>
      <c r="AF86">
        <v>67.649519999999995</v>
      </c>
      <c r="AG86">
        <v>64.339399999999998</v>
      </c>
      <c r="AH86">
        <v>52.87961</v>
      </c>
      <c r="AJ86">
        <v>89.990679999999998</v>
      </c>
      <c r="AK86">
        <v>47.708640000000003</v>
      </c>
      <c r="AN86">
        <v>70.411659999999998</v>
      </c>
      <c r="AP86">
        <v>56.419879999999999</v>
      </c>
      <c r="AQ86">
        <v>68.782070000000004</v>
      </c>
      <c r="AR86">
        <v>62.637619999999998</v>
      </c>
      <c r="AU86">
        <v>58.10219</v>
      </c>
      <c r="AV86">
        <v>45.898130000000002</v>
      </c>
      <c r="AW86">
        <v>47.508650000000003</v>
      </c>
    </row>
    <row r="87" spans="1:49" x14ac:dyDescent="0.2">
      <c r="A87" s="2">
        <v>40939</v>
      </c>
      <c r="B87">
        <v>88.289460000000005</v>
      </c>
      <c r="C87">
        <v>92.853930000000005</v>
      </c>
      <c r="D87">
        <v>84.063789999999997</v>
      </c>
      <c r="G87">
        <v>81.308930000000004</v>
      </c>
      <c r="H87">
        <v>120.08571000000001</v>
      </c>
      <c r="J87">
        <v>44.893509999999999</v>
      </c>
      <c r="K87">
        <v>50.949269999999999</v>
      </c>
      <c r="L87">
        <v>39.362090000000002</v>
      </c>
      <c r="M87">
        <v>74.50658</v>
      </c>
      <c r="N87">
        <v>81.866479999999996</v>
      </c>
      <c r="O87">
        <v>67.038179999999997</v>
      </c>
      <c r="P87">
        <v>84.273690000000002</v>
      </c>
      <c r="Q87">
        <v>87.810249999999996</v>
      </c>
      <c r="R87">
        <v>78.696579999999997</v>
      </c>
      <c r="S87">
        <v>32.347470000000001</v>
      </c>
      <c r="T87">
        <v>42.367159999999998</v>
      </c>
      <c r="U87">
        <v>65.976070000000007</v>
      </c>
      <c r="V87">
        <v>43.691920000000003</v>
      </c>
      <c r="W87">
        <v>75.095320000000001</v>
      </c>
      <c r="X87">
        <v>60.971679999999999</v>
      </c>
      <c r="Y87">
        <v>56.074420000000003</v>
      </c>
      <c r="AA87">
        <v>51.998719999999999</v>
      </c>
      <c r="AB87">
        <v>44.560029999999998</v>
      </c>
      <c r="AC87">
        <v>54.365549999999999</v>
      </c>
      <c r="AD87">
        <v>60.012680000000003</v>
      </c>
      <c r="AE87">
        <v>60.012680000000003</v>
      </c>
      <c r="AF87">
        <v>64.367419999999996</v>
      </c>
      <c r="AG87">
        <v>61.518279999999997</v>
      </c>
      <c r="AH87">
        <v>50.759140000000002</v>
      </c>
      <c r="AJ87">
        <v>84.556640000000002</v>
      </c>
      <c r="AK87">
        <v>45.537140000000001</v>
      </c>
      <c r="AN87">
        <v>67.565190000000001</v>
      </c>
      <c r="AP87">
        <v>54.312530000000002</v>
      </c>
      <c r="AQ87">
        <v>65.643259999999998</v>
      </c>
      <c r="AR87">
        <v>60.087690000000002</v>
      </c>
      <c r="AU87">
        <v>55.77563</v>
      </c>
      <c r="AV87">
        <v>43.902189999999997</v>
      </c>
      <c r="AW87">
        <v>46.067909999999998</v>
      </c>
    </row>
    <row r="88" spans="1:49" x14ac:dyDescent="0.2">
      <c r="A88" s="2">
        <v>40908</v>
      </c>
      <c r="B88">
        <v>86.969210000000004</v>
      </c>
      <c r="C88">
        <v>92.004829999999998</v>
      </c>
      <c r="D88">
        <v>83.542670000000001</v>
      </c>
      <c r="G88">
        <v>80.84478</v>
      </c>
      <c r="H88">
        <v>121.94839</v>
      </c>
      <c r="J88">
        <v>43.006819999999998</v>
      </c>
      <c r="K88">
        <v>48.091920000000002</v>
      </c>
      <c r="L88">
        <v>38.180030000000002</v>
      </c>
      <c r="M88">
        <v>69.666169999999994</v>
      </c>
      <c r="N88">
        <v>76.353430000000003</v>
      </c>
      <c r="O88">
        <v>62.666829999999997</v>
      </c>
      <c r="P88">
        <v>82.370320000000007</v>
      </c>
      <c r="Q88">
        <v>86.707740000000001</v>
      </c>
      <c r="R88">
        <v>77.865719999999996</v>
      </c>
      <c r="S88">
        <v>30.62894</v>
      </c>
      <c r="T88">
        <v>39.648949999999999</v>
      </c>
      <c r="U88">
        <v>65.633930000000007</v>
      </c>
      <c r="V88">
        <v>41.428559999999997</v>
      </c>
      <c r="W88">
        <v>75.110380000000006</v>
      </c>
      <c r="X88">
        <v>60.975580000000001</v>
      </c>
      <c r="Y88">
        <v>54.644210000000001</v>
      </c>
      <c r="AA88">
        <v>51.882779999999997</v>
      </c>
      <c r="AB88">
        <v>40.701129999999999</v>
      </c>
      <c r="AC88">
        <v>51.66507</v>
      </c>
      <c r="AD88">
        <v>57.442189999999997</v>
      </c>
      <c r="AE88">
        <v>57.442189999999997</v>
      </c>
      <c r="AF88">
        <v>59.538249999999998</v>
      </c>
      <c r="AG88">
        <v>62.171639999999996</v>
      </c>
      <c r="AH88">
        <v>47.595700000000001</v>
      </c>
      <c r="AJ88">
        <v>77.566270000000003</v>
      </c>
      <c r="AK88">
        <v>43.179720000000003</v>
      </c>
      <c r="AN88">
        <v>64.305869999999999</v>
      </c>
      <c r="AP88">
        <v>52.485280000000003</v>
      </c>
      <c r="AQ88">
        <v>61.757429999999999</v>
      </c>
      <c r="AR88">
        <v>57.298819999999999</v>
      </c>
      <c r="AU88">
        <v>51.842019999999998</v>
      </c>
      <c r="AV88">
        <v>40.902200000000001</v>
      </c>
      <c r="AW88">
        <v>45.258960000000002</v>
      </c>
    </row>
    <row r="89" spans="1:49" x14ac:dyDescent="0.2">
      <c r="A89" s="2">
        <v>40877</v>
      </c>
      <c r="B89">
        <v>86.894440000000003</v>
      </c>
      <c r="C89">
        <v>90.152839999999998</v>
      </c>
      <c r="D89">
        <v>83.361850000000004</v>
      </c>
      <c r="G89">
        <v>81.251670000000004</v>
      </c>
      <c r="H89">
        <v>119.15354000000001</v>
      </c>
      <c r="J89">
        <v>42.784489999999998</v>
      </c>
      <c r="K89">
        <v>48.465170000000001</v>
      </c>
      <c r="L89">
        <v>37.491549999999997</v>
      </c>
      <c r="M89">
        <v>70.442390000000003</v>
      </c>
      <c r="N89">
        <v>77.230800000000002</v>
      </c>
      <c r="O89">
        <v>63.508130000000001</v>
      </c>
      <c r="P89">
        <v>80.638679999999994</v>
      </c>
      <c r="Q89">
        <v>83.427710000000005</v>
      </c>
      <c r="R89">
        <v>77.269080000000002</v>
      </c>
      <c r="S89">
        <v>32.383270000000003</v>
      </c>
      <c r="T89">
        <v>42.058410000000002</v>
      </c>
      <c r="U89">
        <v>65.202029999999993</v>
      </c>
      <c r="V89">
        <v>44.396900000000002</v>
      </c>
      <c r="W89">
        <v>73.203620000000001</v>
      </c>
      <c r="X89">
        <v>61.072830000000003</v>
      </c>
      <c r="Y89">
        <v>54.435070000000003</v>
      </c>
      <c r="AA89">
        <v>51.815570000000001</v>
      </c>
      <c r="AB89">
        <v>44.086500000000001</v>
      </c>
      <c r="AC89">
        <v>52.220860000000002</v>
      </c>
      <c r="AD89">
        <v>57.152070000000002</v>
      </c>
      <c r="AE89">
        <v>57.152070000000002</v>
      </c>
      <c r="AF89">
        <v>61.006680000000003</v>
      </c>
      <c r="AG89">
        <v>63.287019999999998</v>
      </c>
      <c r="AH89">
        <v>50.827910000000003</v>
      </c>
      <c r="AJ89">
        <v>83.325199999999995</v>
      </c>
      <c r="AK89">
        <v>44.672699999999999</v>
      </c>
      <c r="AN89">
        <v>64.045959999999994</v>
      </c>
      <c r="AP89">
        <v>51.591419999999999</v>
      </c>
      <c r="AQ89">
        <v>62.298929999999999</v>
      </c>
      <c r="AR89">
        <v>57.098950000000002</v>
      </c>
      <c r="AU89">
        <v>52.43768</v>
      </c>
      <c r="AV89">
        <v>43.499310000000001</v>
      </c>
      <c r="AW89">
        <v>44.227069999999998</v>
      </c>
    </row>
    <row r="90" spans="1:49" x14ac:dyDescent="0.2">
      <c r="A90" s="2">
        <v>40847</v>
      </c>
      <c r="B90">
        <v>87.695740000000001</v>
      </c>
      <c r="C90">
        <v>91.271019999999993</v>
      </c>
      <c r="D90">
        <v>83.614459999999994</v>
      </c>
      <c r="G90">
        <v>81.477860000000007</v>
      </c>
      <c r="H90">
        <v>115.17039</v>
      </c>
      <c r="J90">
        <v>42.868009999999998</v>
      </c>
      <c r="K90">
        <v>48.523479999999999</v>
      </c>
      <c r="L90">
        <v>37.910299999999999</v>
      </c>
      <c r="M90">
        <v>70.776960000000003</v>
      </c>
      <c r="N90">
        <v>77.743759999999995</v>
      </c>
      <c r="O90">
        <v>63.603859999999997</v>
      </c>
      <c r="P90">
        <v>82.270769999999999</v>
      </c>
      <c r="Q90">
        <v>86.605779999999996</v>
      </c>
      <c r="R90">
        <v>78.078850000000003</v>
      </c>
      <c r="S90">
        <v>33.075870000000002</v>
      </c>
      <c r="T90">
        <v>43.170029999999997</v>
      </c>
      <c r="U90">
        <v>64.885739999999998</v>
      </c>
      <c r="V90">
        <v>45.704009999999997</v>
      </c>
      <c r="W90">
        <v>71.832459999999998</v>
      </c>
      <c r="X90">
        <v>61.065849999999998</v>
      </c>
      <c r="Y90">
        <v>53.464100000000002</v>
      </c>
      <c r="AA90">
        <v>51.777189999999997</v>
      </c>
      <c r="AB90">
        <v>45.491680000000002</v>
      </c>
      <c r="AC90">
        <v>52.139659999999999</v>
      </c>
      <c r="AD90">
        <v>57.330390000000001</v>
      </c>
      <c r="AE90">
        <v>57.330390000000001</v>
      </c>
      <c r="AF90">
        <v>62.00244</v>
      </c>
      <c r="AG90">
        <v>63.231830000000002</v>
      </c>
      <c r="AH90">
        <v>51.09122</v>
      </c>
      <c r="AJ90">
        <v>85.762069999999994</v>
      </c>
      <c r="AK90">
        <v>45.276130000000002</v>
      </c>
      <c r="AN90">
        <v>64.27713</v>
      </c>
      <c r="AP90">
        <v>51.87612</v>
      </c>
      <c r="AQ90">
        <v>62.43365</v>
      </c>
      <c r="AR90">
        <v>57.352069999999998</v>
      </c>
      <c r="AU90">
        <v>52.74051</v>
      </c>
      <c r="AV90">
        <v>44.44509</v>
      </c>
      <c r="AW90">
        <v>43.682380000000002</v>
      </c>
    </row>
    <row r="91" spans="1:49" x14ac:dyDescent="0.2">
      <c r="A91" s="2">
        <v>40816</v>
      </c>
      <c r="B91">
        <v>87.635450000000006</v>
      </c>
      <c r="C91">
        <v>91.776390000000006</v>
      </c>
      <c r="D91">
        <v>83.73903</v>
      </c>
      <c r="G91">
        <v>81.415719999999993</v>
      </c>
      <c r="H91">
        <v>123.40563</v>
      </c>
      <c r="J91">
        <v>38.783410000000003</v>
      </c>
      <c r="K91">
        <v>43.529870000000003</v>
      </c>
      <c r="L91">
        <v>34.326230000000002</v>
      </c>
      <c r="M91">
        <v>61.370629999999998</v>
      </c>
      <c r="N91">
        <v>66.86318</v>
      </c>
      <c r="O91">
        <v>55.576259999999998</v>
      </c>
      <c r="P91">
        <v>80.954650000000001</v>
      </c>
      <c r="Q91">
        <v>84.093130000000002</v>
      </c>
      <c r="R91">
        <v>77.614999999999995</v>
      </c>
      <c r="S91">
        <v>30.12246</v>
      </c>
      <c r="T91">
        <v>38.718490000000003</v>
      </c>
      <c r="U91">
        <v>65.307079999999999</v>
      </c>
      <c r="V91">
        <v>40.661540000000002</v>
      </c>
      <c r="W91">
        <v>74.830079999999995</v>
      </c>
      <c r="X91">
        <v>61.080240000000003</v>
      </c>
      <c r="Y91">
        <v>48.764069999999997</v>
      </c>
      <c r="AA91">
        <v>51.84301</v>
      </c>
      <c r="AB91">
        <v>40.996679999999998</v>
      </c>
      <c r="AC91">
        <v>46.395919999999997</v>
      </c>
      <c r="AD91">
        <v>51.756149999999998</v>
      </c>
      <c r="AE91">
        <v>51.756149999999998</v>
      </c>
      <c r="AF91">
        <v>54.349530000000001</v>
      </c>
      <c r="AG91">
        <v>60.68168</v>
      </c>
      <c r="AH91">
        <v>48.456870000000002</v>
      </c>
      <c r="AJ91">
        <v>78.453909999999993</v>
      </c>
      <c r="AK91">
        <v>40.647469999999998</v>
      </c>
      <c r="AN91">
        <v>57.721409999999999</v>
      </c>
      <c r="AP91">
        <v>47.051960000000001</v>
      </c>
      <c r="AQ91">
        <v>55.939619999999998</v>
      </c>
      <c r="AR91">
        <v>51.655639999999998</v>
      </c>
      <c r="AU91">
        <v>46.103810000000003</v>
      </c>
      <c r="AV91">
        <v>40.304499999999997</v>
      </c>
      <c r="AW91">
        <v>40.421759999999999</v>
      </c>
    </row>
    <row r="92" spans="1:49" x14ac:dyDescent="0.2">
      <c r="A92" s="2">
        <v>40786</v>
      </c>
      <c r="B92">
        <v>87.68965</v>
      </c>
      <c r="C92">
        <v>86.944990000000004</v>
      </c>
      <c r="D92">
        <v>83.40128</v>
      </c>
      <c r="G92">
        <v>81.777500000000003</v>
      </c>
      <c r="H92">
        <v>100.44443</v>
      </c>
      <c r="J92">
        <v>41.782389999999999</v>
      </c>
      <c r="K92">
        <v>46.855260000000001</v>
      </c>
      <c r="L92">
        <v>37.035730000000001</v>
      </c>
      <c r="M92">
        <v>68.945880000000002</v>
      </c>
      <c r="N92">
        <v>75.484800000000007</v>
      </c>
      <c r="O92">
        <v>62.203290000000003</v>
      </c>
      <c r="P92">
        <v>82.324569999999994</v>
      </c>
      <c r="Q92">
        <v>81.661820000000006</v>
      </c>
      <c r="R92">
        <v>78.531970000000001</v>
      </c>
      <c r="S92">
        <v>33.98451</v>
      </c>
      <c r="T92">
        <v>44.510289999999998</v>
      </c>
      <c r="U92">
        <v>65.06344</v>
      </c>
      <c r="V92">
        <v>46.335799999999999</v>
      </c>
      <c r="W92">
        <v>68.223690000000005</v>
      </c>
      <c r="X92">
        <v>61.195630000000001</v>
      </c>
      <c r="Y92">
        <v>52.31512</v>
      </c>
      <c r="AA92">
        <v>52.066319999999997</v>
      </c>
      <c r="AB92">
        <v>48.393430000000002</v>
      </c>
      <c r="AC92">
        <v>50.818170000000002</v>
      </c>
      <c r="AD92">
        <v>55.848320000000001</v>
      </c>
      <c r="AE92">
        <v>55.848320000000001</v>
      </c>
      <c r="AF92">
        <v>61.05021</v>
      </c>
      <c r="AG92">
        <v>65.154790000000006</v>
      </c>
      <c r="AH92">
        <v>53.336759999999998</v>
      </c>
      <c r="AJ92">
        <v>92.223939999999999</v>
      </c>
      <c r="AK92">
        <v>45.531149999999997</v>
      </c>
      <c r="AN92">
        <v>62.782130000000002</v>
      </c>
      <c r="AP92">
        <v>50.902360000000002</v>
      </c>
      <c r="AQ92">
        <v>60.579630000000002</v>
      </c>
      <c r="AR92">
        <v>55.984110000000001</v>
      </c>
      <c r="AU92">
        <v>51.87782</v>
      </c>
      <c r="AV92">
        <v>46.148479999999999</v>
      </c>
      <c r="AW92">
        <v>42.521599999999999</v>
      </c>
    </row>
    <row r="93" spans="1:49" x14ac:dyDescent="0.2">
      <c r="A93" s="2">
        <v>40755</v>
      </c>
      <c r="B93">
        <v>85.842389999999995</v>
      </c>
      <c r="C93">
        <v>83.083910000000003</v>
      </c>
      <c r="D93">
        <v>82.262299999999996</v>
      </c>
      <c r="G93">
        <v>81.401650000000004</v>
      </c>
      <c r="H93">
        <v>86.313760000000002</v>
      </c>
      <c r="J93">
        <v>44.185420000000001</v>
      </c>
      <c r="K93">
        <v>49.363100000000003</v>
      </c>
      <c r="L93">
        <v>39.285299999999999</v>
      </c>
      <c r="M93">
        <v>75.221289999999996</v>
      </c>
      <c r="N93">
        <v>82.570760000000007</v>
      </c>
      <c r="O93">
        <v>67.750039999999998</v>
      </c>
      <c r="P93">
        <v>82.009439999999998</v>
      </c>
      <c r="Q93">
        <v>80.964529999999996</v>
      </c>
      <c r="R93">
        <v>78.750159999999994</v>
      </c>
      <c r="S93">
        <v>37.165399999999998</v>
      </c>
      <c r="T93">
        <v>48.630859999999998</v>
      </c>
      <c r="U93">
        <v>63.405720000000002</v>
      </c>
      <c r="V93">
        <v>51.06962</v>
      </c>
      <c r="W93">
        <v>62.923839999999998</v>
      </c>
      <c r="X93">
        <v>60.990130000000001</v>
      </c>
      <c r="Y93">
        <v>54.048380000000002</v>
      </c>
      <c r="AA93">
        <v>51.409939999999999</v>
      </c>
      <c r="AB93">
        <v>52.042140000000003</v>
      </c>
      <c r="AC93">
        <v>54.390799999999999</v>
      </c>
      <c r="AD93">
        <v>59.104660000000003</v>
      </c>
      <c r="AE93">
        <v>59.104660000000003</v>
      </c>
      <c r="AF93">
        <v>65.930269999999993</v>
      </c>
      <c r="AG93">
        <v>67.201930000000004</v>
      </c>
      <c r="AH93">
        <v>57.089579999999998</v>
      </c>
      <c r="AJ93">
        <v>101.27867999999999</v>
      </c>
      <c r="AK93">
        <v>49.090649999999997</v>
      </c>
      <c r="AN93">
        <v>66.850909999999999</v>
      </c>
      <c r="AP93">
        <v>54.097340000000003</v>
      </c>
      <c r="AQ93">
        <v>64.217089999999999</v>
      </c>
      <c r="AR93">
        <v>59.370190000000001</v>
      </c>
      <c r="AU93">
        <v>56.569000000000003</v>
      </c>
      <c r="AV93">
        <v>50.411990000000003</v>
      </c>
      <c r="AW93">
        <v>43.752839999999999</v>
      </c>
    </row>
    <row r="94" spans="1:49" x14ac:dyDescent="0.2">
      <c r="A94" s="2">
        <v>40724</v>
      </c>
      <c r="B94">
        <v>83.951809999999995</v>
      </c>
      <c r="C94">
        <v>79.963610000000003</v>
      </c>
      <c r="D94">
        <v>81.160349999999994</v>
      </c>
      <c r="G94">
        <v>81.032380000000003</v>
      </c>
      <c r="H94">
        <v>81.434610000000006</v>
      </c>
      <c r="J94">
        <v>44.968150000000001</v>
      </c>
      <c r="K94">
        <v>49.487830000000002</v>
      </c>
      <c r="L94">
        <v>40.636989999999997</v>
      </c>
      <c r="M94">
        <v>78.045900000000003</v>
      </c>
      <c r="N94">
        <v>85.899640000000005</v>
      </c>
      <c r="O94">
        <v>70.080789999999993</v>
      </c>
      <c r="P94">
        <v>80.205820000000003</v>
      </c>
      <c r="Q94">
        <v>78.227950000000007</v>
      </c>
      <c r="R94">
        <v>78.355530000000002</v>
      </c>
      <c r="S94">
        <v>38.079120000000003</v>
      </c>
      <c r="T94">
        <v>49.808169999999997</v>
      </c>
      <c r="U94">
        <v>62.155110000000001</v>
      </c>
      <c r="V94">
        <v>53.534790000000001</v>
      </c>
      <c r="W94">
        <v>60.693860000000001</v>
      </c>
      <c r="X94">
        <v>60.868580000000001</v>
      </c>
      <c r="Y94">
        <v>55.99127</v>
      </c>
      <c r="AA94">
        <v>51.134010000000004</v>
      </c>
      <c r="AB94">
        <v>51.945459999999997</v>
      </c>
      <c r="AC94">
        <v>56.590150000000001</v>
      </c>
      <c r="AD94">
        <v>60.342939999999999</v>
      </c>
      <c r="AE94">
        <v>60.342939999999999</v>
      </c>
      <c r="AF94">
        <v>68.018389999999997</v>
      </c>
      <c r="AG94">
        <v>71.261089999999996</v>
      </c>
      <c r="AH94">
        <v>56.538339999999998</v>
      </c>
      <c r="AJ94">
        <v>102.73294</v>
      </c>
      <c r="AK94">
        <v>50.16939</v>
      </c>
      <c r="AN94">
        <v>68.393320000000003</v>
      </c>
      <c r="AP94">
        <v>56.049489999999999</v>
      </c>
      <c r="AQ94">
        <v>64.684510000000003</v>
      </c>
      <c r="AR94">
        <v>60.588760000000001</v>
      </c>
      <c r="AU94">
        <v>58.460889999999999</v>
      </c>
      <c r="AV94">
        <v>51.306330000000003</v>
      </c>
      <c r="AW94">
        <v>44.991619999999998</v>
      </c>
    </row>
    <row r="95" spans="1:49" x14ac:dyDescent="0.2">
      <c r="A95" s="2">
        <v>40694</v>
      </c>
      <c r="B95">
        <v>84.662139999999994</v>
      </c>
      <c r="C95">
        <v>82.092420000000004</v>
      </c>
      <c r="D95">
        <v>81.690250000000006</v>
      </c>
      <c r="G95">
        <v>81.150589999999994</v>
      </c>
      <c r="H95">
        <v>85.995339999999999</v>
      </c>
      <c r="J95">
        <v>45.90896</v>
      </c>
      <c r="K95">
        <v>50.327129999999997</v>
      </c>
      <c r="L95">
        <v>41.706530000000001</v>
      </c>
      <c r="M95">
        <v>79.718739999999997</v>
      </c>
      <c r="N95">
        <v>87.670330000000007</v>
      </c>
      <c r="O95">
        <v>71.570009999999996</v>
      </c>
      <c r="P95">
        <v>81.086179999999999</v>
      </c>
      <c r="Q95">
        <v>80.214799999999997</v>
      </c>
      <c r="R95">
        <v>78.576909999999998</v>
      </c>
      <c r="S95">
        <v>38.549329999999998</v>
      </c>
      <c r="T95">
        <v>50.360190000000003</v>
      </c>
      <c r="U95">
        <v>62.40531</v>
      </c>
      <c r="V95">
        <v>54.670439999999999</v>
      </c>
      <c r="W95">
        <v>62.086390000000002</v>
      </c>
      <c r="X95">
        <v>60.902920000000002</v>
      </c>
      <c r="Y95">
        <v>56.72551</v>
      </c>
      <c r="AA95">
        <v>51.248959999999997</v>
      </c>
      <c r="AB95">
        <v>52.62885</v>
      </c>
      <c r="AC95">
        <v>58.347050000000003</v>
      </c>
      <c r="AD95">
        <v>61.669199999999996</v>
      </c>
      <c r="AE95">
        <v>61.669199999999996</v>
      </c>
      <c r="AF95">
        <v>69.221159999999998</v>
      </c>
      <c r="AG95">
        <v>72.599509999999995</v>
      </c>
      <c r="AH95">
        <v>56.132300000000001</v>
      </c>
      <c r="AJ95">
        <v>104.91188</v>
      </c>
      <c r="AK95">
        <v>50.849440000000001</v>
      </c>
      <c r="AN95">
        <v>69.955939999999998</v>
      </c>
      <c r="AP95">
        <v>57.601700000000001</v>
      </c>
      <c r="AQ95">
        <v>65.803579999999997</v>
      </c>
      <c r="AR95">
        <v>61.958860000000001</v>
      </c>
      <c r="AU95">
        <v>59.858849999999997</v>
      </c>
      <c r="AV95">
        <v>51.938519999999997</v>
      </c>
      <c r="AW95">
        <v>45.835749999999997</v>
      </c>
    </row>
    <row r="96" spans="1:49" x14ac:dyDescent="0.2">
      <c r="A96" s="2">
        <v>40663</v>
      </c>
      <c r="B96">
        <v>83.460719999999995</v>
      </c>
      <c r="C96">
        <v>80.046970000000002</v>
      </c>
      <c r="D96">
        <v>80.963890000000006</v>
      </c>
      <c r="G96">
        <v>80.779600000000002</v>
      </c>
      <c r="H96">
        <v>81.338409999999996</v>
      </c>
      <c r="J96">
        <v>46.454070000000002</v>
      </c>
      <c r="K96">
        <v>50.718110000000003</v>
      </c>
      <c r="L96">
        <v>42.374830000000003</v>
      </c>
      <c r="M96">
        <v>81.309070000000006</v>
      </c>
      <c r="N96">
        <v>89.158770000000004</v>
      </c>
      <c r="O96">
        <v>73.118319999999997</v>
      </c>
      <c r="P96">
        <v>80.307249999999996</v>
      </c>
      <c r="Q96">
        <v>78.407679999999999</v>
      </c>
      <c r="R96">
        <v>78.198130000000006</v>
      </c>
      <c r="S96">
        <v>39.623179999999998</v>
      </c>
      <c r="T96">
        <v>52.003619999999998</v>
      </c>
      <c r="U96">
        <v>61.347670000000001</v>
      </c>
      <c r="V96">
        <v>56.265090000000001</v>
      </c>
      <c r="W96">
        <v>60.271030000000003</v>
      </c>
      <c r="X96">
        <v>60.657299999999999</v>
      </c>
      <c r="Y96">
        <v>57.450659999999999</v>
      </c>
      <c r="AA96">
        <v>50.781939999999999</v>
      </c>
      <c r="AB96">
        <v>52.853999999999999</v>
      </c>
      <c r="AC96">
        <v>58.675359999999998</v>
      </c>
      <c r="AD96">
        <v>62.391129999999997</v>
      </c>
      <c r="AE96">
        <v>62.391129999999997</v>
      </c>
      <c r="AF96">
        <v>69.42286</v>
      </c>
      <c r="AG96">
        <v>70.00797</v>
      </c>
      <c r="AH96">
        <v>57.787230000000001</v>
      </c>
      <c r="AJ96">
        <v>107.18661</v>
      </c>
      <c r="AK96">
        <v>52.032350000000001</v>
      </c>
      <c r="AN96">
        <v>70.699070000000006</v>
      </c>
      <c r="AP96">
        <v>58.401130000000002</v>
      </c>
      <c r="AQ96">
        <v>66.289119999999997</v>
      </c>
      <c r="AR96">
        <v>62.584949999999999</v>
      </c>
      <c r="AU96">
        <v>60.674610000000001</v>
      </c>
      <c r="AV96">
        <v>53.546590000000002</v>
      </c>
      <c r="AW96">
        <v>46.111020000000003</v>
      </c>
    </row>
    <row r="97" spans="1:49" x14ac:dyDescent="0.2">
      <c r="A97" s="2">
        <v>40633</v>
      </c>
      <c r="B97">
        <v>81.977540000000005</v>
      </c>
      <c r="C97">
        <v>78.214770000000001</v>
      </c>
      <c r="D97">
        <v>80.018990000000002</v>
      </c>
      <c r="G97">
        <v>80.155789999999996</v>
      </c>
      <c r="H97">
        <v>78.883309999999994</v>
      </c>
      <c r="J97">
        <v>45.088360000000002</v>
      </c>
      <c r="K97">
        <v>49.189619999999998</v>
      </c>
      <c r="L97">
        <v>41.134920000000001</v>
      </c>
      <c r="M97">
        <v>78.989699999999999</v>
      </c>
      <c r="N97">
        <v>86.305289999999999</v>
      </c>
      <c r="O97">
        <v>71.453000000000003</v>
      </c>
      <c r="P97">
        <v>78.917910000000006</v>
      </c>
      <c r="Q97">
        <v>76.663480000000007</v>
      </c>
      <c r="R97">
        <v>77.428340000000006</v>
      </c>
      <c r="S97">
        <v>37.308999999999997</v>
      </c>
      <c r="T97">
        <v>49.323099999999997</v>
      </c>
      <c r="U97">
        <v>60.498489999999997</v>
      </c>
      <c r="V97">
        <v>51.953339999999997</v>
      </c>
      <c r="W97">
        <v>59.179580000000001</v>
      </c>
      <c r="X97">
        <v>60.504420000000003</v>
      </c>
      <c r="Y97">
        <v>55.507109999999997</v>
      </c>
      <c r="AA97">
        <v>50.15645</v>
      </c>
      <c r="AB97">
        <v>50.590609999999998</v>
      </c>
      <c r="AC97">
        <v>57.009079999999997</v>
      </c>
      <c r="AD97">
        <v>60.618580000000001</v>
      </c>
      <c r="AE97">
        <v>60.618580000000001</v>
      </c>
      <c r="AF97">
        <v>67.727519999999998</v>
      </c>
      <c r="AG97">
        <v>68.574219999999997</v>
      </c>
      <c r="AH97">
        <v>55.827150000000003</v>
      </c>
      <c r="AJ97">
        <v>101.92597000000001</v>
      </c>
      <c r="AK97">
        <v>49.861690000000003</v>
      </c>
      <c r="AN97">
        <v>68.707700000000003</v>
      </c>
      <c r="AP97">
        <v>56.723680000000002</v>
      </c>
      <c r="AQ97">
        <v>64.300290000000004</v>
      </c>
      <c r="AR97">
        <v>60.771149999999999</v>
      </c>
      <c r="AU97">
        <v>59.0565</v>
      </c>
      <c r="AV97">
        <v>50.913730000000001</v>
      </c>
      <c r="AW97">
        <v>44.33</v>
      </c>
    </row>
    <row r="98" spans="1:49" x14ac:dyDescent="0.2">
      <c r="A98" s="2">
        <v>40602</v>
      </c>
      <c r="B98">
        <v>82.784009999999995</v>
      </c>
      <c r="C98">
        <v>78.818560000000005</v>
      </c>
      <c r="D98">
        <v>80.348429999999993</v>
      </c>
      <c r="G98">
        <v>80.435590000000005</v>
      </c>
      <c r="H98">
        <v>79.76688</v>
      </c>
      <c r="J98">
        <v>45.384700000000002</v>
      </c>
      <c r="K98">
        <v>49.370019999999997</v>
      </c>
      <c r="L98">
        <v>41.509830000000001</v>
      </c>
      <c r="M98">
        <v>77.180099999999996</v>
      </c>
      <c r="N98">
        <v>83.640110000000007</v>
      </c>
      <c r="O98">
        <v>70.419539999999998</v>
      </c>
      <c r="P98">
        <v>79.290989999999994</v>
      </c>
      <c r="Q98">
        <v>77.541060000000002</v>
      </c>
      <c r="R98">
        <v>77.710040000000006</v>
      </c>
      <c r="S98">
        <v>38.2776</v>
      </c>
      <c r="T98">
        <v>49.429209999999998</v>
      </c>
      <c r="U98">
        <v>60.708910000000003</v>
      </c>
      <c r="V98">
        <v>52.488840000000003</v>
      </c>
      <c r="W98">
        <v>59.437919999999998</v>
      </c>
      <c r="X98">
        <v>60.595730000000003</v>
      </c>
      <c r="Y98">
        <v>55.203440000000001</v>
      </c>
      <c r="AA98">
        <v>50.339329999999997</v>
      </c>
      <c r="AB98">
        <v>50.650199999999998</v>
      </c>
      <c r="AC98">
        <v>56.289659999999998</v>
      </c>
      <c r="AD98">
        <v>60.892049999999998</v>
      </c>
      <c r="AE98">
        <v>60.892049999999998</v>
      </c>
      <c r="AF98">
        <v>66.397369999999995</v>
      </c>
      <c r="AG98">
        <v>66.109369999999998</v>
      </c>
      <c r="AH98">
        <v>59.400329999999997</v>
      </c>
      <c r="AJ98">
        <v>100.57980000000001</v>
      </c>
      <c r="AK98">
        <v>49.890430000000002</v>
      </c>
      <c r="AN98">
        <v>68.712370000000007</v>
      </c>
      <c r="AP98">
        <v>57.061630000000001</v>
      </c>
      <c r="AQ98">
        <v>64.298940000000002</v>
      </c>
      <c r="AR98">
        <v>60.963900000000002</v>
      </c>
      <c r="AU98">
        <v>57.858809999999998</v>
      </c>
      <c r="AV98">
        <v>51.040410000000001</v>
      </c>
      <c r="AW98">
        <v>44.326369999999997</v>
      </c>
    </row>
    <row r="99" spans="1:49" x14ac:dyDescent="0.2">
      <c r="A99" s="1">
        <v>40574</v>
      </c>
      <c r="B99">
        <v>82.996979999999994</v>
      </c>
      <c r="C99">
        <v>78.024259999999998</v>
      </c>
      <c r="D99">
        <v>80.343440000000001</v>
      </c>
      <c r="G99">
        <v>80.749440000000007</v>
      </c>
      <c r="H99">
        <v>77.665319999999994</v>
      </c>
      <c r="J99">
        <v>43.964039999999997</v>
      </c>
      <c r="K99">
        <v>48.217489999999998</v>
      </c>
      <c r="L99">
        <v>39.887030000000003</v>
      </c>
      <c r="M99">
        <v>73.138750000000002</v>
      </c>
      <c r="N99">
        <v>78.741690000000006</v>
      </c>
      <c r="O99">
        <v>67.264539999999997</v>
      </c>
      <c r="P99">
        <v>79.091480000000004</v>
      </c>
      <c r="Q99">
        <v>76.514759999999995</v>
      </c>
      <c r="R99">
        <v>77.708110000000005</v>
      </c>
      <c r="S99">
        <v>36.932699999999997</v>
      </c>
      <c r="T99">
        <v>48.112949999999998</v>
      </c>
      <c r="U99">
        <v>61.170259999999999</v>
      </c>
      <c r="V99">
        <v>50.896830000000001</v>
      </c>
      <c r="W99">
        <v>58.807949999999998</v>
      </c>
      <c r="X99">
        <v>60.662100000000002</v>
      </c>
      <c r="Y99">
        <v>53.37453</v>
      </c>
      <c r="AA99">
        <v>50.335999999999999</v>
      </c>
      <c r="AB99">
        <v>50.078060000000001</v>
      </c>
      <c r="AC99">
        <v>54.271160000000002</v>
      </c>
      <c r="AD99">
        <v>58.857990000000001</v>
      </c>
      <c r="AE99">
        <v>58.857990000000001</v>
      </c>
      <c r="AF99">
        <v>63.623469999999998</v>
      </c>
      <c r="AG99">
        <v>64.556449999999998</v>
      </c>
      <c r="AH99">
        <v>56.975149999999999</v>
      </c>
      <c r="AJ99">
        <v>98.860240000000005</v>
      </c>
      <c r="AK99">
        <v>48.47166</v>
      </c>
      <c r="AN99">
        <v>66.258020000000002</v>
      </c>
      <c r="AP99">
        <v>54.848480000000002</v>
      </c>
      <c r="AQ99">
        <v>62.569920000000003</v>
      </c>
      <c r="AR99">
        <v>58.941540000000003</v>
      </c>
      <c r="AU99">
        <v>55.262</v>
      </c>
      <c r="AW99">
        <v>42.82911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9.9978637043366805E-2"/>
  </sheetPr>
  <dimension ref="A1:AS99"/>
  <sheetViews>
    <sheetView showGridLines="0" tabSelected="1" zoomScale="58" workbookViewId="0">
      <selection activeCell="B2" sqref="B2"/>
    </sheetView>
  </sheetViews>
  <sheetFormatPr defaultRowHeight="14.25" x14ac:dyDescent="0.2"/>
  <cols>
    <col min="1" max="1" width="11.375" bestFit="1" customWidth="1"/>
    <col min="2" max="6" width="7.25" customWidth="1"/>
    <col min="7" max="7" width="7.625" customWidth="1"/>
    <col min="8" max="10" width="7.25" customWidth="1"/>
    <col min="11" max="13" width="7.875" customWidth="1"/>
    <col min="14" max="16" width="7.25" customWidth="1"/>
    <col min="17" max="18" width="7.625" customWidth="1"/>
    <col min="19" max="19" width="7.25" customWidth="1"/>
    <col min="20" max="20" width="7.875" customWidth="1"/>
    <col min="21" max="25" width="7.25" customWidth="1"/>
    <col min="26" max="26" width="7.875" customWidth="1"/>
    <col min="27" max="27" width="7.625" customWidth="1"/>
    <col min="28" max="29" width="8.375" customWidth="1"/>
    <col min="30" max="30" width="7.875" customWidth="1"/>
    <col min="31" max="32" width="7.25" customWidth="1"/>
    <col min="33" max="34" width="7.875" customWidth="1"/>
    <col min="35" max="42" width="7.25" customWidth="1"/>
    <col min="43" max="44" width="7.875" customWidth="1"/>
    <col min="45" max="45" width="7.25" customWidth="1"/>
    <col min="48" max="48" width="9.875" bestFit="1" customWidth="1"/>
    <col min="108" max="108" width="9.875" bestFit="1" customWidth="1"/>
    <col min="109" max="115" width="6.875" customWidth="1"/>
    <col min="117" max="121" width="6.875" customWidth="1"/>
    <col min="123" max="124" width="6.875" customWidth="1"/>
    <col min="125" max="125" width="5.875" customWidth="1"/>
    <col min="126" max="128" width="6.875" customWidth="1"/>
    <col min="129" max="129" width="7.875" customWidth="1"/>
    <col min="130" max="145" width="6.875" customWidth="1"/>
    <col min="146" max="146" width="5.875" customWidth="1"/>
    <col min="147" max="158" width="6.875" customWidth="1"/>
  </cols>
  <sheetData>
    <row r="1" spans="1:45" x14ac:dyDescent="0.2">
      <c r="A1" s="4" t="s">
        <v>132</v>
      </c>
      <c r="B1" s="4" t="s">
        <v>74</v>
      </c>
      <c r="C1" s="4" t="s">
        <v>76</v>
      </c>
      <c r="D1" s="4" t="s">
        <v>81</v>
      </c>
      <c r="E1" s="4" t="s">
        <v>104</v>
      </c>
      <c r="F1" s="4" t="s">
        <v>79</v>
      </c>
      <c r="G1" s="4" t="s">
        <v>73</v>
      </c>
      <c r="H1" s="4" t="s">
        <v>91</v>
      </c>
      <c r="I1" s="4" t="s">
        <v>92</v>
      </c>
      <c r="J1" s="4" t="s">
        <v>93</v>
      </c>
      <c r="K1" s="4" t="s">
        <v>100</v>
      </c>
      <c r="L1" s="4" t="s">
        <v>101</v>
      </c>
      <c r="M1" s="4" t="s">
        <v>102</v>
      </c>
      <c r="N1" s="4" t="s">
        <v>82</v>
      </c>
      <c r="O1" s="4" t="s">
        <v>83</v>
      </c>
      <c r="P1" s="4" t="s">
        <v>84</v>
      </c>
      <c r="Q1" s="4" t="s">
        <v>110</v>
      </c>
      <c r="R1" s="4" t="s">
        <v>108</v>
      </c>
      <c r="S1" s="4" t="s">
        <v>75</v>
      </c>
      <c r="T1" s="4" t="s">
        <v>111</v>
      </c>
      <c r="U1" s="4" t="s">
        <v>77</v>
      </c>
      <c r="V1" s="4" t="s">
        <v>80</v>
      </c>
      <c r="W1" s="4" t="s">
        <v>86</v>
      </c>
      <c r="X1" s="4" t="s">
        <v>114</v>
      </c>
      <c r="Y1" s="4" t="s">
        <v>78</v>
      </c>
      <c r="Z1" s="4" t="s">
        <v>113</v>
      </c>
      <c r="AA1" s="4" t="s">
        <v>99</v>
      </c>
      <c r="AB1" s="4" t="s">
        <v>94</v>
      </c>
      <c r="AC1" s="4" t="s">
        <v>187</v>
      </c>
      <c r="AD1" s="4" t="s">
        <v>98</v>
      </c>
      <c r="AE1" s="4" t="s">
        <v>117</v>
      </c>
      <c r="AF1" s="4" t="s">
        <v>112</v>
      </c>
      <c r="AG1" s="4" t="s">
        <v>109</v>
      </c>
      <c r="AH1" s="4" t="s">
        <v>106</v>
      </c>
      <c r="AI1" s="4" t="s">
        <v>85</v>
      </c>
      <c r="AJ1" s="4" t="s">
        <v>95</v>
      </c>
      <c r="AK1" s="4" t="s">
        <v>141</v>
      </c>
      <c r="AL1" s="4" t="s">
        <v>96</v>
      </c>
      <c r="AM1" s="4" t="s">
        <v>88</v>
      </c>
      <c r="AN1" s="4" t="s">
        <v>90</v>
      </c>
      <c r="AO1" s="4" t="s">
        <v>105</v>
      </c>
      <c r="AP1" s="4" t="s">
        <v>188</v>
      </c>
      <c r="AQ1" s="4" t="s">
        <v>97</v>
      </c>
      <c r="AR1" s="4" t="s">
        <v>116</v>
      </c>
      <c r="AS1" s="4" t="s">
        <v>89</v>
      </c>
    </row>
    <row r="2" spans="1:45" x14ac:dyDescent="0.2">
      <c r="A2" s="2">
        <v>43524</v>
      </c>
      <c r="B2" s="6">
        <f>IFERROR((('raw-PriceList'!B2/'raw-PriceList'!B3)-1),"")</f>
        <v>-3.5128261252762583E-3</v>
      </c>
      <c r="C2" s="6">
        <f>IFERROR((('raw-PriceList'!C2/'raw-PriceList'!C3)-1),"")</f>
        <v>-1.1109453300022443E-2</v>
      </c>
      <c r="D2" s="6">
        <f>IFERROR((('raw-PriceList'!D2/'raw-PriceList'!D3)-1),"")</f>
        <v>-3.373198405397182E-3</v>
      </c>
      <c r="E2" s="6">
        <f>IFERROR((('raw-PriceList'!F2/'raw-PriceList'!F3)-1),"")</f>
        <v>1.0969174975679064E-3</v>
      </c>
      <c r="F2" s="6">
        <f>IFERROR((('raw-PriceList'!G2/'raw-PriceList'!G3)-1),"")</f>
        <v>-1.1368598080342407E-3</v>
      </c>
      <c r="G2" s="6">
        <f>IFERROR((('raw-PriceList'!H2/'raw-PriceList'!H3)-1),"")</f>
        <v>-1.7722656071286536E-2</v>
      </c>
      <c r="H2" s="6">
        <f>IFERROR((('raw-PriceList'!J2/'raw-PriceList'!J3)-1),"")</f>
        <v>3.039751685754033E-2</v>
      </c>
      <c r="I2" s="6">
        <f>IFERROR((('raw-PriceList'!K2/'raw-PriceList'!K3)-1),"")</f>
        <v>3.3940587272017986E-2</v>
      </c>
      <c r="J2" s="6">
        <f>IFERROR((('raw-PriceList'!L2/'raw-PriceList'!L3)-1),"")</f>
        <v>2.7479705859035475E-2</v>
      </c>
      <c r="K2" s="6">
        <f>IFERROR((('raw-PriceList'!M2/'raw-PriceList'!M3)-1),"")</f>
        <v>4.8578088160731614E-2</v>
      </c>
      <c r="L2" s="6">
        <f>IFERROR((('raw-PriceList'!N2/'raw-PriceList'!N3)-1),"")</f>
        <v>5.7895648811596701E-2</v>
      </c>
      <c r="M2" s="6">
        <f>IFERROR((('raw-PriceList'!O2/'raw-PriceList'!O3)-1),"")</f>
        <v>3.9854204917567415E-2</v>
      </c>
      <c r="N2" s="6">
        <f>IFERROR((('raw-PriceList'!P2/'raw-PriceList'!P3)-1),"")</f>
        <v>-1.4052426459614242E-3</v>
      </c>
      <c r="O2" s="6">
        <f>IFERROR((('raw-PriceList'!Q2/'raw-PriceList'!Q3)-1),"")</f>
        <v>-8.3555664296250942E-3</v>
      </c>
      <c r="P2" s="6">
        <f>IFERROR((('raw-PriceList'!R2/'raw-PriceList'!R3)-1),"")</f>
        <v>3.8528951221206142E-4</v>
      </c>
      <c r="Q2" s="6">
        <f>IFERROR((('raw-PriceList'!S2/'raw-PriceList'!S3)-1),"")</f>
        <v>2.3347613219094399E-2</v>
      </c>
      <c r="R2" s="6">
        <f>IFERROR((('raw-PriceList'!T2/'raw-PriceList'!T3)-1),"")</f>
        <v>1.6314260767516187E-2</v>
      </c>
      <c r="S2" s="6">
        <f>IFERROR((('raw-PriceList'!U2/'raw-PriceList'!U3)-1),"")</f>
        <v>-4.396842054076644E-3</v>
      </c>
      <c r="T2" s="6">
        <f>IFERROR((('raw-PriceList'!V2/'raw-PriceList'!V3)-1),"")</f>
        <v>3.1627025163736722E-2</v>
      </c>
      <c r="U2" s="6">
        <f>IFERROR((('raw-PriceList'!W2/'raw-PriceList'!W3)-1),"")</f>
        <v>-1.5053667186714192E-2</v>
      </c>
      <c r="V2" s="6">
        <f>IFERROR((('raw-PriceList'!X2/'raw-PriceList'!X3)-1),"")</f>
        <v>-1.3268607715846148E-3</v>
      </c>
      <c r="W2" s="6">
        <f>IFERROR((('raw-PriceList'!Y2/'raw-PriceList'!Y3)-1),"")</f>
        <v>4.5827359289850156E-2</v>
      </c>
      <c r="X2" s="6">
        <f>IFERROR((('raw-PriceList'!Z2/'raw-PriceList'!Z3)-1),"")</f>
        <v>2.0636744451556277E-2</v>
      </c>
      <c r="Y2" s="6">
        <f>IFERROR((('raw-PriceList'!AA2/'raw-PriceList'!AA3)-1),"")</f>
        <v>-3.2759958621026986E-3</v>
      </c>
      <c r="Z2" s="6">
        <f>IFERROR((('raw-PriceList'!AB2/'raw-PriceList'!AB3)-1),"")</f>
        <v>-7.4952065539480861E-3</v>
      </c>
      <c r="AA2" s="6">
        <f>IFERROR((('raw-PriceList'!AC2/'raw-PriceList'!AC3)-1),"")</f>
        <v>3.5727939796203367E-2</v>
      </c>
      <c r="AB2" s="6">
        <f>IFERROR((('raw-PriceList'!AD2/'raw-PriceList'!AD3)-1),"")</f>
        <v>3.2479136380963114E-2</v>
      </c>
      <c r="AC2" s="6">
        <f>IFERROR((('raw-PriceList'!AE2/'raw-PriceList'!AE3)-1),"")</f>
        <v>3.2479136380963114E-2</v>
      </c>
      <c r="AD2" s="6">
        <f>IFERROR((('raw-PriceList'!AF2/'raw-PriceList'!AF3)-1),"")</f>
        <v>4.8828271050008309E-2</v>
      </c>
      <c r="AE2" s="6">
        <f>IFERROR((('raw-PriceList'!AG2/'raw-PriceList'!AG3)-1),"")</f>
        <v>3.6576959312055735E-3</v>
      </c>
      <c r="AF2" s="6">
        <f>IFERROR((('raw-PriceList'!AH2/'raw-PriceList'!AH3)-1),"")</f>
        <v>8.6040572956604944E-3</v>
      </c>
      <c r="AG2" s="6">
        <f>IFERROR((('raw-PriceList'!AJ2/'raw-PriceList'!AJ3)-1),"")</f>
        <v>2.0743145105022176E-2</v>
      </c>
      <c r="AH2" s="6">
        <f>IFERROR((('raw-PriceList'!AK2/'raw-PriceList'!AK3)-1),"")</f>
        <v>2.8146342250083389E-2</v>
      </c>
      <c r="AI2" s="6">
        <f>IFERROR((('raw-PriceList'!AM2/'raw-PriceList'!AM3)-1),"")</f>
        <v>3.6962068160097949E-3</v>
      </c>
      <c r="AJ2" s="6">
        <f>IFERROR((('raw-PriceList'!AN2/'raw-PriceList'!AN3)-1),"")</f>
        <v>3.5561336126024523E-2</v>
      </c>
      <c r="AK2" s="6">
        <f>IFERROR((('raw-PriceList'!AO2/'raw-PriceList'!AO3)-1),"")</f>
        <v>-2.0712510356246661E-4</v>
      </c>
      <c r="AL2" s="6">
        <f>IFERROR((('raw-PriceList'!AP2/'raw-PriceList'!AP3)-1),"")</f>
        <v>2.8640055088850813E-2</v>
      </c>
      <c r="AM2" s="6">
        <f>IFERROR((('raw-PriceList'!AQ2/'raw-PriceList'!AQ3)-1),"")</f>
        <v>3.691549092218005E-2</v>
      </c>
      <c r="AN2" s="6">
        <f>IFERROR((('raw-PriceList'!AR2/'raw-PriceList'!AR3)-1),"")</f>
        <v>3.2822807532041365E-2</v>
      </c>
      <c r="AO2" s="6">
        <f>IFERROR((('raw-PriceList'!AS2/'raw-PriceList'!AS3)-1),"")</f>
        <v>1.8062811971952808E-3</v>
      </c>
      <c r="AP2" s="6">
        <f>IFERROR((('raw-PriceList'!AT2/'raw-PriceList'!AT3)-1),"")</f>
        <v>1.8062811971952808E-3</v>
      </c>
      <c r="AQ2" s="6">
        <f>IFERROR((('raw-PriceList'!AU2/'raw-PriceList'!AU3)-1),"")</f>
        <v>4.953173173575931E-2</v>
      </c>
      <c r="AR2" s="6">
        <f>IFERROR((('raw-PriceList'!AV2/'raw-PriceList'!AV3)-1),"")</f>
        <v>1.6340415019082455E-2</v>
      </c>
      <c r="AS2" s="6">
        <f>IFERROR((('raw-PriceList'!AW2/'raw-PriceList'!AW3)-1),"")</f>
        <v>3.7700867730468879E-2</v>
      </c>
    </row>
    <row r="3" spans="1:45" x14ac:dyDescent="0.2">
      <c r="A3" s="2">
        <v>43496</v>
      </c>
      <c r="B3" s="6">
        <f>IFERROR((('raw-PriceList'!B3/'raw-PriceList'!B4)-1),"")</f>
        <v>1.6121486560712217E-2</v>
      </c>
      <c r="C3" s="6">
        <f>IFERROR((('raw-PriceList'!C3/'raw-PriceList'!C4)-1),"")</f>
        <v>1.8633944942072045E-2</v>
      </c>
      <c r="D3" s="6">
        <f>IFERROR((('raw-PriceList'!D3/'raw-PriceList'!D4)-1),"")</f>
        <v>1.1111983616205912E-2</v>
      </c>
      <c r="E3" s="6">
        <f>IFERROR((('raw-PriceList'!F3/'raw-PriceList'!F4)-1),"")</f>
        <v>9.9537492320265208E-3</v>
      </c>
      <c r="F3" s="6">
        <f>IFERROR((('raw-PriceList'!G3/'raw-PriceList'!G4)-1),"")</f>
        <v>6.2346935892343414E-3</v>
      </c>
      <c r="G3" s="6">
        <f>IFERROR((('raw-PriceList'!H3/'raw-PriceList'!H4)-1),"")</f>
        <v>1.7754562562974918E-3</v>
      </c>
      <c r="H3" s="6">
        <f>IFERROR((('raw-PriceList'!J3/'raw-PriceList'!J4)-1),"")</f>
        <v>7.5396171782999621E-2</v>
      </c>
      <c r="I3" s="6">
        <f>IFERROR((('raw-PriceList'!K3/'raw-PriceList'!K4)-1),"")</f>
        <v>8.8375525052435178E-2</v>
      </c>
      <c r="J3" s="6">
        <f>IFERROR((('raw-PriceList'!L3/'raw-PriceList'!L4)-1),"")</f>
        <v>6.4228143483341826E-2</v>
      </c>
      <c r="K3" s="6">
        <f>IFERROR((('raw-PriceList'!M3/'raw-PriceList'!M4)-1),"")</f>
        <v>0.11712393996767911</v>
      </c>
      <c r="L3" s="6">
        <f>IFERROR((('raw-PriceList'!N3/'raw-PriceList'!N4)-1),"")</f>
        <v>0.12554027551876756</v>
      </c>
      <c r="M3" s="6">
        <f>IFERROR((('raw-PriceList'!O3/'raw-PriceList'!O4)-1),"")</f>
        <v>0.11168860682782311</v>
      </c>
      <c r="N3" s="6">
        <f>IFERROR((('raw-PriceList'!P3/'raw-PriceList'!P4)-1),"")</f>
        <v>2.7753804942530325E-2</v>
      </c>
      <c r="O3" s="6">
        <f>IFERROR((('raw-PriceList'!Q3/'raw-PriceList'!Q4)-1),"")</f>
        <v>4.0275666555372513E-2</v>
      </c>
      <c r="P3" s="6">
        <f>IFERROR((('raw-PriceList'!R3/'raw-PriceList'!R4)-1),"")</f>
        <v>1.3336780424967332E-2</v>
      </c>
      <c r="Q3" s="6">
        <f>IFERROR((('raw-PriceList'!S3/'raw-PriceList'!S4)-1),"")</f>
        <v>7.4649684138232475E-2</v>
      </c>
      <c r="R3" s="6">
        <f>IFERROR((('raw-PriceList'!T3/'raw-PriceList'!T4)-1),"")</f>
        <v>7.5701766029357298E-2</v>
      </c>
      <c r="S3" s="6">
        <f>IFERROR((('raw-PriceList'!U3/'raw-PriceList'!U4)-1),"")</f>
        <v>4.4123034019876162E-3</v>
      </c>
      <c r="T3" s="6">
        <f>IFERROR((('raw-PriceList'!V3/'raw-PriceList'!V4)-1),"")</f>
        <v>6.6840476848150754E-2</v>
      </c>
      <c r="U3" s="6">
        <f>IFERROR((('raw-PriceList'!W3/'raw-PriceList'!W4)-1),"")</f>
        <v>4.8131125896779814E-3</v>
      </c>
      <c r="V3" s="6">
        <f>IFERROR((('raw-PriceList'!X3/'raw-PriceList'!X4)-1),"")</f>
        <v>2.0036770117899394E-3</v>
      </c>
      <c r="W3" s="6">
        <f>IFERROR((('raw-PriceList'!Y3/'raw-PriceList'!Y4)-1),"")</f>
        <v>6.3175082881563593E-2</v>
      </c>
      <c r="X3" s="6">
        <f>IFERROR((('raw-PriceList'!Z3/'raw-PriceList'!Z4)-1),"")</f>
        <v>6.8404174017632657E-2</v>
      </c>
      <c r="Y3" s="6">
        <f>IFERROR((('raw-PriceList'!AA3/'raw-PriceList'!AA4)-1),"")</f>
        <v>8.3524923859030764E-3</v>
      </c>
      <c r="Z3" s="6">
        <f>IFERROR((('raw-PriceList'!AB3/'raw-PriceList'!AB4)-1),"")</f>
        <v>9.4638427780957768E-2</v>
      </c>
      <c r="AA3" s="6">
        <f>IFERROR((('raw-PriceList'!AC3/'raw-PriceList'!AC4)-1),"")</f>
        <v>9.8323886522374782E-2</v>
      </c>
      <c r="AB3" s="6">
        <f>IFERROR((('raw-PriceList'!AD3/'raw-PriceList'!AD4)-1),"")</f>
        <v>7.9205322012253276E-2</v>
      </c>
      <c r="AC3" s="6">
        <f>IFERROR((('raw-PriceList'!AE3/'raw-PriceList'!AE4)-1),"")</f>
        <v>7.9205322012253276E-2</v>
      </c>
      <c r="AD3" s="6">
        <f>IFERROR((('raw-PriceList'!AF3/'raw-PriceList'!AF4)-1),"")</f>
        <v>0.1106369066413293</v>
      </c>
      <c r="AE3" s="6">
        <f>IFERROR((('raw-PriceList'!AG3/'raw-PriceList'!AG4)-1),"")</f>
        <v>0.10557351667945403</v>
      </c>
      <c r="AF3" s="6">
        <f>IFERROR((('raw-PriceList'!AH3/'raw-PriceList'!AH4)-1),"")</f>
        <v>7.3724513905164768E-2</v>
      </c>
      <c r="AG3" s="6">
        <f>IFERROR((('raw-PriceList'!AJ3/'raw-PriceList'!AJ4)-1),"")</f>
        <v>7.4775836201337986E-2</v>
      </c>
      <c r="AH3" s="6">
        <f>IFERROR((('raw-PriceList'!AK3/'raw-PriceList'!AK4)-1),"")</f>
        <v>7.9898044685269953E-2</v>
      </c>
      <c r="AI3" s="6">
        <f>IFERROR((('raw-PriceList'!AM3/'raw-PriceList'!AM4)-1),"")</f>
        <v>4.7008409721835953E-3</v>
      </c>
      <c r="AJ3" s="6">
        <f>IFERROR((('raw-PriceList'!AN3/'raw-PriceList'!AN4)-1),"")</f>
        <v>8.5387988114192792E-2</v>
      </c>
      <c r="AK3" s="6">
        <f>IFERROR((('raw-PriceList'!AO3/'raw-PriceList'!AO4)-1),"")</f>
        <v>7.5125208681134925E-3</v>
      </c>
      <c r="AL3" s="6">
        <f>IFERROR((('raw-PriceList'!AP3/'raw-PriceList'!AP4)-1),"")</f>
        <v>6.9537949819500344E-2</v>
      </c>
      <c r="AM3" s="6">
        <f>IFERROR((('raw-PriceList'!AQ3/'raw-PriceList'!AQ4)-1),"")</f>
        <v>9.1967709178636836E-2</v>
      </c>
      <c r="AN3" s="6">
        <f>IFERROR((('raw-PriceList'!AR3/'raw-PriceList'!AR4)-1),"")</f>
        <v>8.0662130663227805E-2</v>
      </c>
      <c r="AO3" s="6">
        <f>IFERROR((('raw-PriceList'!AS3/'raw-PriceList'!AS4)-1),"")</f>
        <v>3.6094019255420662E-2</v>
      </c>
      <c r="AP3" s="6">
        <f>IFERROR((('raw-PriceList'!AT3/'raw-PriceList'!AT4)-1),"")</f>
        <v>3.6094019255420662E-2</v>
      </c>
      <c r="AQ3" s="6">
        <f>IFERROR((('raw-PriceList'!AU3/'raw-PriceList'!AU4)-1),"")</f>
        <v>0.11553140454541677</v>
      </c>
      <c r="AR3" s="6">
        <f>IFERROR((('raw-PriceList'!AV3/'raw-PriceList'!AV4)-1),"")</f>
        <v>7.6661500739310773E-2</v>
      </c>
      <c r="AS3" s="6">
        <f>IFERROR((('raw-PriceList'!AW3/'raw-PriceList'!AW4)-1),"")</f>
        <v>6.1036729153665537E-2</v>
      </c>
    </row>
    <row r="4" spans="1:45" x14ac:dyDescent="0.2">
      <c r="A4" s="2">
        <v>43465</v>
      </c>
      <c r="B4" s="6">
        <f>IFERROR((('raw-PriceList'!B4/'raw-PriceList'!B5)-1),"")</f>
        <v>1.4963693260145128E-2</v>
      </c>
      <c r="C4" s="6">
        <f>IFERROR((('raw-PriceList'!C4/'raw-PriceList'!C5)-1),"")</f>
        <v>3.6972955883621372E-2</v>
      </c>
      <c r="D4" s="6">
        <f>IFERROR((('raw-PriceList'!D4/'raw-PriceList'!D5)-1),"")</f>
        <v>1.368779610959292E-2</v>
      </c>
      <c r="E4" s="6">
        <f>IFERROR((('raw-PriceList'!F4/'raw-PriceList'!F5)-1),"")</f>
        <v>-9.3198956104489916E-3</v>
      </c>
      <c r="F4" s="6">
        <f>IFERROR((('raw-PriceList'!G4/'raw-PriceList'!G5)-1),"")</f>
        <v>6.2740666192453443E-3</v>
      </c>
      <c r="G4" s="6">
        <f>IFERROR((('raw-PriceList'!H4/'raw-PriceList'!H5)-1),"")</f>
        <v>7.2758120417113492E-2</v>
      </c>
      <c r="H4" s="6">
        <f>IFERROR((('raw-PriceList'!J4/'raw-PriceList'!J5)-1),"")</f>
        <v>-9.1314990671503171E-2</v>
      </c>
      <c r="I4" s="6">
        <f>IFERROR((('raw-PriceList'!K4/'raw-PriceList'!K5)-1),"")</f>
        <v>-8.4393421666778656E-2</v>
      </c>
      <c r="J4" s="6">
        <f>IFERROR((('raw-PriceList'!L4/'raw-PriceList'!L5)-1),"")</f>
        <v>-9.5889426665216271E-2</v>
      </c>
      <c r="K4" s="6">
        <f>IFERROR((('raw-PriceList'!M4/'raw-PriceList'!M5)-1),"")</f>
        <v>-0.11615230887128247</v>
      </c>
      <c r="L4" s="6">
        <f>IFERROR((('raw-PriceList'!N4/'raw-PriceList'!N5)-1),"")</f>
        <v>-0.1097855662911984</v>
      </c>
      <c r="M4" s="6">
        <f>IFERROR((('raw-PriceList'!O4/'raw-PriceList'!O5)-1),"")</f>
        <v>-0.12087359154082788</v>
      </c>
      <c r="N4" s="6">
        <f>IFERROR((('raw-PriceList'!P4/'raw-PriceList'!P5)-1),"")</f>
        <v>9.1299109381242083E-3</v>
      </c>
      <c r="O4" s="6">
        <f>IFERROR((('raw-PriceList'!Q4/'raw-PriceList'!Q5)-1),"")</f>
        <v>2.0105656371525837E-2</v>
      </c>
      <c r="P4" s="6">
        <f>IFERROR((('raw-PriceList'!R4/'raw-PriceList'!R5)-1),"")</f>
        <v>3.3431856684569272E-3</v>
      </c>
      <c r="Q4" s="6">
        <f>IFERROR((('raw-PriceList'!S4/'raw-PriceList'!S5)-1),"")</f>
        <v>-6.6685064582218012E-2</v>
      </c>
      <c r="R4" s="6">
        <f>IFERROR((('raw-PriceList'!T4/'raw-PriceList'!T5)-1),"")</f>
        <v>-5.8861267074014845E-2</v>
      </c>
      <c r="S4" s="6">
        <f>IFERROR((('raw-PriceList'!U4/'raw-PriceList'!U5)-1),"")</f>
        <v>1.6648820254729912E-2</v>
      </c>
      <c r="T4" s="6">
        <f>IFERROR((('raw-PriceList'!V4/'raw-PriceList'!V5)-1),"")</f>
        <v>-5.4644260493827868E-2</v>
      </c>
      <c r="U4" s="6">
        <f>IFERROR((('raw-PriceList'!W4/'raw-PriceList'!W5)-1),"")</f>
        <v>5.1226814873994941E-2</v>
      </c>
      <c r="V4" s="6">
        <f>IFERROR((('raw-PriceList'!X4/'raw-PriceList'!X5)-1),"")</f>
        <v>4.669112185196278E-3</v>
      </c>
      <c r="W4" s="6">
        <f>IFERROR((('raw-PriceList'!Y4/'raw-PriceList'!Y5)-1),"")</f>
        <v>-9.2619164010991573E-2</v>
      </c>
      <c r="X4" s="6">
        <f>IFERROR((('raw-PriceList'!Z4/'raw-PriceList'!Z5)-1),"")</f>
        <v>-4.5560616612739246E-2</v>
      </c>
      <c r="Y4" s="6">
        <f>IFERROR((('raw-PriceList'!AA4/'raw-PriceList'!AA5)-1),"")</f>
        <v>1.1387086699548021E-2</v>
      </c>
      <c r="Z4" s="6">
        <f>IFERROR((('raw-PriceList'!AB4/'raw-PriceList'!AB5)-1),"")</f>
        <v>-4.8122916917531122E-2</v>
      </c>
      <c r="AA4" s="6">
        <f>IFERROR((('raw-PriceList'!AC4/'raw-PriceList'!AC5)-1),"")</f>
        <v>-0.11396319371739438</v>
      </c>
      <c r="AB4" s="6">
        <f>IFERROR((('raw-PriceList'!AD4/'raw-PriceList'!AD5)-1),"")</f>
        <v>-9.3348263056600489E-2</v>
      </c>
      <c r="AC4" s="6">
        <f>IFERROR((('raw-PriceList'!AE4/'raw-PriceList'!AE5)-1),"")</f>
        <v>-9.3348263056600489E-2</v>
      </c>
      <c r="AD4" s="6">
        <f>IFERROR((('raw-PriceList'!AF4/'raw-PriceList'!AF5)-1),"")</f>
        <v>-9.2473286400736154E-2</v>
      </c>
      <c r="AE4" s="6">
        <f>IFERROR((('raw-PriceList'!AG4/'raw-PriceList'!AG5)-1),"")</f>
        <v>-8.5670647745217932E-2</v>
      </c>
      <c r="AF4" s="6">
        <f>IFERROR((('raw-PriceList'!AH4/'raw-PriceList'!AH5)-1),"")</f>
        <v>-7.590884378770868E-2</v>
      </c>
      <c r="AG4" s="6">
        <f>IFERROR((('raw-PriceList'!AJ4/'raw-PriceList'!AJ5)-1),"")</f>
        <v>-7.1400338957783305E-2</v>
      </c>
      <c r="AH4" s="6">
        <f>IFERROR((('raw-PriceList'!AK4/'raw-PriceList'!AK5)-1),"")</f>
        <v>-7.9454440060942266E-2</v>
      </c>
      <c r="AI4" s="6">
        <f>IFERROR((('raw-PriceList'!AM4/'raw-PriceList'!AM5)-1),"")</f>
        <v>1.0111714820516315E-2</v>
      </c>
      <c r="AJ4" s="6">
        <f>IFERROR((('raw-PriceList'!AN4/'raw-PriceList'!AN5)-1),"")</f>
        <v>-9.7082406755332751E-2</v>
      </c>
      <c r="AK4" s="6">
        <f>IFERROR((('raw-PriceList'!AO4/'raw-PriceList'!AO5)-1),"")</f>
        <v>-5.3912691535343837E-3</v>
      </c>
      <c r="AL4" s="6">
        <f>IFERROR((('raw-PriceList'!AP4/'raw-PriceList'!AP5)-1),"")</f>
        <v>-9.8128386953732161E-2</v>
      </c>
      <c r="AM4" s="6">
        <f>IFERROR((('raw-PriceList'!AQ4/'raw-PriceList'!AQ5)-1),"")</f>
        <v>-8.7871768399274353E-2</v>
      </c>
      <c r="AN4" s="6">
        <f>IFERROR((('raw-PriceList'!AR4/'raw-PriceList'!AR5)-1),"")</f>
        <v>-9.3215729789752899E-2</v>
      </c>
      <c r="AO4" s="6">
        <f>IFERROR((('raw-PriceList'!AS4/'raw-PriceList'!AS5)-1),"")</f>
        <v>6.4850322921607972E-3</v>
      </c>
      <c r="AP4" s="6">
        <f>IFERROR((('raw-PriceList'!AT4/'raw-PriceList'!AT5)-1),"")</f>
        <v>6.4850322921607972E-3</v>
      </c>
      <c r="AQ4" s="6">
        <f>IFERROR((('raw-PriceList'!AU4/'raw-PriceList'!AU5)-1),"")</f>
        <v>-0.11132085097699107</v>
      </c>
      <c r="AR4" s="6">
        <f>IFERROR((('raw-PriceList'!AV4/'raw-PriceList'!AV5)-1),"")</f>
        <v>-5.9543925311077772E-2</v>
      </c>
      <c r="AS4" s="6">
        <f>IFERROR((('raw-PriceList'!AW4/'raw-PriceList'!AW5)-1),"")</f>
        <v>-9.5461259714008873E-2</v>
      </c>
    </row>
    <row r="5" spans="1:45" x14ac:dyDescent="0.2">
      <c r="A5" s="2">
        <v>43434</v>
      </c>
      <c r="B5" s="6">
        <f>IFERROR((('raw-PriceList'!B5/'raw-PriceList'!B6)-1),"")</f>
        <v>2.5155770005389488E-3</v>
      </c>
      <c r="C5" s="6">
        <f>IFERROR((('raw-PriceList'!C5/'raw-PriceList'!C6)-1),"")</f>
        <v>5.9746881429778576E-4</v>
      </c>
      <c r="D5" s="6">
        <f>IFERROR((('raw-PriceList'!D5/'raw-PriceList'!D6)-1),"")</f>
        <v>3.8637116349173883E-3</v>
      </c>
      <c r="E5" s="6">
        <f>IFERROR((('raw-PriceList'!F5/'raw-PriceList'!F6)-1),"")</f>
        <v>4.2421502706360137E-3</v>
      </c>
      <c r="F5" s="6">
        <f>IFERROR((('raw-PriceList'!G5/'raw-PriceList'!G6)-1),"")</f>
        <v>1.7970215067781847E-3</v>
      </c>
      <c r="G5" s="6">
        <f>IFERROR((('raw-PriceList'!H5/'raw-PriceList'!H6)-1),"")</f>
        <v>2.1764721282942601E-2</v>
      </c>
      <c r="H5" s="6">
        <f>IFERROR((('raw-PriceList'!J5/'raw-PriceList'!J6)-1),"")</f>
        <v>1.9185167884743004E-2</v>
      </c>
      <c r="I5" s="6">
        <f>IFERROR((('raw-PriceList'!K5/'raw-PriceList'!K6)-1),"")</f>
        <v>-5.1406094807848746E-4</v>
      </c>
      <c r="J5" s="6">
        <f>IFERROR((('raw-PriceList'!L5/'raw-PriceList'!L6)-1),"")</f>
        <v>3.590626629869309E-2</v>
      </c>
      <c r="K5" s="6">
        <f>IFERROR((('raw-PriceList'!M5/'raw-PriceList'!M6)-1),"")</f>
        <v>2.195519886541919E-2</v>
      </c>
      <c r="L5" s="6">
        <f>IFERROR((('raw-PriceList'!N5/'raw-PriceList'!N6)-1),"")</f>
        <v>1.973727041120199E-2</v>
      </c>
      <c r="M5" s="6">
        <f>IFERROR((('raw-PriceList'!O5/'raw-PriceList'!O6)-1),"")</f>
        <v>2.3554753533891581E-2</v>
      </c>
      <c r="N5" s="6">
        <f>IFERROR((('raw-PriceList'!P5/'raw-PriceList'!P6)-1),"")</f>
        <v>-5.3179117647484953E-3</v>
      </c>
      <c r="O5" s="6">
        <f>IFERROR((('raw-PriceList'!Q5/'raw-PriceList'!Q6)-1),"")</f>
        <v>-1.2163393787507859E-2</v>
      </c>
      <c r="P5" s="6">
        <f>IFERROR((('raw-PriceList'!R5/'raw-PriceList'!R6)-1),"")</f>
        <v>-3.20223482755988E-3</v>
      </c>
      <c r="Q5" s="6">
        <f>IFERROR((('raw-PriceList'!S5/'raw-PriceList'!S6)-1),"")</f>
        <v>5.0799027154762033E-3</v>
      </c>
      <c r="R5" s="6">
        <f>IFERROR((('raw-PriceList'!T5/'raw-PriceList'!T6)-1),"")</f>
        <v>1.4676146971401405E-2</v>
      </c>
      <c r="S5" s="6">
        <f>IFERROR((('raw-PriceList'!U5/'raw-PriceList'!U6)-1),"")</f>
        <v>7.7584886314348012E-3</v>
      </c>
      <c r="T5" s="6">
        <f>IFERROR((('raw-PriceList'!V5/'raw-PriceList'!V6)-1),"")</f>
        <v>-6.7646760620500013E-3</v>
      </c>
      <c r="U5" s="6">
        <f>IFERROR((('raw-PriceList'!W5/'raw-PriceList'!W6)-1),"")</f>
        <v>1.6009446754429391E-2</v>
      </c>
      <c r="V5" s="6">
        <f>IFERROR((('raw-PriceList'!X5/'raw-PriceList'!X6)-1),"")</f>
        <v>2.1729912015209241E-3</v>
      </c>
      <c r="W5" s="6">
        <f>IFERROR((('raw-PriceList'!Y5/'raw-PriceList'!Y6)-1),"")</f>
        <v>4.1329510715901518E-2</v>
      </c>
      <c r="X5" s="6">
        <f>IFERROR((('raw-PriceList'!Z5/'raw-PriceList'!Z6)-1),"")</f>
        <v>2.8813742221849514E-2</v>
      </c>
      <c r="Y5" s="6">
        <f>IFERROR((('raw-PriceList'!AA5/'raw-PriceList'!AA6)-1),"")</f>
        <v>6.3342745629806352E-3</v>
      </c>
      <c r="Z5" s="6">
        <f>IFERROR((('raw-PriceList'!AB5/'raw-PriceList'!AB6)-1),"")</f>
        <v>4.0242110137554299E-2</v>
      </c>
      <c r="AA5" s="6">
        <f>IFERROR((('raw-PriceList'!AC5/'raw-PriceList'!AC6)-1),"")</f>
        <v>2.2751426839537459E-2</v>
      </c>
      <c r="AB5" s="6">
        <f>IFERROR((('raw-PriceList'!AD5/'raw-PriceList'!AD6)-1),"")</f>
        <v>1.8816546171095627E-2</v>
      </c>
      <c r="AC5" s="6">
        <f>IFERROR((('raw-PriceList'!AE5/'raw-PriceList'!AE6)-1),"")</f>
        <v>1.8816546171095627E-2</v>
      </c>
      <c r="AD5" s="6">
        <f>IFERROR((('raw-PriceList'!AF5/'raw-PriceList'!AF6)-1),"")</f>
        <v>2.4818574050981868E-2</v>
      </c>
      <c r="AE5" s="6">
        <f>IFERROR((('raw-PriceList'!AG5/'raw-PriceList'!AG6)-1),"")</f>
        <v>-7.3514897010402702E-3</v>
      </c>
      <c r="AF5" s="6">
        <f>IFERROR((('raw-PriceList'!AH5/'raw-PriceList'!AH6)-1),"")</f>
        <v>2.4196701934140696E-2</v>
      </c>
      <c r="AG5" s="6">
        <f>IFERROR((('raw-PriceList'!AJ5/'raw-PriceList'!AJ6)-1),"")</f>
        <v>1.129950115244549E-2</v>
      </c>
      <c r="AH5" s="6">
        <f>IFERROR((('raw-PriceList'!AK5/'raw-PriceList'!AK6)-1),"")</f>
        <v>1.7308827718158559E-2</v>
      </c>
      <c r="AI5" s="6">
        <f>IFERROR((('raw-PriceList'!AM5/'raw-PriceList'!AM6)-1),"")</f>
        <v>7.5742412002675064E-3</v>
      </c>
      <c r="AJ5" s="6">
        <f>IFERROR((('raw-PriceList'!AN5/'raw-PriceList'!AN6)-1),"")</f>
        <v>2.0217502324680225E-2</v>
      </c>
      <c r="AK5" s="6">
        <f>IFERROR((('raw-PriceList'!AO5/'raw-PriceList'!AO6)-1),"")</f>
        <v>4.1840048505381588E-4</v>
      </c>
      <c r="AL5" s="6">
        <f>IFERROR((('raw-PriceList'!AP5/'raw-PriceList'!AP6)-1),"")</f>
        <v>3.2696730783328798E-2</v>
      </c>
      <c r="AM5" s="6">
        <f>IFERROR((('raw-PriceList'!AQ5/'raw-PriceList'!AQ6)-1),"")</f>
        <v>5.6380240776841006E-3</v>
      </c>
      <c r="AN5" s="6">
        <f>IFERROR((('raw-PriceList'!AR5/'raw-PriceList'!AR6)-1),"")</f>
        <v>1.9216702997472579E-2</v>
      </c>
      <c r="AO5" s="6">
        <f>IFERROR((('raw-PriceList'!AS5/'raw-PriceList'!AS6)-1),"")</f>
        <v>-5.9080600355007062E-3</v>
      </c>
      <c r="AP5" s="6">
        <f>IFERROR((('raw-PriceList'!AT5/'raw-PriceList'!AT6)-1),"")</f>
        <v>-5.9080600355007062E-3</v>
      </c>
      <c r="AQ5" s="6">
        <f>IFERROR((('raw-PriceList'!AU5/'raw-PriceList'!AU6)-1),"")</f>
        <v>1.8362928286908664E-2</v>
      </c>
      <c r="AR5" s="6">
        <f>IFERROR((('raw-PriceList'!AV5/'raw-PriceList'!AV6)-1),"")</f>
        <v>1.6800213366901628E-2</v>
      </c>
      <c r="AS5" s="6">
        <f>IFERROR((('raw-PriceList'!AW5/'raw-PriceList'!AW6)-1),"")</f>
        <v>3.5562369024615847E-2</v>
      </c>
    </row>
    <row r="6" spans="1:45" x14ac:dyDescent="0.2">
      <c r="A6" s="2">
        <v>43404</v>
      </c>
      <c r="B6" s="6">
        <f>IFERROR((('raw-PriceList'!B6/'raw-PriceList'!B7)-1),"")</f>
        <v>-7.3413545994548413E-3</v>
      </c>
      <c r="C6" s="6">
        <f>IFERROR((('raw-PriceList'!C6/'raw-PriceList'!C7)-1),"")</f>
        <v>-3.5351627909530281E-2</v>
      </c>
      <c r="D6" s="6">
        <f>IFERROR((('raw-PriceList'!D6/'raw-PriceList'!D7)-1),"")</f>
        <v>-1.093051083044716E-2</v>
      </c>
      <c r="E6" s="6">
        <f>IFERROR((('raw-PriceList'!F6/'raw-PriceList'!F7)-1),"")</f>
        <v>-1.8445512670650643E-4</v>
      </c>
      <c r="F6" s="6">
        <f>IFERROR((('raw-PriceList'!G6/'raw-PriceList'!G7)-1),"")</f>
        <v>-1.1615937928037834E-3</v>
      </c>
      <c r="G6" s="6">
        <f>IFERROR((('raw-PriceList'!H6/'raw-PriceList'!H7)-1),"")</f>
        <v>-4.601576988364009E-2</v>
      </c>
      <c r="H6" s="6">
        <f>IFERROR((('raw-PriceList'!J6/'raw-PriceList'!J7)-1),"")</f>
        <v>-6.646819226654388E-2</v>
      </c>
      <c r="I6" s="6">
        <f>IFERROR((('raw-PriceList'!K6/'raw-PriceList'!K7)-1),"")</f>
        <v>-8.7697312985675513E-2</v>
      </c>
      <c r="J6" s="6">
        <f>IFERROR((('raw-PriceList'!L6/'raw-PriceList'!L7)-1),"")</f>
        <v>-4.6611582968747678E-2</v>
      </c>
      <c r="K6" s="6">
        <f>IFERROR((('raw-PriceList'!M6/'raw-PriceList'!M7)-1),"")</f>
        <v>-0.10121001809313079</v>
      </c>
      <c r="L6" s="6">
        <f>IFERROR((('raw-PriceList'!N6/'raw-PriceList'!N7)-1),"")</f>
        <v>-0.1144174879285027</v>
      </c>
      <c r="M6" s="6">
        <f>IFERROR((('raw-PriceList'!O6/'raw-PriceList'!O7)-1),"")</f>
        <v>-9.0486510270495035E-2</v>
      </c>
      <c r="N6" s="6">
        <f>IFERROR((('raw-PriceList'!P6/'raw-PriceList'!P7)-1),"")</f>
        <v>-1.1755951151729893E-2</v>
      </c>
      <c r="O6" s="6">
        <f>IFERROR((('raw-PriceList'!Q6/'raw-PriceList'!Q7)-1),"")</f>
        <v>-3.932078651346993E-2</v>
      </c>
      <c r="P6" s="6">
        <f>IFERROR((('raw-PriceList'!R6/'raw-PriceList'!R7)-1),"")</f>
        <v>-2.9516131199011086E-3</v>
      </c>
      <c r="Q6" s="6">
        <f>IFERROR((('raw-PriceList'!S6/'raw-PriceList'!S7)-1),"")</f>
        <v>-8.5969540922942622E-2</v>
      </c>
      <c r="R6" s="6">
        <f>IFERROR((('raw-PriceList'!T6/'raw-PriceList'!T7)-1),"")</f>
        <v>-8.3007078910855125E-2</v>
      </c>
      <c r="S6" s="6">
        <f>IFERROR((('raw-PriceList'!U6/'raw-PriceList'!U7)-1),"")</f>
        <v>-2.2578369603031279E-3</v>
      </c>
      <c r="T6" s="6">
        <f>IFERROR((('raw-PriceList'!V6/'raw-PriceList'!V7)-1),"")</f>
        <v>-7.8962113127001077E-2</v>
      </c>
      <c r="U6" s="6">
        <f>IFERROR((('raw-PriceList'!W6/'raw-PriceList'!W7)-1),"")</f>
        <v>-3.0757904905851174E-2</v>
      </c>
      <c r="V6" s="6">
        <f>IFERROR((('raw-PriceList'!X6/'raw-PriceList'!X7)-1),"")</f>
        <v>-5.0819642494859263E-4</v>
      </c>
      <c r="W6" s="6">
        <f>IFERROR((('raw-PriceList'!Y6/'raw-PriceList'!Y7)-1),"")</f>
        <v>-6.3532609058964185E-2</v>
      </c>
      <c r="X6" s="6">
        <f>IFERROR((('raw-PriceList'!Z6/'raw-PriceList'!Z7)-1),"")</f>
        <v>-8.9569225754883131E-2</v>
      </c>
      <c r="Y6" s="6">
        <f>IFERROR((('raw-PriceList'!AA6/'raw-PriceList'!AA7)-1),"")</f>
        <v>-8.0314591627950183E-3</v>
      </c>
      <c r="Z6" s="6">
        <f>IFERROR((('raw-PriceList'!AB6/'raw-PriceList'!AB7)-1),"")</f>
        <v>-5.7693824370917635E-2</v>
      </c>
      <c r="AA6" s="6">
        <f>IFERROR((('raw-PriceList'!AC6/'raw-PriceList'!AC7)-1),"")</f>
        <v>-7.0353153777465982E-2</v>
      </c>
      <c r="AB6" s="6">
        <f>IFERROR((('raw-PriceList'!AD6/'raw-PriceList'!AD7)-1),"")</f>
        <v>-6.8378017489766019E-2</v>
      </c>
      <c r="AC6" s="6">
        <f>IFERROR((('raw-PriceList'!AE6/'raw-PriceList'!AE7)-1),"")</f>
        <v>-6.8378017489766019E-2</v>
      </c>
      <c r="AD6" s="6">
        <f>IFERROR((('raw-PriceList'!AF6/'raw-PriceList'!AF7)-1),"")</f>
        <v>-9.697653510667803E-2</v>
      </c>
      <c r="AE6" s="6">
        <f>IFERROR((('raw-PriceList'!AG6/'raw-PriceList'!AG7)-1),"")</f>
        <v>-6.1949879960225496E-2</v>
      </c>
      <c r="AF6" s="6">
        <f>IFERROR((('raw-PriceList'!AH6/'raw-PriceList'!AH7)-1),"")</f>
        <v>-9.9020201591159651E-2</v>
      </c>
      <c r="AG6" s="6">
        <f>IFERROR((('raw-PriceList'!AJ6/'raw-PriceList'!AJ7)-1),"")</f>
        <v>-0.10111547921098885</v>
      </c>
      <c r="AH6" s="6">
        <f>IFERROR((('raw-PriceList'!AK6/'raw-PriceList'!AK7)-1),"")</f>
        <v>-7.8201672103812903E-2</v>
      </c>
      <c r="AI6" s="6">
        <f>IFERROR((('raw-PriceList'!AM6/'raw-PriceList'!AM7)-1),"")</f>
        <v>-6.9402057373555426E-3</v>
      </c>
      <c r="AJ6" s="6">
        <f>IFERROR((('raw-PriceList'!AN6/'raw-PriceList'!AN7)-1),"")</f>
        <v>-7.4131588325358821E-2</v>
      </c>
      <c r="AK6" s="6">
        <f>IFERROR((('raw-PriceList'!AO6/'raw-PriceList'!AO7)-1),"")</f>
        <v>-4.3533028724108691E-3</v>
      </c>
      <c r="AL6" s="6">
        <f>IFERROR((('raw-PriceList'!AP6/'raw-PriceList'!AP7)-1),"")</f>
        <v>-4.9766248194524687E-2</v>
      </c>
      <c r="AM6" s="6">
        <f>IFERROR((('raw-PriceList'!AQ6/'raw-PriceList'!AQ7)-1),"")</f>
        <v>-9.0602123933503309E-2</v>
      </c>
      <c r="AN6" s="6">
        <f>IFERROR((('raw-PriceList'!AR6/'raw-PriceList'!AR7)-1),"")</f>
        <v>-6.9198124325770882E-2</v>
      </c>
      <c r="AO6" s="6">
        <f>IFERROR((('raw-PriceList'!AS6/'raw-PriceList'!AS7)-1),"")</f>
        <v>-1.7543396935048583E-2</v>
      </c>
      <c r="AP6" s="6">
        <f>IFERROR((('raw-PriceList'!AT6/'raw-PriceList'!AT7)-1),"")</f>
        <v>-1.7543396935048583E-2</v>
      </c>
      <c r="AQ6" s="6">
        <f>IFERROR((('raw-PriceList'!AU6/'raw-PriceList'!AU7)-1),"")</f>
        <v>-0.10057521882846321</v>
      </c>
      <c r="AR6" s="6">
        <f>IFERROR((('raw-PriceList'!AV6/'raw-PriceList'!AV7)-1),"")</f>
        <v>-8.5565127729916868E-2</v>
      </c>
      <c r="AS6" s="6">
        <f>IFERROR((('raw-PriceList'!AW6/'raw-PriceList'!AW7)-1),"")</f>
        <v>-4.3976107876709802E-2</v>
      </c>
    </row>
    <row r="7" spans="1:45" x14ac:dyDescent="0.2">
      <c r="A7" s="2">
        <v>43373</v>
      </c>
      <c r="B7" s="6">
        <f>IFERROR((('raw-PriceList'!B7/'raw-PriceList'!B8)-1),"")</f>
        <v>-9.2225540226967828E-3</v>
      </c>
      <c r="C7" s="6">
        <f>IFERROR((('raw-PriceList'!C7/'raw-PriceList'!C8)-1),"")</f>
        <v>-1.5981674259810674E-2</v>
      </c>
      <c r="D7" s="6">
        <f>IFERROR((('raw-PriceList'!D7/'raw-PriceList'!D8)-1),"")</f>
        <v>-7.8185770409150424E-3</v>
      </c>
      <c r="E7" s="6">
        <f>IFERROR((('raw-PriceList'!F7/'raw-PriceList'!F8)-1),"")</f>
        <v>-3.2924476010874892E-3</v>
      </c>
      <c r="F7" s="6">
        <f>IFERROR((('raw-PriceList'!G7/'raw-PriceList'!G8)-1),"")</f>
        <v>-3.3119168077765382E-3</v>
      </c>
      <c r="G7" s="6">
        <f>IFERROR((('raw-PriceList'!H7/'raw-PriceList'!H8)-1),"")</f>
        <v>-4.8450499580277473E-2</v>
      </c>
      <c r="H7" s="6">
        <f>IFERROR((('raw-PriceList'!J7/'raw-PriceList'!J8)-1),"")</f>
        <v>2.22866261991439E-3</v>
      </c>
      <c r="I7" s="6">
        <f>IFERROR((('raw-PriceList'!K7/'raw-PriceList'!K8)-1),"")</f>
        <v>2.8474727769536301E-3</v>
      </c>
      <c r="J7" s="6">
        <f>IFERROR((('raw-PriceList'!L7/'raw-PriceList'!L8)-1),"")</f>
        <v>1.754934893942961E-3</v>
      </c>
      <c r="K7" s="6">
        <f>IFERROR((('raw-PriceList'!M7/'raw-PriceList'!M8)-1),"")</f>
        <v>-1.8615699235463135E-2</v>
      </c>
      <c r="L7" s="6">
        <f>IFERROR((('raw-PriceList'!N7/'raw-PriceList'!N8)-1),"")</f>
        <v>-1.3715746699057507E-2</v>
      </c>
      <c r="M7" s="6">
        <f>IFERROR((('raw-PriceList'!O7/'raw-PriceList'!O8)-1),"")</f>
        <v>-2.2202015482011395E-2</v>
      </c>
      <c r="N7" s="6">
        <f>IFERROR((('raw-PriceList'!P7/'raw-PriceList'!P8)-1),"")</f>
        <v>-7.5796062411368492E-3</v>
      </c>
      <c r="O7" s="6">
        <f>IFERROR((('raw-PriceList'!Q7/'raw-PriceList'!Q8)-1),"")</f>
        <v>-6.2044433722139303E-3</v>
      </c>
      <c r="P7" s="6">
        <f>IFERROR((('raw-PriceList'!R7/'raw-PriceList'!R8)-1),"")</f>
        <v>-3.0606904716684591E-3</v>
      </c>
      <c r="Q7" s="6">
        <f>IFERROR((('raw-PriceList'!S7/'raw-PriceList'!S8)-1),"")</f>
        <v>3.4805372383626132E-3</v>
      </c>
      <c r="R7" s="6">
        <f>IFERROR((('raw-PriceList'!T7/'raw-PriceList'!T8)-1),"")</f>
        <v>-7.6310041844784848E-4</v>
      </c>
      <c r="S7" s="6">
        <f>IFERROR((('raw-PriceList'!U7/'raw-PriceList'!U8)-1),"")</f>
        <v>-9.4038225693975352E-3</v>
      </c>
      <c r="T7" s="6">
        <f>IFERROR((('raw-PriceList'!V7/'raw-PriceList'!V8)-1),"")</f>
        <v>-3.1845964892310841E-3</v>
      </c>
      <c r="U7" s="6">
        <f>IFERROR((('raw-PriceList'!W7/'raw-PriceList'!W8)-1),"")</f>
        <v>-2.9850389136651057E-2</v>
      </c>
      <c r="V7" s="6">
        <f>IFERROR((('raw-PriceList'!X7/'raw-PriceList'!X8)-1),"")</f>
        <v>-3.1699967929604833E-3</v>
      </c>
      <c r="W7" s="6">
        <f>IFERROR((('raw-PriceList'!Y7/'raw-PriceList'!Y8)-1),"")</f>
        <v>1.2234706434072873E-2</v>
      </c>
      <c r="X7" s="6">
        <f>IFERROR((('raw-PriceList'!Z7/'raw-PriceList'!Z8)-1),"")</f>
        <v>-1.6181347382861144E-2</v>
      </c>
      <c r="Y7" s="6">
        <f>IFERROR((('raw-PriceList'!AA7/'raw-PriceList'!AA8)-1),"")</f>
        <v>-8.3719586342761998E-3</v>
      </c>
      <c r="Z7" s="6">
        <f>IFERROR((('raw-PriceList'!AB7/'raw-PriceList'!AB8)-1),"")</f>
        <v>-2.8200708923410756E-2</v>
      </c>
      <c r="AA7" s="6">
        <f>IFERROR((('raw-PriceList'!AC7/'raw-PriceList'!AC8)-1),"")</f>
        <v>-1.3504891878770131E-2</v>
      </c>
      <c r="AB7" s="6">
        <f>IFERROR((('raw-PriceList'!AD7/'raw-PriceList'!AD8)-1),"")</f>
        <v>1.2146499577001535E-3</v>
      </c>
      <c r="AC7" s="6">
        <f>IFERROR((('raw-PriceList'!AE7/'raw-PriceList'!AE8)-1),"")</f>
        <v>1.2146499577001535E-3</v>
      </c>
      <c r="AD7" s="6">
        <f>IFERROR((('raw-PriceList'!AF7/'raw-PriceList'!AF8)-1),"")</f>
        <v>-4.9090711923903685E-3</v>
      </c>
      <c r="AE7" s="6">
        <f>IFERROR((('raw-PriceList'!AG7/'raw-PriceList'!AG8)-1),"")</f>
        <v>2.1897186322721307E-3</v>
      </c>
      <c r="AF7" s="6">
        <f>IFERROR((('raw-PriceList'!AH7/'raw-PriceList'!AH8)-1),"")</f>
        <v>1.7608259905352863E-2</v>
      </c>
      <c r="AG7" s="6">
        <f>IFERROR((('raw-PriceList'!AJ7/'raw-PriceList'!AJ8)-1),"")</f>
        <v>-2.0663981041536772E-2</v>
      </c>
      <c r="AH7" s="6">
        <f>IFERROR((('raw-PriceList'!AK7/'raw-PriceList'!AK8)-1),"")</f>
        <v>-3.93276624788097E-3</v>
      </c>
      <c r="AI7" s="6">
        <f>IFERROR((('raw-PriceList'!AM7/'raw-PriceList'!AM8)-1),"")</f>
        <v>-9.6222076647078936E-3</v>
      </c>
      <c r="AJ7" s="6">
        <f>IFERROR((('raw-PriceList'!AN7/'raw-PriceList'!AN8)-1),"")</f>
        <v>-2.7696454376716639E-3</v>
      </c>
      <c r="AK7" s="6">
        <f>IFERROR((('raw-PriceList'!AO7/'raw-PriceList'!AO8)-1),"")</f>
        <v>-1.2849442824142576E-2</v>
      </c>
      <c r="AL7" s="6">
        <f>IFERROR((('raw-PriceList'!AP7/'raw-PriceList'!AP8)-1),"")</f>
        <v>-3.1920497547877069E-4</v>
      </c>
      <c r="AM7" s="6">
        <f>IFERROR((('raw-PriceList'!AQ7/'raw-PriceList'!AQ8)-1),"")</f>
        <v>1.8502997856433279E-3</v>
      </c>
      <c r="AN7" s="6">
        <f>IFERROR((('raw-PriceList'!AR7/'raw-PriceList'!AR8)-1),"")</f>
        <v>3.1152598960626499E-4</v>
      </c>
      <c r="AO7" s="6">
        <f>IFERROR((('raw-PriceList'!AS7/'raw-PriceList'!AS8)-1),"")</f>
        <v>1.2267716798211259E-2</v>
      </c>
      <c r="AP7" s="6">
        <f>IFERROR((('raw-PriceList'!AT7/'raw-PriceList'!AT8)-1),"")</f>
        <v>1.2267716798211259E-2</v>
      </c>
      <c r="AQ7" s="6">
        <f>IFERROR((('raw-PriceList'!AU7/'raw-PriceList'!AU8)-1),"")</f>
        <v>-1.9828814586011489E-2</v>
      </c>
      <c r="AR7" s="6">
        <f>IFERROR((('raw-PriceList'!AV7/'raw-PriceList'!AV8)-1),"")</f>
        <v>-2.7643603060832911E-3</v>
      </c>
      <c r="AS7" s="6">
        <f>IFERROR((('raw-PriceList'!AW7/'raw-PriceList'!AW8)-1),"")</f>
        <v>-3.6687820499328172E-3</v>
      </c>
    </row>
    <row r="8" spans="1:45" x14ac:dyDescent="0.2">
      <c r="A8" s="2">
        <v>43343</v>
      </c>
      <c r="B8" s="6">
        <f>IFERROR((('raw-PriceList'!B8/'raw-PriceList'!B9)-1),"")</f>
        <v>5.0670193486346271E-3</v>
      </c>
      <c r="C8" s="6">
        <f>IFERROR((('raw-PriceList'!C8/'raw-PriceList'!C9)-1),"")</f>
        <v>1.4596419154606632E-3</v>
      </c>
      <c r="D8" s="6">
        <f>IFERROR((('raw-PriceList'!D8/'raw-PriceList'!D9)-1),"")</f>
        <v>4.3029766570639172E-3</v>
      </c>
      <c r="E8" s="6">
        <f>IFERROR((('raw-PriceList'!F8/'raw-PriceList'!F9)-1),"")</f>
        <v>-3.6993450058486754E-4</v>
      </c>
      <c r="F8" s="6">
        <f>IFERROR((('raw-PriceList'!G8/'raw-PriceList'!G9)-1),"")</f>
        <v>2.0432515550610209E-3</v>
      </c>
      <c r="G8" s="6">
        <f>IFERROR((('raw-PriceList'!H8/'raw-PriceList'!H9)-1),"")</f>
        <v>1.6501021736334165E-2</v>
      </c>
      <c r="H8" s="6">
        <f>IFERROR((('raw-PriceList'!J8/'raw-PriceList'!J9)-1),"")</f>
        <v>3.4105562577384063E-2</v>
      </c>
      <c r="I8" s="6">
        <f>IFERROR((('raw-PriceList'!K8/'raw-PriceList'!K9)-1),"")</f>
        <v>4.7007504800324673E-2</v>
      </c>
      <c r="J8" s="6">
        <f>IFERROR((('raw-PriceList'!L8/'raw-PriceList'!L9)-1),"")</f>
        <v>2.2658229970494048E-2</v>
      </c>
      <c r="K8" s="6">
        <f>IFERROR((('raw-PriceList'!M8/'raw-PriceList'!M9)-1),"")</f>
        <v>4.5181503155953928E-2</v>
      </c>
      <c r="L8" s="6">
        <f>IFERROR((('raw-PriceList'!N8/'raw-PriceList'!N9)-1),"")</f>
        <v>7.0048187791539762E-2</v>
      </c>
      <c r="M8" s="6">
        <f>IFERROR((('raw-PriceList'!O8/'raw-PriceList'!O9)-1),"")</f>
        <v>2.4133404134999203E-2</v>
      </c>
      <c r="N8" s="6">
        <f>IFERROR((('raw-PriceList'!P8/'raw-PriceList'!P9)-1),"")</f>
        <v>2.7307581147786308E-3</v>
      </c>
      <c r="O8" s="6">
        <f>IFERROR((('raw-PriceList'!Q8/'raw-PriceList'!Q9)-1),"")</f>
        <v>-6.9591692918564707E-3</v>
      </c>
      <c r="P8" s="6">
        <f>IFERROR((('raw-PriceList'!R8/'raw-PriceList'!R9)-1),"")</f>
        <v>3.0530188718351781E-3</v>
      </c>
      <c r="Q8" s="6">
        <f>IFERROR((('raw-PriceList'!S8/'raw-PriceList'!S9)-1),"")</f>
        <v>-1.7314003734317129E-2</v>
      </c>
      <c r="R8" s="6">
        <f>IFERROR((('raw-PriceList'!T8/'raw-PriceList'!T9)-1),"")</f>
        <v>-2.343927369109966E-2</v>
      </c>
      <c r="S8" s="6">
        <f>IFERROR((('raw-PriceList'!U8/'raw-PriceList'!U9)-1),"")</f>
        <v>5.2749814637889081E-3</v>
      </c>
      <c r="T8" s="6">
        <f>IFERROR((('raw-PriceList'!V8/'raw-PriceList'!V9)-1),"")</f>
        <v>-2.827766020736755E-2</v>
      </c>
      <c r="U8" s="6">
        <f>IFERROR((('raw-PriceList'!W8/'raw-PriceList'!W9)-1),"")</f>
        <v>1.0755209837123747E-2</v>
      </c>
      <c r="V8" s="6">
        <f>IFERROR((('raw-PriceList'!X8/'raw-PriceList'!X9)-1),"")</f>
        <v>2.0338069408261106E-3</v>
      </c>
      <c r="W8" s="6">
        <f>IFERROR((('raw-PriceList'!Y8/'raw-PriceList'!Y9)-1),"")</f>
        <v>2.7955375099109725E-2</v>
      </c>
      <c r="X8" s="6">
        <f>IFERROR((('raw-PriceList'!Z8/'raw-PriceList'!Z9)-1),"")</f>
        <v>-1.3759284282893858E-2</v>
      </c>
      <c r="Y8" s="6">
        <f>IFERROR((('raw-PriceList'!AA8/'raw-PriceList'!AA9)-1),"")</f>
        <v>2.7379825028821525E-3</v>
      </c>
      <c r="Z8" s="6">
        <f>IFERROR((('raw-PriceList'!AB8/'raw-PriceList'!AB9)-1),"")</f>
        <v>-2.032359651115101E-2</v>
      </c>
      <c r="AA8" s="6">
        <f>IFERROR((('raw-PriceList'!AC8/'raw-PriceList'!AC9)-1),"")</f>
        <v>5.3700770273850118E-3</v>
      </c>
      <c r="AB8" s="6">
        <f>IFERROR((('raw-PriceList'!AD8/'raw-PriceList'!AD9)-1),"")</f>
        <v>3.2272045722808063E-2</v>
      </c>
      <c r="AC8" s="6">
        <f>IFERROR((('raw-PriceList'!AE8/'raw-PriceList'!AE9)-1),"")</f>
        <v>3.2272045722808063E-2</v>
      </c>
      <c r="AD8" s="6">
        <f>IFERROR((('raw-PriceList'!AF8/'raw-PriceList'!AF9)-1),"")</f>
        <v>4.646034528201537E-2</v>
      </c>
      <c r="AE8" s="6">
        <f>IFERROR((('raw-PriceList'!AG8/'raw-PriceList'!AG9)-1),"")</f>
        <v>2.8310380907334176E-2</v>
      </c>
      <c r="AF8" s="6">
        <f>IFERROR((('raw-PriceList'!AH8/'raw-PriceList'!AH9)-1),"")</f>
        <v>-9.5029244947468783E-3</v>
      </c>
      <c r="AG8" s="6">
        <f>IFERROR((('raw-PriceList'!AJ8/'raw-PriceList'!AJ9)-1),"")</f>
        <v>-1.7164397935233056E-2</v>
      </c>
      <c r="AH8" s="6">
        <f>IFERROR((('raw-PriceList'!AK8/'raw-PriceList'!AK9)-1),"")</f>
        <v>8.6045139019994554E-3</v>
      </c>
      <c r="AI8" s="6">
        <f>IFERROR((('raw-PriceList'!AM8/'raw-PriceList'!AM9)-1),"")</f>
        <v>-5.6829572228123126E-4</v>
      </c>
      <c r="AJ8" s="6">
        <f>IFERROR((('raw-PriceList'!AN8/'raw-PriceList'!AN9)-1),"")</f>
        <v>3.431616688710859E-2</v>
      </c>
      <c r="AK8" s="6">
        <f>IFERROR((('raw-PriceList'!AO8/'raw-PriceList'!AO9)-1),"")</f>
        <v>4.6983175331882787E-3</v>
      </c>
      <c r="AL8" s="6">
        <f>IFERROR((('raw-PriceList'!AP8/'raw-PriceList'!AP9)-1),"")</f>
        <v>1.888740362736141E-2</v>
      </c>
      <c r="AM8" s="6">
        <f>IFERROR((('raw-PriceList'!AQ8/'raw-PriceList'!AQ9)-1),"")</f>
        <v>4.6689025861713196E-2</v>
      </c>
      <c r="AN8" s="6">
        <f>IFERROR((('raw-PriceList'!AR8/'raw-PriceList'!AR9)-1),"")</f>
        <v>3.2486436974447974E-2</v>
      </c>
      <c r="AO8" s="6">
        <f>IFERROR((('raw-PriceList'!AS8/'raw-PriceList'!AS9)-1),"")</f>
        <v>-2.1151324265686333E-2</v>
      </c>
      <c r="AP8" s="6">
        <f>IFERROR((('raw-PriceList'!AT8/'raw-PriceList'!AT9)-1),"")</f>
        <v>-2.1151324265686333E-2</v>
      </c>
      <c r="AQ8" s="6">
        <f>IFERROR((('raw-PriceList'!AU8/'raw-PriceList'!AU9)-1),"")</f>
        <v>4.4679060119547698E-2</v>
      </c>
      <c r="AR8" s="6">
        <f>IFERROR((('raw-PriceList'!AV8/'raw-PriceList'!AV9)-1),"")</f>
        <v>-2.39734996442863E-2</v>
      </c>
      <c r="AS8" s="6">
        <f>IFERROR((('raw-PriceList'!AW8/'raw-PriceList'!AW9)-1),"")</f>
        <v>1.1100880500816812E-2</v>
      </c>
    </row>
    <row r="9" spans="1:45" x14ac:dyDescent="0.2">
      <c r="A9" s="2">
        <v>43312</v>
      </c>
      <c r="B9" s="6">
        <f>IFERROR((('raw-PriceList'!B9/'raw-PriceList'!B10)-1),"")</f>
        <v>-1.8400714934281304E-3</v>
      </c>
      <c r="C9" s="6">
        <f>IFERROR((('raw-PriceList'!C9/'raw-PriceList'!C10)-1),"")</f>
        <v>9.0895942703839161E-4</v>
      </c>
      <c r="D9" s="6">
        <f>IFERROR((('raw-PriceList'!D9/'raw-PriceList'!D10)-1),"")</f>
        <v>-2.6591476104734779E-3</v>
      </c>
      <c r="E9" s="6">
        <f>IFERROR((('raw-PriceList'!F9/'raw-PriceList'!F10)-1),"")</f>
        <v>5.6865218464996481E-4</v>
      </c>
      <c r="F9" s="6">
        <f>IFERROR((('raw-PriceList'!G9/'raw-PriceList'!G10)-1),"")</f>
        <v>-1.0154738939971431E-3</v>
      </c>
      <c r="G9" s="6">
        <f>IFERROR((('raw-PriceList'!H9/'raw-PriceList'!H10)-1),"")</f>
        <v>-2.2196481023793568E-2</v>
      </c>
      <c r="H9" s="6">
        <f>IFERROR((('raw-PriceList'!J9/'raw-PriceList'!J10)-1),"")</f>
        <v>3.8226752730524227E-2</v>
      </c>
      <c r="I9" s="6">
        <f>IFERROR((('raw-PriceList'!K9/'raw-PriceList'!K10)-1),"")</f>
        <v>2.6102384566300874E-2</v>
      </c>
      <c r="J9" s="6">
        <f>IFERROR((('raw-PriceList'!L9/'raw-PriceList'!L10)-1),"")</f>
        <v>4.9998709845971767E-2</v>
      </c>
      <c r="K9" s="6">
        <f>IFERROR((('raw-PriceList'!M9/'raw-PriceList'!M10)-1),"")</f>
        <v>1.8219616723812004E-2</v>
      </c>
      <c r="L9" s="6">
        <f>IFERROR((('raw-PriceList'!N9/'raw-PriceList'!N10)-1),"")</f>
        <v>9.6704037566921475E-3</v>
      </c>
      <c r="M9" s="6">
        <f>IFERROR((('raw-PriceList'!O9/'raw-PriceList'!O10)-1),"")</f>
        <v>2.4883875102235775E-2</v>
      </c>
      <c r="N9" s="6">
        <f>IFERROR((('raw-PriceList'!P9/'raw-PriceList'!P10)-1),"")</f>
        <v>5.0259643495011996E-3</v>
      </c>
      <c r="O9" s="6">
        <f>IFERROR((('raw-PriceList'!Q9/'raw-PriceList'!Q10)-1),"")</f>
        <v>1.8138351780427664E-2</v>
      </c>
      <c r="P9" s="6">
        <f>IFERROR((('raw-PriceList'!R9/'raw-PriceList'!R10)-1),"")</f>
        <v>7.9423866468530946E-4</v>
      </c>
      <c r="Q9" s="6">
        <f>IFERROR((('raw-PriceList'!S9/'raw-PriceList'!S10)-1),"")</f>
        <v>2.2861489301094329E-2</v>
      </c>
      <c r="R9" s="6">
        <f>IFERROR((('raw-PriceList'!T9/'raw-PriceList'!T10)-1),"")</f>
        <v>2.8933181174248368E-2</v>
      </c>
      <c r="S9" s="6">
        <f>IFERROR((('raw-PriceList'!U9/'raw-PriceList'!U10)-1),"")</f>
        <v>-4.7890719010416083E-3</v>
      </c>
      <c r="T9" s="6">
        <f>IFERROR((('raw-PriceList'!V9/'raw-PriceList'!V10)-1),"")</f>
        <v>3.4038122012531646E-2</v>
      </c>
      <c r="U9" s="6">
        <f>IFERROR((('raw-PriceList'!W9/'raw-PriceList'!W10)-1),"")</f>
        <v>-1.5801995254640877E-2</v>
      </c>
      <c r="V9" s="6">
        <f>IFERROR((('raw-PriceList'!X9/'raw-PriceList'!X10)-1),"")</f>
        <v>-1.8404754394660827E-3</v>
      </c>
      <c r="W9" s="6">
        <f>IFERROR((('raw-PriceList'!Y9/'raw-PriceList'!Y10)-1),"")</f>
        <v>4.6948381294928732E-2</v>
      </c>
      <c r="X9" s="6">
        <f>IFERROR((('raw-PriceList'!Z9/'raw-PriceList'!Z10)-1),"")</f>
        <v>2.5386242222808386E-2</v>
      </c>
      <c r="Y9" s="6">
        <f>IFERROR((('raw-PriceList'!AA9/'raw-PriceList'!AA10)-1),"")</f>
        <v>-2.3417632140685374E-3</v>
      </c>
      <c r="Z9" s="6">
        <f>IFERROR((('raw-PriceList'!AB9/'raw-PriceList'!AB10)-1),"")</f>
        <v>1.5834787082306789E-2</v>
      </c>
      <c r="AA9" s="6">
        <f>IFERROR((('raw-PriceList'!AC9/'raw-PriceList'!AC10)-1),"")</f>
        <v>3.2147827899135395E-2</v>
      </c>
      <c r="AB9" s="6">
        <f>IFERROR((('raw-PriceList'!AD9/'raw-PriceList'!AD10)-1),"")</f>
        <v>3.5619754232806056E-2</v>
      </c>
      <c r="AC9" s="6">
        <f>IFERROR((('raw-PriceList'!AE9/'raw-PriceList'!AE10)-1),"")</f>
        <v>3.5619754232806056E-2</v>
      </c>
      <c r="AD9" s="6">
        <f>IFERROR((('raw-PriceList'!AF9/'raw-PriceList'!AF10)-1),"")</f>
        <v>1.8188642746870487E-2</v>
      </c>
      <c r="AE9" s="6">
        <f>IFERROR((('raw-PriceList'!AG9/'raw-PriceList'!AG10)-1),"")</f>
        <v>-5.8875245760021677E-3</v>
      </c>
      <c r="AF9" s="6">
        <f>IFERROR((('raw-PriceList'!AH9/'raw-PriceList'!AH10)-1),"")</f>
        <v>8.0167900887375687E-3</v>
      </c>
      <c r="AG9" s="6">
        <f>IFERROR((('raw-PriceList'!AJ9/'raw-PriceList'!AJ10)-1),"")</f>
        <v>9.7268007488007235E-3</v>
      </c>
      <c r="AH9" s="6">
        <f>IFERROR((('raw-PriceList'!AK9/'raw-PriceList'!AK10)-1),"")</f>
        <v>2.8758709948954575E-2</v>
      </c>
      <c r="AI9" s="6">
        <f>IFERROR((('raw-PriceList'!AM9/'raw-PriceList'!AM10)-1),"")</f>
        <v>9.8549358928967656E-4</v>
      </c>
      <c r="AJ9" s="6">
        <f>IFERROR((('raw-PriceList'!AN9/'raw-PriceList'!AN10)-1),"")</f>
        <v>3.3137933779674666E-2</v>
      </c>
      <c r="AK9" s="6">
        <f>IFERROR((('raw-PriceList'!AO9/'raw-PriceList'!AO10)-1),"")</f>
        <v>-1.6259952900792296E-3</v>
      </c>
      <c r="AL9" s="6">
        <f>IFERROR((('raw-PriceList'!AP9/'raw-PriceList'!AP10)-1),"")</f>
        <v>4.6616818436672425E-2</v>
      </c>
      <c r="AM9" s="6">
        <f>IFERROR((('raw-PriceList'!AQ9/'raw-PriceList'!AQ10)-1),"")</f>
        <v>2.5144888741734261E-2</v>
      </c>
      <c r="AN9" s="6">
        <f>IFERROR((('raw-PriceList'!AR9/'raw-PriceList'!AR10)-1),"")</f>
        <v>3.6188823156076078E-2</v>
      </c>
      <c r="AO9" s="6">
        <f>IFERROR((('raw-PriceList'!AS9/'raw-PriceList'!AS10)-1),"")</f>
        <v>1.63281914421749E-2</v>
      </c>
      <c r="AP9" s="6">
        <f>IFERROR((('raw-PriceList'!AT9/'raw-PriceList'!AT10)-1),"")</f>
        <v>1.63281914421749E-2</v>
      </c>
      <c r="AQ9" s="6">
        <f>IFERROR((('raw-PriceList'!AU9/'raw-PriceList'!AU10)-1),"")</f>
        <v>1.6570801694440362E-2</v>
      </c>
      <c r="AR9" s="6">
        <f>IFERROR((('raw-PriceList'!AV9/'raw-PriceList'!AV10)-1),"")</f>
        <v>2.5508123656885928E-2</v>
      </c>
      <c r="AS9" s="6">
        <f>IFERROR((('raw-PriceList'!AW9/'raw-PriceList'!AW10)-1),"")</f>
        <v>4.0950079410089657E-2</v>
      </c>
    </row>
    <row r="10" spans="1:45" x14ac:dyDescent="0.2">
      <c r="A10" s="2">
        <v>43281</v>
      </c>
      <c r="B10" s="6">
        <f>IFERROR((('raw-PriceList'!B10/'raw-PriceList'!B11)-1),"")</f>
        <v>-2.2125903104688316E-3</v>
      </c>
      <c r="C10" s="6">
        <f>IFERROR((('raw-PriceList'!C10/'raw-PriceList'!C11)-1),"")</f>
        <v>-9.1476293663573793E-3</v>
      </c>
      <c r="D10" s="6">
        <f>IFERROR((('raw-PriceList'!D10/'raw-PriceList'!D11)-1),"")</f>
        <v>-2.7557114616590939E-3</v>
      </c>
      <c r="E10" s="6">
        <f>IFERROR((('raw-PriceList'!F10/'raw-PriceList'!F11)-1),"")</f>
        <v>5.1233293740795549E-3</v>
      </c>
      <c r="F10" s="6">
        <f>IFERROR((('raw-PriceList'!G10/'raw-PriceList'!G11)-1),"")</f>
        <v>-1.1542759102566302E-3</v>
      </c>
      <c r="G10" s="6">
        <f>IFERROR((('raw-PriceList'!H10/'raw-PriceList'!H11)-1),"")</f>
        <v>5.9605388756454047E-3</v>
      </c>
      <c r="H10" s="6">
        <f>IFERROR((('raw-PriceList'!J10/'raw-PriceList'!J11)-1),"")</f>
        <v>1.1786067333243722E-3</v>
      </c>
      <c r="I10" s="6">
        <f>IFERROR((('raw-PriceList'!K10/'raw-PriceList'!K11)-1),"")</f>
        <v>8.8047365176384673E-3</v>
      </c>
      <c r="J10" s="6">
        <f>IFERROR((('raw-PriceList'!L10/'raw-PriceList'!L11)-1),"")</f>
        <v>-7.0734109245021992E-3</v>
      </c>
      <c r="K10" s="6">
        <f>IFERROR((('raw-PriceList'!M10/'raw-PriceList'!M11)-1),"")</f>
        <v>4.4123395297333001E-3</v>
      </c>
      <c r="L10" s="6">
        <f>IFERROR((('raw-PriceList'!N10/'raw-PriceList'!N11)-1),"")</f>
        <v>1.0640465329710302E-2</v>
      </c>
      <c r="M10" s="6">
        <f>IFERROR((('raw-PriceList'!O10/'raw-PriceList'!O11)-1),"")</f>
        <v>-7.8866066494098774E-5</v>
      </c>
      <c r="N10" s="6">
        <f>IFERROR((('raw-PriceList'!P10/'raw-PriceList'!P11)-1),"")</f>
        <v>-4.7787612517580236E-3</v>
      </c>
      <c r="O10" s="6">
        <f>IFERROR((('raw-PriceList'!Q10/'raw-PriceList'!Q11)-1),"")</f>
        <v>-1.4849772612856804E-2</v>
      </c>
      <c r="P10" s="6">
        <f>IFERROR((('raw-PriceList'!R10/'raw-PriceList'!R11)-1),"")</f>
        <v>-2.4191032904350429E-3</v>
      </c>
      <c r="Q10" s="6">
        <f>IFERROR((('raw-PriceList'!S10/'raw-PriceList'!S11)-1),"")</f>
        <v>-2.8772471595314819E-2</v>
      </c>
      <c r="R10" s="6">
        <f>IFERROR((('raw-PriceList'!T10/'raw-PriceList'!T11)-1),"")</f>
        <v>-3.2662815391640176E-2</v>
      </c>
      <c r="S10" s="6">
        <f>IFERROR((('raw-PriceList'!U10/'raw-PriceList'!U11)-1),"")</f>
        <v>-9.6202757716712384E-4</v>
      </c>
      <c r="T10" s="6">
        <f>IFERROR((('raw-PriceList'!V10/'raw-PriceList'!V11)-1),"")</f>
        <v>-3.156280910502085E-2</v>
      </c>
      <c r="U10" s="6">
        <f>IFERROR((('raw-PriceList'!W10/'raw-PriceList'!W11)-1),"")</f>
        <v>3.3501612891539967E-3</v>
      </c>
      <c r="V10" s="6">
        <f>IFERROR((('raw-PriceList'!X10/'raw-PriceList'!X11)-1),"")</f>
        <v>-1.4152337952230143E-3</v>
      </c>
      <c r="W10" s="6">
        <f>IFERROR((('raw-PriceList'!Y10/'raw-PriceList'!Y11)-1),"")</f>
        <v>-2.7113500611442021E-3</v>
      </c>
      <c r="X10" s="6">
        <f>IFERROR((('raw-PriceList'!Z10/'raw-PriceList'!Z11)-1),"")</f>
        <v>-1.9539897502668491E-2</v>
      </c>
      <c r="Y10" s="6">
        <f>IFERROR((('raw-PriceList'!AA10/'raw-PriceList'!AA11)-1),"")</f>
        <v>-1.5566090044830672E-3</v>
      </c>
      <c r="Z10" s="6">
        <f>IFERROR((('raw-PriceList'!AB10/'raw-PriceList'!AB11)-1),"")</f>
        <v>-3.8269379925829683E-2</v>
      </c>
      <c r="AA10" s="6">
        <f>IFERROR((('raw-PriceList'!AC10/'raw-PriceList'!AC11)-1),"")</f>
        <v>4.9212422920794641E-3</v>
      </c>
      <c r="AB10" s="6">
        <f>IFERROR((('raw-PriceList'!AD10/'raw-PriceList'!AD11)-1),"")</f>
        <v>2.8853218225945998E-3</v>
      </c>
      <c r="AC10" s="6">
        <f>IFERROR((('raw-PriceList'!AE10/'raw-PriceList'!AE11)-1),"")</f>
        <v>2.8853218225945998E-3</v>
      </c>
      <c r="AD10" s="6">
        <f>IFERROR((('raw-PriceList'!AF10/'raw-PriceList'!AF11)-1),"")</f>
        <v>8.0679939921299848E-3</v>
      </c>
      <c r="AE10" s="6">
        <f>IFERROR((('raw-PriceList'!AG10/'raw-PriceList'!AG11)-1),"")</f>
        <v>2.8331718143452367E-2</v>
      </c>
      <c r="AF10" s="6">
        <f>IFERROR((('raw-PriceList'!AH10/'raw-PriceList'!AH11)-1),"")</f>
        <v>-3.3306198070656379E-2</v>
      </c>
      <c r="AG10" s="6">
        <f>IFERROR((('raw-PriceList'!AJ10/'raw-PriceList'!AJ11)-1),"")</f>
        <v>-3.3758134354025748E-2</v>
      </c>
      <c r="AH10" s="6">
        <f>IFERROR((('raw-PriceList'!AK10/'raw-PriceList'!AK11)-1),"")</f>
        <v>-1.3309076492695415E-2</v>
      </c>
      <c r="AI10" s="6">
        <f>IFERROR((('raw-PriceList'!AM10/'raw-PriceList'!AM11)-1),"")</f>
        <v>-9.6553318910108654E-4</v>
      </c>
      <c r="AJ10" s="6">
        <f>IFERROR((('raw-PriceList'!AN10/'raw-PriceList'!AN11)-1),"")</f>
        <v>2.8380520778235052E-3</v>
      </c>
      <c r="AK10" s="6">
        <f>IFERROR((('raw-PriceList'!AO10/'raw-PriceList'!AO11)-1),"")</f>
        <v>-3.8686944073996754E-3</v>
      </c>
      <c r="AL10" s="6">
        <f>IFERROR((('raw-PriceList'!AP10/'raw-PriceList'!AP11)-1),"")</f>
        <v>-4.1270698178391685E-3</v>
      </c>
      <c r="AM10" s="6">
        <f>IFERROR((('raw-PriceList'!AQ10/'raw-PriceList'!AQ11)-1),"")</f>
        <v>8.7424579793891066E-3</v>
      </c>
      <c r="AN10" s="6">
        <f>IFERROR((('raw-PriceList'!AR10/'raw-PriceList'!AR11)-1),"")</f>
        <v>1.5451357125602083E-3</v>
      </c>
      <c r="AO10" s="6">
        <f>IFERROR((('raw-PriceList'!AS10/'raw-PriceList'!AS11)-1),"")</f>
        <v>-1.2584685448428834E-2</v>
      </c>
      <c r="AP10" s="6">
        <f>IFERROR((('raw-PriceList'!AT10/'raw-PriceList'!AT11)-1),"")</f>
        <v>-1.2584685448428834E-2</v>
      </c>
      <c r="AQ10" s="6">
        <f>IFERROR((('raw-PriceList'!AU10/'raw-PriceList'!AU11)-1),"")</f>
        <v>4.7044813982830558E-3</v>
      </c>
      <c r="AR10" s="6">
        <f>IFERROR((('raw-PriceList'!AV10/'raw-PriceList'!AV11)-1),"")</f>
        <v>-3.1852228850721254E-2</v>
      </c>
      <c r="AS10" s="6">
        <f>IFERROR((('raw-PriceList'!AW10/'raw-PriceList'!AW11)-1),"")</f>
        <v>-1.0364905888627929E-2</v>
      </c>
    </row>
    <row r="11" spans="1:45" x14ac:dyDescent="0.2">
      <c r="A11" s="2">
        <v>43251</v>
      </c>
      <c r="B11" s="6">
        <f>IFERROR((('raw-PriceList'!B11/'raw-PriceList'!B12)-1),"")</f>
        <v>5.1765535358521131E-3</v>
      </c>
      <c r="C11" s="6">
        <f>IFERROR((('raw-PriceList'!C11/'raw-PriceList'!C12)-1),"")</f>
        <v>9.447773481825017E-3</v>
      </c>
      <c r="D11" s="6">
        <f>IFERROR((('raw-PriceList'!D11/'raw-PriceList'!D12)-1),"")</f>
        <v>4.5502892349542634E-3</v>
      </c>
      <c r="E11" s="6">
        <f>IFERROR((('raw-PriceList'!F11/'raw-PriceList'!F12)-1),"")</f>
        <v>-3.1064637376541082E-3</v>
      </c>
      <c r="F11" s="6">
        <f>IFERROR((('raw-PriceList'!G11/'raw-PriceList'!G12)-1),"")</f>
        <v>2.0587591647223125E-3</v>
      </c>
      <c r="G11" s="6">
        <f>IFERROR((('raw-PriceList'!H11/'raw-PriceList'!H12)-1),"")</f>
        <v>2.3485900068771937E-2</v>
      </c>
      <c r="H11" s="6">
        <f>IFERROR((('raw-PriceList'!J11/'raw-PriceList'!J12)-1),"")</f>
        <v>2.493802330776318E-2</v>
      </c>
      <c r="I11" s="6">
        <f>IFERROR((('raw-PriceList'!K11/'raw-PriceList'!K12)-1),"")</f>
        <v>4.6357681706870268E-2</v>
      </c>
      <c r="J11" s="6">
        <f>IFERROR((('raw-PriceList'!L11/'raw-PriceList'!L12)-1),"")</f>
        <v>7.2392659310960283E-3</v>
      </c>
      <c r="K11" s="6">
        <f>IFERROR((('raw-PriceList'!M11/'raw-PriceList'!M12)-1),"")</f>
        <v>5.0950186994066282E-2</v>
      </c>
      <c r="L11" s="6">
        <f>IFERROR((('raw-PriceList'!N11/'raw-PriceList'!N12)-1),"")</f>
        <v>5.8214328103715962E-2</v>
      </c>
      <c r="M11" s="6">
        <f>IFERROR((('raw-PriceList'!O11/'raw-PriceList'!O12)-1),"")</f>
        <v>4.5125779641219665E-2</v>
      </c>
      <c r="N11" s="6">
        <f>IFERROR((('raw-PriceList'!P11/'raw-PriceList'!P12)-1),"")</f>
        <v>3.0190490521369018E-3</v>
      </c>
      <c r="O11" s="6">
        <f>IFERROR((('raw-PriceList'!Q11/'raw-PriceList'!Q12)-1),"")</f>
        <v>1.5816359413667325E-3</v>
      </c>
      <c r="P11" s="6">
        <f>IFERROR((('raw-PriceList'!R11/'raw-PriceList'!R12)-1),"")</f>
        <v>1.6298211597840506E-3</v>
      </c>
      <c r="Q11" s="6">
        <f>IFERROR((('raw-PriceList'!S11/'raw-PriceList'!S12)-1),"")</f>
        <v>-1.426877891995848E-2</v>
      </c>
      <c r="R11" s="6">
        <f>IFERROR((('raw-PriceList'!T11/'raw-PriceList'!T12)-1),"")</f>
        <v>-1.9928274378847255E-2</v>
      </c>
      <c r="S11" s="6">
        <f>IFERROR((('raw-PriceList'!U11/'raw-PriceList'!U12)-1),"")</f>
        <v>6.2575696406943493E-3</v>
      </c>
      <c r="T11" s="6">
        <f>IFERROR((('raw-PriceList'!V11/'raw-PriceList'!V12)-1),"")</f>
        <v>-2.4252415014275108E-2</v>
      </c>
      <c r="U11" s="6">
        <f>IFERROR((('raw-PriceList'!W11/'raw-PriceList'!W12)-1),"")</f>
        <v>1.6526125675915715E-2</v>
      </c>
      <c r="V11" s="6">
        <f>IFERROR((('raw-PriceList'!X11/'raw-PriceList'!X12)-1),"")</f>
        <v>2.4188335906305536E-3</v>
      </c>
      <c r="W11" s="6">
        <f>IFERROR((('raw-PriceList'!Y11/'raw-PriceList'!Y12)-1),"")</f>
        <v>1.7782134317610332E-2</v>
      </c>
      <c r="X11" s="6">
        <f>IFERROR((('raw-PriceList'!Z11/'raw-PriceList'!Z12)-1),"")</f>
        <v>9.3313158066048452E-3</v>
      </c>
      <c r="Y11" s="6">
        <f>IFERROR((('raw-PriceList'!AA11/'raw-PriceList'!AA12)-1),"")</f>
        <v>5.2699911363094376E-3</v>
      </c>
      <c r="Z11" s="6">
        <f>IFERROR((('raw-PriceList'!AB11/'raw-PriceList'!AB12)-1),"")</f>
        <v>-1.3861591790426231E-2</v>
      </c>
      <c r="AA11" s="6">
        <f>IFERROR((('raw-PriceList'!AC11/'raw-PriceList'!AC12)-1),"")</f>
        <v>3.7323080543871789E-4</v>
      </c>
      <c r="AB11" s="6">
        <f>IFERROR((('raw-PriceList'!AD11/'raw-PriceList'!AD12)-1),"")</f>
        <v>2.4111580312046632E-2</v>
      </c>
      <c r="AC11" s="6">
        <f>IFERROR((('raw-PriceList'!AE11/'raw-PriceList'!AE12)-1),"")</f>
        <v>2.4111580312046632E-2</v>
      </c>
      <c r="AD11" s="6">
        <f>IFERROR((('raw-PriceList'!AF11/'raw-PriceList'!AF12)-1),"")</f>
        <v>3.748433056192102E-2</v>
      </c>
      <c r="AE11" s="6">
        <f>IFERROR((('raw-PriceList'!AG11/'raw-PriceList'!AG12)-1),"")</f>
        <v>-2.6291245550661535E-2</v>
      </c>
      <c r="AF11" s="6">
        <f>IFERROR((('raw-PriceList'!AH11/'raw-PriceList'!AH12)-1),"")</f>
        <v>-1.1053754967926155E-2</v>
      </c>
      <c r="AG11" s="6">
        <f>IFERROR((('raw-PriceList'!AJ11/'raw-PriceList'!AJ12)-1),"")</f>
        <v>-1.3733867972596236E-3</v>
      </c>
      <c r="AH11" s="6">
        <f>IFERROR((('raw-PriceList'!AK11/'raw-PriceList'!AK12)-1),"")</f>
        <v>5.6639768637094523E-3</v>
      </c>
      <c r="AI11" s="6">
        <f>IFERROR((('raw-PriceList'!AM11/'raw-PriceList'!AM12)-1),"")</f>
        <v>9.8849539237813033E-3</v>
      </c>
      <c r="AJ11" s="6">
        <f>IFERROR((('raw-PriceList'!AN11/'raw-PriceList'!AN12)-1),"")</f>
        <v>2.7168630631215995E-2</v>
      </c>
      <c r="AK11" s="6">
        <f>IFERROR((('raw-PriceList'!AO11/'raw-PriceList'!AO12)-1),"")</f>
        <v>3.0804349426867272E-3</v>
      </c>
      <c r="AL11" s="6">
        <f>IFERROR((('raw-PriceList'!AP11/'raw-PriceList'!AP12)-1),"")</f>
        <v>6.1464749986150924E-3</v>
      </c>
      <c r="AM11" s="6">
        <f>IFERROR((('raw-PriceList'!AQ11/'raw-PriceList'!AQ12)-1),"")</f>
        <v>4.3772194594473124E-2</v>
      </c>
      <c r="AN11" s="6">
        <f>IFERROR((('raw-PriceList'!AR11/'raw-PriceList'!AR12)-1),"")</f>
        <v>2.4531657477980584E-2</v>
      </c>
      <c r="AO11" s="6">
        <f>IFERROR((('raw-PriceList'!AS11/'raw-PriceList'!AS12)-1),"")</f>
        <v>-9.1962929514706193E-3</v>
      </c>
      <c r="AP11" s="6">
        <f>IFERROR((('raw-PriceList'!AT11/'raw-PriceList'!AT12)-1),"")</f>
        <v>-9.1962929514706193E-3</v>
      </c>
      <c r="AQ11" s="6">
        <f>IFERROR((('raw-PriceList'!AU11/'raw-PriceList'!AU12)-1),"")</f>
        <v>4.8638800817461858E-2</v>
      </c>
      <c r="AR11" s="6">
        <f>IFERROR((('raw-PriceList'!AV11/'raw-PriceList'!AV12)-1),"")</f>
        <v>-1.6376786670161403E-2</v>
      </c>
      <c r="AS11" s="6">
        <f>IFERROR((('raw-PriceList'!AW11/'raw-PriceList'!AW12)-1),"")</f>
        <v>1.597072076898276E-2</v>
      </c>
    </row>
    <row r="12" spans="1:45" x14ac:dyDescent="0.2">
      <c r="A12" s="2">
        <v>43220</v>
      </c>
      <c r="B12" s="6">
        <f>IFERROR((('raw-PriceList'!B12/'raw-PriceList'!B13)-1),"")</f>
        <v>-1.2700164033645267E-2</v>
      </c>
      <c r="C12" s="6">
        <f>IFERROR((('raw-PriceList'!C12/'raw-PriceList'!C13)-1),"")</f>
        <v>-2.5182641691409047E-2</v>
      </c>
      <c r="D12" s="6">
        <f>IFERROR((('raw-PriceList'!D12/'raw-PriceList'!D13)-1),"")</f>
        <v>-1.1003457800644489E-2</v>
      </c>
      <c r="E12" s="6">
        <f>IFERROR((('raw-PriceList'!F12/'raw-PriceList'!F13)-1),"")</f>
        <v>-2.3806239248227445E-3</v>
      </c>
      <c r="F12" s="6">
        <f>IFERROR((('raw-PriceList'!G12/'raw-PriceList'!G13)-1),"")</f>
        <v>-3.8402341238641391E-3</v>
      </c>
      <c r="G12" s="6">
        <f>IFERROR((('raw-PriceList'!H12/'raw-PriceList'!H13)-1),"")</f>
        <v>-2.7690376958970475E-2</v>
      </c>
      <c r="H12" s="6">
        <f>IFERROR((('raw-PriceList'!J12/'raw-PriceList'!J13)-1),"")</f>
        <v>4.6433698961179104E-3</v>
      </c>
      <c r="I12" s="6">
        <f>IFERROR((('raw-PriceList'!K12/'raw-PriceList'!K13)-1),"")</f>
        <v>4.133725061309601E-3</v>
      </c>
      <c r="J12" s="6">
        <f>IFERROR((('raw-PriceList'!L12/'raw-PriceList'!L13)-1),"")</f>
        <v>4.6077542055800169E-3</v>
      </c>
      <c r="K12" s="6">
        <f>IFERROR((('raw-PriceList'!M12/'raw-PriceList'!M13)-1),"")</f>
        <v>3.7318535058452618E-3</v>
      </c>
      <c r="L12" s="6">
        <f>IFERROR((('raw-PriceList'!N12/'raw-PriceList'!N13)-1),"")</f>
        <v>2.5803552297571919E-3</v>
      </c>
      <c r="M12" s="6">
        <f>IFERROR((('raw-PriceList'!O12/'raw-PriceList'!O13)-1),"")</f>
        <v>4.025564190969666E-3</v>
      </c>
      <c r="N12" s="6">
        <f>IFERROR((('raw-PriceList'!P12/'raw-PriceList'!P13)-1),"")</f>
        <v>-1.3792731140164771E-2</v>
      </c>
      <c r="O12" s="6">
        <f>IFERROR((('raw-PriceList'!Q12/'raw-PriceList'!Q13)-1),"")</f>
        <v>-2.8572379281757598E-2</v>
      </c>
      <c r="P12" s="6">
        <f>IFERROR((('raw-PriceList'!R12/'raw-PriceList'!R13)-1),"")</f>
        <v>-3.4188409065959435E-3</v>
      </c>
      <c r="Q12" s="6">
        <f>IFERROR((('raw-PriceList'!S12/'raw-PriceList'!S13)-1),"")</f>
        <v>1.2631160750181447E-2</v>
      </c>
      <c r="R12" s="6">
        <f>IFERROR((('raw-PriceList'!T12/'raw-PriceList'!T13)-1),"")</f>
        <v>5.6882930191872738E-3</v>
      </c>
      <c r="S12" s="6">
        <f>IFERROR((('raw-PriceList'!U12/'raw-PriceList'!U13)-1),"")</f>
        <v>-1.0449602354292487E-2</v>
      </c>
      <c r="T12" s="6">
        <f>IFERROR((('raw-PriceList'!V12/'raw-PriceList'!V13)-1),"")</f>
        <v>2.1494274241075306E-2</v>
      </c>
      <c r="U12" s="6">
        <f>IFERROR((('raw-PriceList'!W12/'raw-PriceList'!W13)-1),"")</f>
        <v>-2.2695039620547197E-2</v>
      </c>
      <c r="V12" s="6">
        <f>IFERROR((('raw-PriceList'!X12/'raw-PriceList'!X13)-1),"")</f>
        <v>-3.0118124072080477E-3</v>
      </c>
      <c r="W12" s="6">
        <f>IFERROR((('raw-PriceList'!Y12/'raw-PriceList'!Y13)-1),"")</f>
        <v>-9.273302036367892E-3</v>
      </c>
      <c r="X12" s="6">
        <f>IFERROR((('raw-PriceList'!Z12/'raw-PriceList'!Z13)-1),"")</f>
        <v>1.5979667942854103E-2</v>
      </c>
      <c r="Y12" s="6">
        <f>IFERROR((('raw-PriceList'!AA12/'raw-PriceList'!AA13)-1),"")</f>
        <v>-7.3327627747751256E-3</v>
      </c>
      <c r="Z12" s="6">
        <f>IFERROR((('raw-PriceList'!AB12/'raw-PriceList'!AB13)-1),"")</f>
        <v>5.2445641200902227E-3</v>
      </c>
      <c r="AA12" s="6">
        <f>IFERROR((('raw-PriceList'!AC12/'raw-PriceList'!AC13)-1),"")</f>
        <v>4.499011118946683E-3</v>
      </c>
      <c r="AB12" s="6">
        <f>IFERROR((('raw-PriceList'!AD12/'raw-PriceList'!AD13)-1),"")</f>
        <v>3.4987333062788117E-3</v>
      </c>
      <c r="AC12" s="6">
        <f>IFERROR((('raw-PriceList'!AE12/'raw-PriceList'!AE13)-1),"")</f>
        <v>3.4987333062788117E-3</v>
      </c>
      <c r="AD12" s="6">
        <f>IFERROR((('raw-PriceList'!AF12/'raw-PriceList'!AF13)-1),"")</f>
        <v>-8.3981132523867075E-3</v>
      </c>
      <c r="AE12" s="6">
        <f>IFERROR((('raw-PriceList'!AG12/'raw-PriceList'!AG13)-1),"")</f>
        <v>1.3628773214402701E-2</v>
      </c>
      <c r="AF12" s="6">
        <f>IFERROR((('raw-PriceList'!AH12/'raw-PriceList'!AH13)-1),"")</f>
        <v>3.4149211437244364E-3</v>
      </c>
      <c r="AG12" s="6">
        <f>IFERROR((('raw-PriceList'!AJ12/'raw-PriceList'!AJ13)-1),"")</f>
        <v>3.0133470510007587E-3</v>
      </c>
      <c r="AH12" s="6">
        <f>IFERROR((('raw-PriceList'!AK12/'raw-PriceList'!AK13)-1),"")</f>
        <v>4.2277782237030159E-3</v>
      </c>
      <c r="AI12" s="6">
        <f>IFERROR((('raw-PriceList'!AM12/'raw-PriceList'!AM13)-1),"")</f>
        <v>-5.7113824457782902E-3</v>
      </c>
      <c r="AJ12" s="6">
        <f>IFERROR((('raw-PriceList'!AN12/'raw-PriceList'!AN13)-1),"")</f>
        <v>4.5109044716398206E-3</v>
      </c>
      <c r="AK12" s="6">
        <f>IFERROR((('raw-PriceList'!AO12/'raw-PriceList'!AO13)-1),"")</f>
        <v>-4.189353888768288E-4</v>
      </c>
      <c r="AL12" s="6">
        <f>IFERROR((('raw-PriceList'!AP12/'raw-PriceList'!AP13)-1),"")</f>
        <v>4.2811936863587086E-3</v>
      </c>
      <c r="AM12" s="6">
        <f>IFERROR((('raw-PriceList'!AQ12/'raw-PriceList'!AQ13)-1),"")</f>
        <v>2.7835510976574884E-3</v>
      </c>
      <c r="AN12" s="6">
        <f>IFERROR((('raw-PriceList'!AR12/'raw-PriceList'!AR13)-1),"")</f>
        <v>2.9490619054701739E-3</v>
      </c>
      <c r="AO12" s="6">
        <f>IFERROR((('raw-PriceList'!AS12/'raw-PriceList'!AS13)-1),"")</f>
        <v>-1.8894522324658047E-2</v>
      </c>
      <c r="AP12" s="6">
        <f>IFERROR((('raw-PriceList'!AT12/'raw-PriceList'!AT13)-1),"")</f>
        <v>-1.8894522324658047E-2</v>
      </c>
      <c r="AQ12" s="6">
        <f>IFERROR((('raw-PriceList'!AU12/'raw-PriceList'!AU13)-1),"")</f>
        <v>2.1826544092873323E-3</v>
      </c>
      <c r="AR12" s="6">
        <f>IFERROR((('raw-PriceList'!AV12/'raw-PriceList'!AV13)-1),"")</f>
        <v>4.6095800466918746E-3</v>
      </c>
      <c r="AS12" s="6">
        <f>IFERROR((('raw-PriceList'!AW12/'raw-PriceList'!AW13)-1),"")</f>
        <v>1.3274170537089791E-3</v>
      </c>
    </row>
    <row r="13" spans="1:45" x14ac:dyDescent="0.2">
      <c r="A13" s="2">
        <v>43190</v>
      </c>
      <c r="B13" s="6">
        <f>IFERROR((('raw-PriceList'!B13/'raw-PriceList'!B14)-1),"")</f>
        <v>3.1841386367632563E-3</v>
      </c>
      <c r="C13" s="6">
        <f>IFERROR((('raw-PriceList'!C13/'raw-PriceList'!C14)-1),"")</f>
        <v>1.2034619485561393E-2</v>
      </c>
      <c r="D13" s="6">
        <f>IFERROR((('raw-PriceList'!D13/'raw-PriceList'!D14)-1),"")</f>
        <v>4.7705893356020379E-3</v>
      </c>
      <c r="E13" s="6">
        <f>IFERROR((('raw-PriceList'!F13/'raw-PriceList'!F14)-1),"")</f>
        <v>1.0677333597285843E-2</v>
      </c>
      <c r="F13" s="6">
        <f>IFERROR((('raw-PriceList'!G13/'raw-PriceList'!G14)-1),"")</f>
        <v>9.0213287434726119E-4</v>
      </c>
      <c r="G13" s="6">
        <f>IFERROR((('raw-PriceList'!H13/'raw-PriceList'!H14)-1),"")</f>
        <v>3.3818200582114821E-2</v>
      </c>
      <c r="H13" s="6">
        <f>IFERROR((('raw-PriceList'!J13/'raw-PriceList'!J14)-1),"")</f>
        <v>-3.4847270114100604E-2</v>
      </c>
      <c r="I13" s="6">
        <f>IFERROR((('raw-PriceList'!K13/'raw-PriceList'!K14)-1),"")</f>
        <v>-3.3919371449696478E-2</v>
      </c>
      <c r="J13" s="6">
        <f>IFERROR((('raw-PriceList'!L13/'raw-PriceList'!L14)-1),"")</f>
        <v>-3.1888363016798316E-2</v>
      </c>
      <c r="K13" s="6">
        <f>IFERROR((('raw-PriceList'!M13/'raw-PriceList'!M14)-1),"")</f>
        <v>7.9602731396593018E-3</v>
      </c>
      <c r="L13" s="6">
        <f>IFERROR((('raw-PriceList'!N13/'raw-PriceList'!N14)-1),"")</f>
        <v>1.3523126964790855E-2</v>
      </c>
      <c r="M13" s="6">
        <f>IFERROR((('raw-PriceList'!O13/'raw-PriceList'!O14)-1),"")</f>
        <v>3.7115846797548535E-3</v>
      </c>
      <c r="N13" s="6">
        <f>IFERROR((('raw-PriceList'!P13/'raw-PriceList'!P14)-1),"")</f>
        <v>-1.4615724893363158E-5</v>
      </c>
      <c r="O13" s="6">
        <f>IFERROR((('raw-PriceList'!Q13/'raw-PriceList'!Q14)-1),"")</f>
        <v>6.1903216352658941E-3</v>
      </c>
      <c r="P13" s="6">
        <f>IFERROR((('raw-PriceList'!R13/'raw-PriceList'!R14)-1),"")</f>
        <v>-3.9650171039951054E-4</v>
      </c>
      <c r="Q13" s="6">
        <f>IFERROR((('raw-PriceList'!S13/'raw-PriceList'!S14)-1),"")</f>
        <v>-7.6027566384512246E-3</v>
      </c>
      <c r="R13" s="6">
        <f>IFERROR((('raw-PriceList'!T13/'raw-PriceList'!T14)-1),"")</f>
        <v>-7.2791674274238494E-3</v>
      </c>
      <c r="S13" s="6">
        <f>IFERROR((('raw-PriceList'!U13/'raw-PriceList'!U14)-1),"")</f>
        <v>5.6778678286519835E-3</v>
      </c>
      <c r="T13" s="6">
        <f>IFERROR((('raw-PriceList'!V13/'raw-PriceList'!V14)-1),"")</f>
        <v>-8.359231221529928E-3</v>
      </c>
      <c r="U13" s="6">
        <f>IFERROR((('raw-PriceList'!W13/'raw-PriceList'!W14)-1),"")</f>
        <v>2.6564041752935807E-2</v>
      </c>
      <c r="V13" s="6">
        <f>IFERROR((('raw-PriceList'!X13/'raw-PriceList'!X14)-1),"")</f>
        <v>6.8617707368567871E-4</v>
      </c>
      <c r="W13" s="6">
        <f>IFERROR((('raw-PriceList'!Y13/'raw-PriceList'!Y14)-1),"")</f>
        <v>-1.7306698476834748E-2</v>
      </c>
      <c r="X13" s="6">
        <f>IFERROR((('raw-PriceList'!Z13/'raw-PriceList'!Z14)-1),"")</f>
        <v>-3.8603338900384809E-3</v>
      </c>
      <c r="Y13" s="6">
        <f>IFERROR((('raw-PriceList'!AA13/'raw-PriceList'!AA14)-1),"")</f>
        <v>3.6585932787620568E-3</v>
      </c>
      <c r="Z13" s="6">
        <f>IFERROR((('raw-PriceList'!AB13/'raw-PriceList'!AB14)-1),"")</f>
        <v>2.6993201673460199E-2</v>
      </c>
      <c r="AA13" s="6">
        <f>IFERROR((('raw-PriceList'!AC13/'raw-PriceList'!AC14)-1),"")</f>
        <v>-7.7096313423167251E-3</v>
      </c>
      <c r="AB13" s="6">
        <f>IFERROR((('raw-PriceList'!AD13/'raw-PriceList'!AD14)-1),"")</f>
        <v>-2.9132127387770712E-2</v>
      </c>
      <c r="AC13" s="6">
        <f>IFERROR((('raw-PriceList'!AE13/'raw-PriceList'!AE14)-1),"")</f>
        <v>-2.9132127387770712E-2</v>
      </c>
      <c r="AD13" s="6">
        <f>IFERROR((('raw-PriceList'!AF13/'raw-PriceList'!AF14)-1),"")</f>
        <v>-4.7830971116780141E-4</v>
      </c>
      <c r="AE13" s="6">
        <f>IFERROR((('raw-PriceList'!AG13/'raw-PriceList'!AG14)-1),"")</f>
        <v>-3.7386367754587146E-2</v>
      </c>
      <c r="AF13" s="6">
        <f>IFERROR((('raw-PriceList'!AH13/'raw-PriceList'!AH14)-1),"")</f>
        <v>-4.7615630456212532E-3</v>
      </c>
      <c r="AG13" s="6">
        <f>IFERROR((('raw-PriceList'!AJ13/'raw-PriceList'!AJ14)-1),"")</f>
        <v>1.9863632578509538E-3</v>
      </c>
      <c r="AH13" s="6">
        <f>IFERROR((('raw-PriceList'!AK13/'raw-PriceList'!AK14)-1),"")</f>
        <v>-1.6304983879785406E-2</v>
      </c>
      <c r="AI13" s="6">
        <f>IFERROR((('raw-PriceList'!AM13/'raw-PriceList'!AM14)-1),"")</f>
        <v>2.5610700388145613E-3</v>
      </c>
      <c r="AJ13" s="6">
        <f>IFERROR((('raw-PriceList'!AN13/'raw-PriceList'!AN14)-1),"")</f>
        <v>-2.3600000633091534E-2</v>
      </c>
      <c r="AK13" s="6">
        <f>IFERROR((('raw-PriceList'!AO13/'raw-PriceList'!AO14)-1),"")</f>
        <v>5.9630064066529265E-3</v>
      </c>
      <c r="AL13" s="6">
        <f>IFERROR((('raw-PriceList'!AP13/'raw-PriceList'!AP14)-1),"")</f>
        <v>-3.0379764204046866E-2</v>
      </c>
      <c r="AM13" s="6">
        <f>IFERROR((('raw-PriceList'!AQ13/'raw-PriceList'!AQ14)-1),"")</f>
        <v>-2.7232897089024655E-2</v>
      </c>
      <c r="AN13" s="6">
        <f>IFERROR((('raw-PriceList'!AR13/'raw-PriceList'!AR14)-1),"")</f>
        <v>-2.8393825256905481E-2</v>
      </c>
      <c r="AO13" s="6">
        <f>IFERROR((('raw-PriceList'!AS13/'raw-PriceList'!AS14)-1),"")</f>
        <v>1.6735364185374024E-3</v>
      </c>
      <c r="AP13" s="6">
        <f>IFERROR((('raw-PriceList'!AT13/'raw-PriceList'!AT14)-1),"")</f>
        <v>1.6735364185374024E-3</v>
      </c>
      <c r="AQ13" s="6">
        <f>IFERROR((('raw-PriceList'!AU13/'raw-PriceList'!AU14)-1),"")</f>
        <v>3.9485382516610823E-3</v>
      </c>
      <c r="AR13" s="6">
        <f>IFERROR((('raw-PriceList'!AV13/'raw-PriceList'!AV14)-1),"")</f>
        <v>-6.3492163899537823E-3</v>
      </c>
      <c r="AS13" s="6">
        <f>IFERROR((('raw-PriceList'!AW13/'raw-PriceList'!AW14)-1),"")</f>
        <v>-2.88319922693685E-2</v>
      </c>
    </row>
    <row r="14" spans="1:45" x14ac:dyDescent="0.2">
      <c r="A14" s="2">
        <v>43159</v>
      </c>
      <c r="B14" s="6">
        <f>IFERROR((('raw-PriceList'!B14/'raw-PriceList'!B15)-1),"")</f>
        <v>-1.2456862523691825E-2</v>
      </c>
      <c r="C14" s="6">
        <f>IFERROR((('raw-PriceList'!C14/'raw-PriceList'!C15)-1),"")</f>
        <v>-3.4302930852319613E-2</v>
      </c>
      <c r="D14" s="6">
        <f>IFERROR((('raw-PriceList'!D14/'raw-PriceList'!D15)-1),"")</f>
        <v>-1.2526219906845992E-2</v>
      </c>
      <c r="E14" s="6">
        <f>IFERROR((('raw-PriceList'!F14/'raw-PriceList'!F15)-1),"")</f>
        <v>1.6690426894245824E-3</v>
      </c>
      <c r="F14" s="6">
        <f>IFERROR((('raw-PriceList'!G14/'raw-PriceList'!G15)-1),"")</f>
        <v>-4.4594267747006811E-3</v>
      </c>
      <c r="G14" s="6">
        <f>IFERROR((('raw-PriceList'!H14/'raw-PriceList'!H15)-1),"")</f>
        <v>-4.2909653784955148E-2</v>
      </c>
      <c r="H14" s="6">
        <f>IFERROR((('raw-PriceList'!J14/'raw-PriceList'!J15)-1),"")</f>
        <v>-3.4856076972829664E-2</v>
      </c>
      <c r="I14" s="6">
        <f>IFERROR((('raw-PriceList'!K14/'raw-PriceList'!K15)-1),"")</f>
        <v>-2.7911722697618657E-2</v>
      </c>
      <c r="J14" s="6">
        <f>IFERROR((('raw-PriceList'!L14/'raw-PriceList'!L15)-1),"")</f>
        <v>-4.3759064831285888E-2</v>
      </c>
      <c r="K14" s="6">
        <f>IFERROR((('raw-PriceList'!M14/'raw-PriceList'!M15)-1),"")</f>
        <v>-3.9720844336980754E-2</v>
      </c>
      <c r="L14" s="6">
        <f>IFERROR((('raw-PriceList'!N14/'raw-PriceList'!N15)-1),"")</f>
        <v>-3.1815964894461923E-2</v>
      </c>
      <c r="M14" s="6">
        <f>IFERROR((('raw-PriceList'!O14/'raw-PriceList'!O15)-1),"")</f>
        <v>-4.7301382148795201E-2</v>
      </c>
      <c r="N14" s="6">
        <f>IFERROR((('raw-PriceList'!P14/'raw-PriceList'!P15)-1),"")</f>
        <v>-1.7837156631348661E-2</v>
      </c>
      <c r="O14" s="6">
        <f>IFERROR((('raw-PriceList'!Q14/'raw-PriceList'!Q15)-1),"")</f>
        <v>-4.141284627407793E-2</v>
      </c>
      <c r="P14" s="6">
        <f>IFERROR((('raw-PriceList'!R14/'raw-PriceList'!R15)-1),"")</f>
        <v>-7.2012867972697236E-3</v>
      </c>
      <c r="Q14" s="6">
        <f>IFERROR((('raw-PriceList'!S14/'raw-PriceList'!S15)-1),"")</f>
        <v>-5.1081542254866941E-2</v>
      </c>
      <c r="R14" s="6">
        <f>IFERROR((('raw-PriceList'!T14/'raw-PriceList'!T15)-1),"")</f>
        <v>-5.3061574511190757E-2</v>
      </c>
      <c r="S14" s="6">
        <f>IFERROR((('raw-PriceList'!U14/'raw-PriceList'!U15)-1),"")</f>
        <v>-6.2193945706932041E-3</v>
      </c>
      <c r="T14" s="6">
        <f>IFERROR((('raw-PriceList'!V14/'raw-PriceList'!V15)-1),"")</f>
        <v>-6.1443493804049676E-2</v>
      </c>
      <c r="U14" s="6">
        <f>IFERROR((('raw-PriceList'!W14/'raw-PriceList'!W15)-1),"")</f>
        <v>-3.216434793859857E-2</v>
      </c>
      <c r="V14" s="6">
        <f>IFERROR((('raw-PriceList'!X14/'raw-PriceList'!X15)-1),"")</f>
        <v>-1.4743454897908626E-3</v>
      </c>
      <c r="W14" s="6">
        <f>IFERROR((('raw-PriceList'!Y14/'raw-PriceList'!Y15)-1),"")</f>
        <v>-4.0363439972517345E-2</v>
      </c>
      <c r="X14" s="6">
        <f>IFERROR((('raw-PriceList'!Z14/'raw-PriceList'!Z15)-1),"")</f>
        <v>-6.1402457009875455E-2</v>
      </c>
      <c r="Y14" s="6">
        <f>IFERROR((('raw-PriceList'!AA14/'raw-PriceList'!AA15)-1),"")</f>
        <v>-8.4304818914368029E-3</v>
      </c>
      <c r="Z14" s="6">
        <f>IFERROR((('raw-PriceList'!AB14/'raw-PriceList'!AB15)-1),"")</f>
        <v>-7.0527489153883849E-2</v>
      </c>
      <c r="AA14" s="6">
        <f>IFERROR((('raw-PriceList'!AC14/'raw-PriceList'!AC15)-1),"")</f>
        <v>-4.6847148927825488E-2</v>
      </c>
      <c r="AB14" s="6">
        <f>IFERROR((('raw-PriceList'!AD14/'raw-PriceList'!AD15)-1),"")</f>
        <v>-3.7245206872275727E-2</v>
      </c>
      <c r="AC14" s="6">
        <f>IFERROR((('raw-PriceList'!AE14/'raw-PriceList'!AE15)-1),"")</f>
        <v>-3.7245206872275727E-2</v>
      </c>
      <c r="AD14" s="6">
        <f>IFERROR((('raw-PriceList'!AF14/'raw-PriceList'!AF15)-1),"")</f>
        <v>-3.2828861089351569E-2</v>
      </c>
      <c r="AE14" s="6">
        <f>IFERROR((('raw-PriceList'!AG14/'raw-PriceList'!AG15)-1),"")</f>
        <v>-5.7159450360362407E-2</v>
      </c>
      <c r="AF14" s="6">
        <f>IFERROR((('raw-PriceList'!AH14/'raw-PriceList'!AH15)-1),"")</f>
        <v>-4.0075128752672495E-2</v>
      </c>
      <c r="AG14" s="6">
        <f>IFERROR((('raw-PriceList'!AJ14/'raw-PriceList'!AJ15)-1),"")</f>
        <v>-4.4209814647761303E-2</v>
      </c>
      <c r="AH14" s="6">
        <f>IFERROR((('raw-PriceList'!AK14/'raw-PriceList'!AK15)-1),"")</f>
        <v>-4.4422840619304904E-2</v>
      </c>
      <c r="AI14" s="6">
        <f>IFERROR((('raw-PriceList'!AM14/'raw-PriceList'!AM15)-1),"")</f>
        <v>-8.0204166021684564E-3</v>
      </c>
      <c r="AJ14" s="6">
        <f>IFERROR((('raw-PriceList'!AN14/'raw-PriceList'!AN15)-1),"")</f>
        <v>-3.7596624314583993E-2</v>
      </c>
      <c r="AK14" s="6">
        <f>IFERROR((('raw-PriceList'!AO14/'raw-PriceList'!AO15)-1),"")</f>
        <v>-6.3164818449956694E-4</v>
      </c>
      <c r="AL14" s="6">
        <f>IFERROR((('raw-PriceList'!AP14/'raw-PriceList'!AP15)-1),"")</f>
        <v>-4.4260973828011863E-2</v>
      </c>
      <c r="AM14" s="6">
        <f>IFERROR((('raw-PriceList'!AQ14/'raw-PriceList'!AQ15)-1),"")</f>
        <v>-2.9254817683591727E-2</v>
      </c>
      <c r="AN14" s="6">
        <f>IFERROR((('raw-PriceList'!AR14/'raw-PriceList'!AR15)-1),"")</f>
        <v>-3.7124991925725936E-2</v>
      </c>
      <c r="AO14" s="6">
        <f>IFERROR((('raw-PriceList'!AS14/'raw-PriceList'!AS15)-1),"")</f>
        <v>-1.9773817198668997E-2</v>
      </c>
      <c r="AP14" s="6">
        <f>IFERROR((('raw-PriceList'!AT14/'raw-PriceList'!AT15)-1),"")</f>
        <v>-1.9773817198668997E-2</v>
      </c>
      <c r="AQ14" s="6">
        <f>IFERROR((('raw-PriceList'!AU14/'raw-PriceList'!AU15)-1),"")</f>
        <v>-3.7373342928946673E-2</v>
      </c>
      <c r="AR14" s="6">
        <f>IFERROR((('raw-PriceList'!AV14/'raw-PriceList'!AV15)-1),"")</f>
        <v>-5.2436932591457097E-2</v>
      </c>
      <c r="AS14" s="6">
        <f>IFERROR((('raw-PriceList'!AW14/'raw-PriceList'!AW15)-1),"")</f>
        <v>-4.7227616977067233E-2</v>
      </c>
    </row>
    <row r="15" spans="1:45" x14ac:dyDescent="0.2">
      <c r="A15" s="2">
        <v>43131</v>
      </c>
      <c r="B15" s="6">
        <f>IFERROR((('raw-PriceList'!B15/'raw-PriceList'!B16)-1),"")</f>
        <v>-1.5414764071431164E-2</v>
      </c>
      <c r="C15" s="6">
        <f>IFERROR((('raw-PriceList'!C15/'raw-PriceList'!C16)-1),"")</f>
        <v>-2.1679950021770922E-2</v>
      </c>
      <c r="D15" s="6">
        <f>IFERROR((('raw-PriceList'!D15/'raw-PriceList'!D16)-1),"")</f>
        <v>-1.2416657850310431E-2</v>
      </c>
      <c r="E15" s="6">
        <f>IFERROR((('raw-PriceList'!F15/'raw-PriceList'!F16)-1),"")</f>
        <v>-5.7322979345667546E-3</v>
      </c>
      <c r="F15" s="6">
        <f>IFERROR((('raw-PriceList'!G15/'raw-PriceList'!G16)-1),"")</f>
        <v>-4.776563963756697E-3</v>
      </c>
      <c r="G15" s="6">
        <f>IFERROR((('raw-PriceList'!H15/'raw-PriceList'!H16)-1),"")</f>
        <v>-4.2624335443893324E-2</v>
      </c>
      <c r="H15" s="6">
        <f>IFERROR((('raw-PriceList'!J15/'raw-PriceList'!J16)-1),"")</f>
        <v>5.9487016014121874E-2</v>
      </c>
      <c r="I15" s="6">
        <f>IFERROR((('raw-PriceList'!K15/'raw-PriceList'!K16)-1),"")</f>
        <v>7.3451975553013193E-2</v>
      </c>
      <c r="J15" s="6">
        <f>IFERROR((('raw-PriceList'!L15/'raw-PriceList'!L16)-1),"")</f>
        <v>4.6298788518456258E-2</v>
      </c>
      <c r="K15" s="6">
        <f>IFERROR((('raw-PriceList'!M15/'raw-PriceList'!M16)-1),"")</f>
        <v>2.7012094325345126E-2</v>
      </c>
      <c r="L15" s="6">
        <f>IFERROR((('raw-PriceList'!N15/'raw-PriceList'!N16)-1),"")</f>
        <v>3.8755811752227975E-2</v>
      </c>
      <c r="M15" s="6">
        <f>IFERROR((('raw-PriceList'!O15/'raw-PriceList'!O16)-1),"")</f>
        <v>1.9316919246694431E-2</v>
      </c>
      <c r="N15" s="6">
        <f>IFERROR((('raw-PriceList'!P15/'raw-PriceList'!P16)-1),"")</f>
        <v>-1.1544822955351086E-2</v>
      </c>
      <c r="O15" s="6">
        <f>IFERROR((('raw-PriceList'!Q15/'raw-PriceList'!Q16)-1),"")</f>
        <v>-1.0746856444489805E-2</v>
      </c>
      <c r="P15" s="6">
        <f>IFERROR((('raw-PriceList'!R15/'raw-PriceList'!R16)-1),"")</f>
        <v>-3.4189790981122847E-3</v>
      </c>
      <c r="Q15" s="6">
        <f>IFERROR((('raw-PriceList'!S15/'raw-PriceList'!S16)-1),"")</f>
        <v>4.7460693513281527E-2</v>
      </c>
      <c r="R15" s="6">
        <f>IFERROR((('raw-PriceList'!T15/'raw-PriceList'!T16)-1),"")</f>
        <v>5.7012566306537948E-2</v>
      </c>
      <c r="S15" s="6">
        <f>IFERROR((('raw-PriceList'!U15/'raw-PriceList'!U16)-1),"")</f>
        <v>-1.4442003409802395E-2</v>
      </c>
      <c r="T15" s="6">
        <f>IFERROR((('raw-PriceList'!V15/'raw-PriceList'!V16)-1),"")</f>
        <v>5.6292112321502108E-2</v>
      </c>
      <c r="U15" s="6">
        <f>IFERROR((('raw-PriceList'!W15/'raw-PriceList'!W16)-1),"")</f>
        <v>-3.1940336739169295E-2</v>
      </c>
      <c r="V15" s="6">
        <f>IFERROR((('raw-PriceList'!X15/'raw-PriceList'!X16)-1),"")</f>
        <v>-3.1877987731885327E-3</v>
      </c>
      <c r="W15" s="6">
        <f>IFERROR((('raw-PriceList'!Y15/'raw-PriceList'!Y16)-1),"")</f>
        <v>5.0120494916084724E-2</v>
      </c>
      <c r="X15" s="6">
        <f>IFERROR((('raw-PriceList'!Z15/'raw-PriceList'!Z16)-1),"")</f>
        <v>3.9064715301181385E-2</v>
      </c>
      <c r="Y15" s="6">
        <f>IFERROR((('raw-PriceList'!AA15/'raw-PriceList'!AA16)-1),"")</f>
        <v>-1.1286168170084432E-2</v>
      </c>
      <c r="Z15" s="6">
        <f>IFERROR((('raw-PriceList'!AB15/'raw-PriceList'!AB16)-1),"")</f>
        <v>5.5215547594509973E-2</v>
      </c>
      <c r="AA15" s="6">
        <f>IFERROR((('raw-PriceList'!AC15/'raw-PriceList'!AC16)-1),"")</f>
        <v>3.6749806821054554E-2</v>
      </c>
      <c r="AB15" s="6">
        <f>IFERROR((('raw-PriceList'!AD15/'raw-PriceList'!AD16)-1),"")</f>
        <v>5.5831816071362228E-2</v>
      </c>
      <c r="AC15" s="6">
        <f>IFERROR((('raw-PriceList'!AE15/'raw-PriceList'!AE16)-1),"")</f>
        <v>5.5831816071362228E-2</v>
      </c>
      <c r="AD15" s="6">
        <f>IFERROR((('raw-PriceList'!AF15/'raw-PriceList'!AF16)-1),"")</f>
        <v>4.9632504632153074E-2</v>
      </c>
      <c r="AE15" s="6">
        <f>IFERROR((('raw-PriceList'!AG15/'raw-PriceList'!AG16)-1),"")</f>
        <v>1.1395559120846777E-2</v>
      </c>
      <c r="AF15" s="6">
        <f>IFERROR((('raw-PriceList'!AH15/'raw-PriceList'!AH16)-1),"")</f>
        <v>4.7464849514577523E-2</v>
      </c>
      <c r="AG15" s="6">
        <f>IFERROR((('raw-PriceList'!AJ15/'raw-PriceList'!AJ16)-1),"")</f>
        <v>4.4272121740094539E-2</v>
      </c>
      <c r="AH15" s="6">
        <f>IFERROR((('raw-PriceList'!AK15/'raw-PriceList'!AK16)-1),"")</f>
        <v>5.4800515753717471E-2</v>
      </c>
      <c r="AI15" s="6">
        <f>IFERROR((('raw-PriceList'!AM15/'raw-PriceList'!AM16)-1),"")</f>
        <v>-1.1168084971337255E-2</v>
      </c>
      <c r="AJ15" s="6">
        <f>IFERROR((('raw-PriceList'!AN15/'raw-PriceList'!AN16)-1),"")</f>
        <v>5.225053890945186E-2</v>
      </c>
      <c r="AK15" s="6">
        <f>IFERROR((('raw-PriceList'!AO15/'raw-PriceList'!AO16)-1),"")</f>
        <v>-3.4625479879573096E-3</v>
      </c>
      <c r="AL15" s="6">
        <f>IFERROR((('raw-PriceList'!AP15/'raw-PriceList'!AP16)-1),"")</f>
        <v>4.7022262264371006E-2</v>
      </c>
      <c r="AM15" s="6">
        <f>IFERROR((('raw-PriceList'!AQ15/'raw-PriceList'!AQ16)-1),"")</f>
        <v>6.835575796683302E-2</v>
      </c>
      <c r="AN15" s="6">
        <f>IFERROR((('raw-PriceList'!AR15/'raw-PriceList'!AR16)-1),"")</f>
        <v>5.7154780105831415E-2</v>
      </c>
      <c r="AO15" s="6">
        <f>IFERROR((('raw-PriceList'!AS15/'raw-PriceList'!AS16)-1),"")</f>
        <v>-4.6435960605860638E-3</v>
      </c>
      <c r="AP15" s="6">
        <f>IFERROR((('raw-PriceList'!AT15/'raw-PriceList'!AT16)-1),"")</f>
        <v>-4.6435960605860638E-3</v>
      </c>
      <c r="AQ15" s="6">
        <f>IFERROR((('raw-PriceList'!AU15/'raw-PriceList'!AU16)-1),"")</f>
        <v>3.3148155672380719E-2</v>
      </c>
      <c r="AR15" s="6">
        <f>IFERROR((('raw-PriceList'!AV15/'raw-PriceList'!AV16)-1),"")</f>
        <v>5.7219061379263358E-2</v>
      </c>
      <c r="AS15" s="6">
        <f>IFERROR((('raw-PriceList'!AW15/'raw-PriceList'!AW16)-1),"")</f>
        <v>4.1097301368181682E-2</v>
      </c>
    </row>
    <row r="16" spans="1:45" x14ac:dyDescent="0.2">
      <c r="A16" s="2">
        <v>43100</v>
      </c>
      <c r="B16" s="6">
        <f>IFERROR((('raw-PriceList'!B16/'raw-PriceList'!B17)-1),"")</f>
        <v>-2.9594609863283772E-3</v>
      </c>
      <c r="C16" s="6">
        <f>IFERROR((('raw-PriceList'!C16/'raw-PriceList'!C17)-1),"")</f>
        <v>1.2467176229307375E-2</v>
      </c>
      <c r="D16" s="6">
        <f>IFERROR((('raw-PriceList'!D16/'raw-PriceList'!D17)-1),"")</f>
        <v>7.4038614419169591E-4</v>
      </c>
      <c r="E16" s="6">
        <f>IFERROR((('raw-PriceList'!F16/'raw-PriceList'!F17)-1),"")</f>
        <v>-1.0723230858859067E-2</v>
      </c>
      <c r="F16" s="6">
        <f>IFERROR((('raw-PriceList'!G16/'raw-PriceList'!G17)-1),"")</f>
        <v>-3.2875669736239788E-3</v>
      </c>
      <c r="G16" s="6">
        <f>IFERROR((('raw-PriceList'!H16/'raw-PriceList'!H17)-1),"")</f>
        <v>2.1455593198872691E-2</v>
      </c>
      <c r="H16" s="6">
        <f>IFERROR((('raw-PriceList'!J16/'raw-PriceList'!J17)-1),"")</f>
        <v>7.6730141517236117E-3</v>
      </c>
      <c r="I16" s="6">
        <f>IFERROR((('raw-PriceList'!K16/'raw-PriceList'!K17)-1),"")</f>
        <v>6.8626943839238397E-3</v>
      </c>
      <c r="J16" s="6">
        <f>IFERROR((('raw-PriceList'!L16/'raw-PriceList'!L17)-1),"")</f>
        <v>1.0039350003672398E-2</v>
      </c>
      <c r="K16" s="6">
        <f>IFERROR((('raw-PriceList'!M16/'raw-PriceList'!M17)-1),"")</f>
        <v>-7.2127418073730798E-4</v>
      </c>
      <c r="L16" s="6">
        <f>IFERROR((('raw-PriceList'!N16/'raw-PriceList'!N17)-1),"")</f>
        <v>-7.8558728737632144E-4</v>
      </c>
      <c r="M16" s="6">
        <f>IFERROR((('raw-PriceList'!O16/'raw-PriceList'!O17)-1),"")</f>
        <v>-1.4330162306723793E-3</v>
      </c>
      <c r="N16" s="6">
        <f>IFERROR((('raw-PriceList'!P16/'raw-PriceList'!P17)-1),"")</f>
        <v>-1.170846426872485E-3</v>
      </c>
      <c r="O16" s="6">
        <f>IFERROR((('raw-PriceList'!Q16/'raw-PriceList'!Q17)-1),"")</f>
        <v>1.483021521215222E-2</v>
      </c>
      <c r="P16" s="6">
        <f>IFERROR((('raw-PriceList'!R16/'raw-PriceList'!R17)-1),"")</f>
        <v>-4.1388388420945388E-3</v>
      </c>
      <c r="Q16" s="6">
        <f>IFERROR((('raw-PriceList'!S16/'raw-PriceList'!S17)-1),"")</f>
        <v>6.724771782798511E-3</v>
      </c>
      <c r="R16" s="6">
        <f>IFERROR((('raw-PriceList'!T16/'raw-PriceList'!T17)-1),"")</f>
        <v>1.1816502497212555E-2</v>
      </c>
      <c r="S16" s="6">
        <f>IFERROR((('raw-PriceList'!U16/'raw-PriceList'!U17)-1),"")</f>
        <v>-2.8363536098747755E-3</v>
      </c>
      <c r="T16" s="6">
        <f>IFERROR((('raw-PriceList'!V16/'raw-PriceList'!V17)-1),"")</f>
        <v>9.8987401075771864E-3</v>
      </c>
      <c r="U16" s="6">
        <f>IFERROR((('raw-PriceList'!W16/'raw-PriceList'!W17)-1),"")</f>
        <v>1.2592689043197325E-2</v>
      </c>
      <c r="V16" s="6">
        <f>IFERROR((('raw-PriceList'!X16/'raw-PriceList'!X17)-1),"")</f>
        <v>-2.4870044131958258E-3</v>
      </c>
      <c r="W16" s="6">
        <f>IFERROR((('raw-PriceList'!Y16/'raw-PriceList'!Y17)-1),"")</f>
        <v>9.0630001431948326E-3</v>
      </c>
      <c r="X16" s="6">
        <f>IFERROR((('raw-PriceList'!Z16/'raw-PriceList'!Z17)-1),"")</f>
        <v>7.1317735252902636E-3</v>
      </c>
      <c r="Y16" s="6">
        <f>IFERROR((('raw-PriceList'!AA16/'raw-PriceList'!AA17)-1),"")</f>
        <v>-1.8953542883103358E-3</v>
      </c>
      <c r="Z16" s="6">
        <f>IFERROR((('raw-PriceList'!AB16/'raw-PriceList'!AB17)-1),"")</f>
        <v>-6.4953820163671239E-4</v>
      </c>
      <c r="AA16" s="6">
        <f>IFERROR((('raw-PriceList'!AC16/'raw-PriceList'!AC17)-1),"")</f>
        <v>1.3083725124620971E-2</v>
      </c>
      <c r="AB16" s="6">
        <f>IFERROR((('raw-PriceList'!AD16/'raw-PriceList'!AD17)-1),"")</f>
        <v>7.9864698760208075E-3</v>
      </c>
      <c r="AC16" s="6">
        <f>IFERROR((('raw-PriceList'!AE16/'raw-PriceList'!AE17)-1),"")</f>
        <v>7.9864698760208075E-3</v>
      </c>
      <c r="AD16" s="6">
        <f>IFERROR((('raw-PriceList'!AF16/'raw-PriceList'!AF17)-1),"")</f>
        <v>-1.9564428527715227E-3</v>
      </c>
      <c r="AE16" s="6">
        <f>IFERROR((('raw-PriceList'!AG16/'raw-PriceList'!AG17)-1),"")</f>
        <v>-5.4454203727702932E-3</v>
      </c>
      <c r="AF16" s="6">
        <f>IFERROR((('raw-PriceList'!AH16/'raw-PriceList'!AH17)-1),"")</f>
        <v>2.2045926906397728E-3</v>
      </c>
      <c r="AG16" s="6">
        <f>IFERROR((('raw-PriceList'!AJ16/'raw-PriceList'!AJ17)-1),"")</f>
        <v>1.3464280662911277E-2</v>
      </c>
      <c r="AH16" s="6">
        <f>IFERROR((('raw-PriceList'!AK16/'raw-PriceList'!AK17)-1),"")</f>
        <v>9.252309101981826E-3</v>
      </c>
      <c r="AI16" s="6">
        <f>IFERROR((('raw-PriceList'!AM16/'raw-PriceList'!AM17)-1),"")</f>
        <v>5.192788295452111E-3</v>
      </c>
      <c r="AJ16" s="6">
        <f>IFERROR((('raw-PriceList'!AN16/'raw-PriceList'!AN17)-1),"")</f>
        <v>6.7147477941140732E-3</v>
      </c>
      <c r="AK16" s="6">
        <f>IFERROR((('raw-PriceList'!AO16/'raw-PriceList'!AO17)-1),"")</f>
        <v>-1.3341040205417709E-2</v>
      </c>
      <c r="AL16" s="6">
        <f>IFERROR((('raw-PriceList'!AP16/'raw-PriceList'!AP17)-1),"")</f>
        <v>1.0403125878963415E-2</v>
      </c>
      <c r="AM16" s="6">
        <f>IFERROR((('raw-PriceList'!AQ16/'raw-PriceList'!AQ17)-1),"")</f>
        <v>5.1725330781671186E-3</v>
      </c>
      <c r="AN16" s="6">
        <f>IFERROR((('raw-PriceList'!AR16/'raw-PriceList'!AR17)-1),"")</f>
        <v>7.6098123018186747E-3</v>
      </c>
      <c r="AO16" s="6">
        <f>IFERROR((('raw-PriceList'!AS16/'raw-PriceList'!AS17)-1),"")</f>
        <v>4.0553693763523135E-4</v>
      </c>
      <c r="AP16" s="6">
        <f>IFERROR((('raw-PriceList'!AT16/'raw-PriceList'!AT17)-1),"")</f>
        <v>4.0553693763523135E-4</v>
      </c>
      <c r="AQ16" s="6">
        <f>IFERROR((('raw-PriceList'!AU16/'raw-PriceList'!AU17)-1),"")</f>
        <v>-1.815688783885161E-3</v>
      </c>
      <c r="AR16" s="6">
        <f>IFERROR((('raw-PriceList'!AV16/'raw-PriceList'!AV17)-1),"")</f>
        <v>1.1022707271726384E-2</v>
      </c>
      <c r="AS16" s="6">
        <f>IFERROR((('raw-PriceList'!AW16/'raw-PriceList'!AW17)-1),"")</f>
        <v>7.3026384898688956E-3</v>
      </c>
    </row>
    <row r="17" spans="1:45" x14ac:dyDescent="0.2">
      <c r="A17" s="2">
        <v>43069</v>
      </c>
      <c r="B17" s="6">
        <f>IFERROR((('raw-PriceList'!B17/'raw-PriceList'!B18)-1),"")</f>
        <v>-4.8710478954815395E-3</v>
      </c>
      <c r="C17" s="6">
        <f>IFERROR((('raw-PriceList'!C17/'raw-PriceList'!C18)-1),"")</f>
        <v>4.4086315915565777E-3</v>
      </c>
      <c r="D17" s="6">
        <f>IFERROR((('raw-PriceList'!D17/'raw-PriceList'!D18)-1),"")</f>
        <v>-3.1837358230569768E-3</v>
      </c>
      <c r="E17" s="6">
        <f>IFERROR((('raw-PriceList'!F17/'raw-PriceList'!F18)-1),"")</f>
        <v>1.4905198926096208E-3</v>
      </c>
      <c r="F17" s="6">
        <f>IFERROR((('raw-PriceList'!G17/'raw-PriceList'!G18)-1),"")</f>
        <v>-4.150814690556226E-3</v>
      </c>
      <c r="G17" s="6">
        <f>IFERROR((('raw-PriceList'!H17/'raw-PriceList'!H18)-1),"")</f>
        <v>1.3628618644219381E-2</v>
      </c>
      <c r="H17" s="6">
        <f>IFERROR((('raw-PriceList'!J17/'raw-PriceList'!J18)-1),"")</f>
        <v>3.0210191190857216E-2</v>
      </c>
      <c r="I17" s="6">
        <f>IFERROR((('raw-PriceList'!K17/'raw-PriceList'!K18)-1),"")</f>
        <v>2.4826026892221131E-2</v>
      </c>
      <c r="J17" s="6">
        <f>IFERROR((('raw-PriceList'!L17/'raw-PriceList'!L18)-1),"")</f>
        <v>3.4167359981202017E-2</v>
      </c>
      <c r="K17" s="6">
        <f>IFERROR((('raw-PriceList'!M17/'raw-PriceList'!M18)-1),"")</f>
        <v>3.0532139618733911E-2</v>
      </c>
      <c r="L17" s="6">
        <f>IFERROR((('raw-PriceList'!N17/'raw-PriceList'!N18)-1),"")</f>
        <v>3.0585793591812793E-2</v>
      </c>
      <c r="M17" s="6">
        <f>IFERROR((('raw-PriceList'!O17/'raw-PriceList'!O18)-1),"")</f>
        <v>3.1645573548767736E-2</v>
      </c>
      <c r="N17" s="6">
        <f>IFERROR((('raw-PriceList'!P17/'raw-PriceList'!P18)-1),"")</f>
        <v>-5.1838486235700199E-3</v>
      </c>
      <c r="O17" s="6">
        <f>IFERROR((('raw-PriceList'!Q17/'raw-PriceList'!Q18)-1),"")</f>
        <v>-1.7043392511191247E-3</v>
      </c>
      <c r="P17" s="6">
        <f>IFERROR((('raw-PriceList'!R17/'raw-PriceList'!R18)-1),"")</f>
        <v>-5.1198869377042655E-3</v>
      </c>
      <c r="Q17" s="6">
        <f>IFERROR((('raw-PriceList'!S17/'raw-PriceList'!S18)-1),"")</f>
        <v>8.610416292724743E-3</v>
      </c>
      <c r="R17" s="6">
        <f>IFERROR((('raw-PriceList'!T17/'raw-PriceList'!T18)-1),"")</f>
        <v>6.3261613763816449E-3</v>
      </c>
      <c r="S17" s="6">
        <f>IFERROR((('raw-PriceList'!U17/'raw-PriceList'!U18)-1),"")</f>
        <v>-4.9545059747522213E-3</v>
      </c>
      <c r="T17" s="6">
        <f>IFERROR((('raw-PriceList'!V17/'raw-PriceList'!V18)-1),"")</f>
        <v>-5.1808484714455094E-4</v>
      </c>
      <c r="U17" s="6">
        <f>IFERROR((('raw-PriceList'!W17/'raw-PriceList'!W18)-1),"")</f>
        <v>4.8361804844712086E-3</v>
      </c>
      <c r="V17" s="6">
        <f>IFERROR((('raw-PriceList'!X17/'raw-PriceList'!X18)-1),"")</f>
        <v>-2.6810213395765947E-3</v>
      </c>
      <c r="W17" s="6">
        <f>IFERROR((('raw-PriceList'!Y17/'raw-PriceList'!Y18)-1),"")</f>
        <v>4.4855909631639435E-2</v>
      </c>
      <c r="X17" s="6">
        <f>IFERROR((('raw-PriceList'!Z17/'raw-PriceList'!Z18)-1),"")</f>
        <v>2.2360285102176469E-2</v>
      </c>
      <c r="Y17" s="6">
        <f>IFERROR((('raw-PriceList'!AA17/'raw-PriceList'!AA18)-1),"")</f>
        <v>-3.6271400192489089E-3</v>
      </c>
      <c r="Z17" s="6">
        <f>IFERROR((('raw-PriceList'!AB17/'raw-PriceList'!AB18)-1),"")</f>
        <v>1.4408066465606106E-2</v>
      </c>
      <c r="AA17" s="6">
        <f>IFERROR((('raw-PriceList'!AC17/'raw-PriceList'!AC18)-1),"")</f>
        <v>3.3959352216562877E-2</v>
      </c>
      <c r="AB17" s="6">
        <f>IFERROR((('raw-PriceList'!AD17/'raw-PriceList'!AD18)-1),"")</f>
        <v>3.0577950827499922E-2</v>
      </c>
      <c r="AC17" s="6">
        <f>IFERROR((('raw-PriceList'!AE17/'raw-PriceList'!AE18)-1),"")</f>
        <v>3.0577950827499922E-2</v>
      </c>
      <c r="AD17" s="6">
        <f>IFERROR((('raw-PriceList'!AF17/'raw-PriceList'!AF18)-1),"")</f>
        <v>2.8197566143381314E-2</v>
      </c>
      <c r="AE17" s="6">
        <f>IFERROR((('raw-PriceList'!AG17/'raw-PriceList'!AG18)-1),"")</f>
        <v>2.4819098574615728E-2</v>
      </c>
      <c r="AF17" s="6">
        <f>IFERROR((('raw-PriceList'!AH17/'raw-PriceList'!AH18)-1),"")</f>
        <v>2.233279287950185E-2</v>
      </c>
      <c r="AG17" s="6">
        <f>IFERROR((('raw-PriceList'!AJ17/'raw-PriceList'!AJ18)-1),"")</f>
        <v>8.6886500200797911E-3</v>
      </c>
      <c r="AH17" s="6">
        <f>IFERROR((('raw-PriceList'!AK17/'raw-PriceList'!AK18)-1),"")</f>
        <v>1.8981612082622057E-2</v>
      </c>
      <c r="AI17" s="6">
        <f>IFERROR((('raw-PriceList'!AM17/'raw-PriceList'!AM18)-1),"")</f>
        <v>-4.6216286022855435E-3</v>
      </c>
      <c r="AJ17" s="6">
        <f>IFERROR((('raw-PriceList'!AN17/'raw-PriceList'!AN18)-1),"")</f>
        <v>3.0343102926192245E-2</v>
      </c>
      <c r="AK17" s="6">
        <f>IFERROR((('raw-PriceList'!AO17/'raw-PriceList'!AO18)-1),"")</f>
        <v>-1.2176026751731239E-3</v>
      </c>
      <c r="AL17" s="6">
        <f>IFERROR((('raw-PriceList'!AP17/'raw-PriceList'!AP18)-1),"")</f>
        <v>3.5265545175556579E-2</v>
      </c>
      <c r="AM17" s="6">
        <f>IFERROR((('raw-PriceList'!AQ17/'raw-PriceList'!AQ18)-1),"")</f>
        <v>2.4233839793838419E-2</v>
      </c>
      <c r="AN17" s="6">
        <f>IFERROR((('raw-PriceList'!AR17/'raw-PriceList'!AR18)-1),"")</f>
        <v>2.9930206792243785E-2</v>
      </c>
      <c r="AO17" s="6">
        <f>IFERROR((('raw-PriceList'!AS17/'raw-PriceList'!AS18)-1),"")</f>
        <v>-8.9049873240263366E-3</v>
      </c>
      <c r="AP17" s="6">
        <f>IFERROR((('raw-PriceList'!AT17/'raw-PriceList'!AT18)-1),"")</f>
        <v>-8.9049873240263366E-3</v>
      </c>
      <c r="AQ17" s="6">
        <f>IFERROR((('raw-PriceList'!AU17/'raw-PriceList'!AU18)-1),"")</f>
        <v>3.1079295781095473E-2</v>
      </c>
      <c r="AR17" s="6">
        <f>IFERROR((('raw-PriceList'!AV17/'raw-PriceList'!AV18)-1),"")</f>
        <v>6.2565140309092104E-3</v>
      </c>
      <c r="AS17" s="6">
        <f>IFERROR((('raw-PriceList'!AW17/'raw-PriceList'!AW18)-1),"")</f>
        <v>3.0692459609968026E-2</v>
      </c>
    </row>
    <row r="18" spans="1:45" x14ac:dyDescent="0.2">
      <c r="A18" s="2">
        <v>43039</v>
      </c>
      <c r="B18" s="6">
        <f>IFERROR((('raw-PriceList'!B18/'raw-PriceList'!B19)-1),"")</f>
        <v>-2.0153155477188323E-3</v>
      </c>
      <c r="C18" s="6">
        <f>IFERROR((('raw-PriceList'!C18/'raw-PriceList'!C19)-1),"")</f>
        <v>-2.8669930848974623E-3</v>
      </c>
      <c r="D18" s="6">
        <f>IFERROR((('raw-PriceList'!D18/'raw-PriceList'!D19)-1),"")</f>
        <v>-2.3153517078662311E-3</v>
      </c>
      <c r="E18" s="6">
        <f>IFERROR((('raw-PriceList'!F18/'raw-PriceList'!F19)-1),"")</f>
        <v>5.3563260208921992E-3</v>
      </c>
      <c r="F18" s="6">
        <f>IFERROR((('raw-PriceList'!G18/'raw-PriceList'!G19)-1),"")</f>
        <v>-1.622903155001798E-3</v>
      </c>
      <c r="G18" s="6">
        <f>IFERROR((('raw-PriceList'!H18/'raw-PriceList'!H19)-1),"")</f>
        <v>9.8724742584477276E-4</v>
      </c>
      <c r="H18" s="6">
        <f>IFERROR((('raw-PriceList'!J18/'raw-PriceList'!J19)-1),"")</f>
        <v>2.4920832474108368E-2</v>
      </c>
      <c r="I18" s="6">
        <f>IFERROR((('raw-PriceList'!K18/'raw-PriceList'!K19)-1),"")</f>
        <v>3.0326486125585639E-2</v>
      </c>
      <c r="J18" s="6">
        <f>IFERROR((('raw-PriceList'!L18/'raw-PriceList'!L19)-1),"")</f>
        <v>1.9627939876314393E-2</v>
      </c>
      <c r="K18" s="6">
        <f>IFERROR((('raw-PriceList'!M18/'raw-PriceList'!M19)-1),"")</f>
        <v>1.5576317815275242E-2</v>
      </c>
      <c r="L18" s="6">
        <f>IFERROR((('raw-PriceList'!N18/'raw-PriceList'!N19)-1),"")</f>
        <v>2.3342179063300383E-2</v>
      </c>
      <c r="M18" s="6">
        <f>IFERROR((('raw-PriceList'!O18/'raw-PriceList'!O19)-1),"")</f>
        <v>8.4020437555980543E-3</v>
      </c>
      <c r="N18" s="6">
        <f>IFERROR((('raw-PriceList'!P18/'raw-PriceList'!P19)-1),"")</f>
        <v>-6.9685658934548478E-4</v>
      </c>
      <c r="O18" s="6">
        <f>IFERROR((('raw-PriceList'!Q18/'raw-PriceList'!Q19)-1),"")</f>
        <v>2.8834901882386355E-3</v>
      </c>
      <c r="P18" s="6">
        <f>IFERROR((('raw-PriceList'!R18/'raw-PriceList'!R19)-1),"")</f>
        <v>-1.1214180234814242E-3</v>
      </c>
      <c r="Q18" s="6">
        <f>IFERROR((('raw-PriceList'!S18/'raw-PriceList'!S19)-1),"")</f>
        <v>1.7718772790872084E-2</v>
      </c>
      <c r="R18" s="6">
        <f>IFERROR((('raw-PriceList'!T18/'raw-PriceList'!T19)-1),"")</f>
        <v>1.9527222291046087E-2</v>
      </c>
      <c r="S18" s="6">
        <f>IFERROR((('raw-PriceList'!U18/'raw-PriceList'!U19)-1),"")</f>
        <v>-3.377580007769998E-3</v>
      </c>
      <c r="T18" s="6">
        <f>IFERROR((('raw-PriceList'!V18/'raw-PriceList'!V19)-1),"")</f>
        <v>4.6310400201885482E-3</v>
      </c>
      <c r="U18" s="6">
        <f>IFERROR((('raw-PriceList'!W18/'raw-PriceList'!W19)-1),"")</f>
        <v>-2.9949297665038399E-3</v>
      </c>
      <c r="V18" s="6">
        <f>IFERROR((('raw-PriceList'!X18/'raw-PriceList'!X19)-1),"")</f>
        <v>-2.2207423859791353E-3</v>
      </c>
      <c r="W18" s="6">
        <f>IFERROR((('raw-PriceList'!Y18/'raw-PriceList'!Y19)-1),"")</f>
        <v>2.0990999592257253E-2</v>
      </c>
      <c r="X18" s="6">
        <f>IFERROR((('raw-PriceList'!Z18/'raw-PriceList'!Z19)-1),"")</f>
        <v>7.6868833310173024E-3</v>
      </c>
      <c r="Y18" s="6">
        <f>IFERROR((('raw-PriceList'!AA18/'raw-PriceList'!AA19)-1),"")</f>
        <v>-9.3009878486538522E-4</v>
      </c>
      <c r="Z18" s="6">
        <f>IFERROR((('raw-PriceList'!AB18/'raw-PriceList'!AB19)-1),"")</f>
        <v>4.211741065619945E-3</v>
      </c>
      <c r="AA18" s="6">
        <f>IFERROR((('raw-PriceList'!AC18/'raw-PriceList'!AC19)-1),"")</f>
        <v>8.1420166111907388E-3</v>
      </c>
      <c r="AB18" s="6">
        <f>IFERROR((('raw-PriceList'!AD18/'raw-PriceList'!AD19)-1),"")</f>
        <v>2.3300469518766187E-2</v>
      </c>
      <c r="AC18" s="6">
        <f>IFERROR((('raw-PriceList'!AE18/'raw-PriceList'!AE19)-1),"")</f>
        <v>2.3300469518766187E-2</v>
      </c>
      <c r="AD18" s="6">
        <f>IFERROR((('raw-PriceList'!AF18/'raw-PriceList'!AF19)-1),"")</f>
        <v>2.2347790753442176E-2</v>
      </c>
      <c r="AE18" s="6">
        <f>IFERROR((('raw-PriceList'!AG18/'raw-PriceList'!AG19)-1),"")</f>
        <v>-3.0677255124392233E-2</v>
      </c>
      <c r="AF18" s="6">
        <f>IFERROR((('raw-PriceList'!AH18/'raw-PriceList'!AH19)-1),"")</f>
        <v>4.3274508748759821E-2</v>
      </c>
      <c r="AG18" s="6">
        <f>IFERROR((('raw-PriceList'!AJ18/'raw-PriceList'!AJ19)-1),"")</f>
        <v>1.4816849512481189E-2</v>
      </c>
      <c r="AH18" s="6">
        <f>IFERROR((('raw-PriceList'!AK18/'raw-PriceList'!AK19)-1),"")</f>
        <v>2.1048850930249996E-2</v>
      </c>
      <c r="AI18" s="6">
        <f>IFERROR((('raw-PriceList'!AM18/'raw-PriceList'!AM19)-1),"")</f>
        <v>-1.8370841274184535E-4</v>
      </c>
      <c r="AJ18" s="6">
        <f>IFERROR((('raw-PriceList'!AN18/'raw-PriceList'!AN19)-1),"")</f>
        <v>2.1701123078113449E-2</v>
      </c>
      <c r="AK18" s="6">
        <f>IFERROR((('raw-PriceList'!AO18/'raw-PriceList'!AO19)-1),"")</f>
        <v>1.8508163552142243E-3</v>
      </c>
      <c r="AL18" s="6">
        <f>IFERROR((('raw-PriceList'!AP18/'raw-PriceList'!AP19)-1),"")</f>
        <v>1.836789261875138E-2</v>
      </c>
      <c r="AM18" s="6">
        <f>IFERROR((('raw-PriceList'!AQ18/'raw-PriceList'!AQ19)-1),"")</f>
        <v>2.8924363328447722E-2</v>
      </c>
      <c r="AN18" s="6">
        <f>IFERROR((('raw-PriceList'!AR18/'raw-PriceList'!AR19)-1),"")</f>
        <v>2.3397063845202792E-2</v>
      </c>
      <c r="AO18" s="6">
        <f>IFERROR((('raw-PriceList'!AS18/'raw-PriceList'!AS19)-1),"")</f>
        <v>-2.3180998359054739E-3</v>
      </c>
      <c r="AP18" s="6">
        <f>IFERROR((('raw-PriceList'!AT18/'raw-PriceList'!AT19)-1),"")</f>
        <v>-2.3180998359054739E-3</v>
      </c>
      <c r="AQ18" s="6">
        <f>IFERROR((('raw-PriceList'!AU18/'raw-PriceList'!AU19)-1),"")</f>
        <v>1.345809586566582E-2</v>
      </c>
      <c r="AR18" s="6">
        <f>IFERROR((('raw-PriceList'!AV18/'raw-PriceList'!AV19)-1),"")</f>
        <v>2.0312889131212986E-2</v>
      </c>
      <c r="AS18" s="6">
        <f>IFERROR((('raw-PriceList'!AW18/'raw-PriceList'!AW19)-1),"")</f>
        <v>1.7358982933228129E-2</v>
      </c>
    </row>
    <row r="19" spans="1:45" x14ac:dyDescent="0.2">
      <c r="A19" s="2">
        <v>43008</v>
      </c>
      <c r="B19" s="6">
        <f>IFERROR((('raw-PriceList'!B19/'raw-PriceList'!B20)-1),"")</f>
        <v>-1.1055031254059156E-2</v>
      </c>
      <c r="C19" s="6">
        <f>IFERROR((('raw-PriceList'!C19/'raw-PriceList'!C20)-1),"")</f>
        <v>-1.1539304464480815E-2</v>
      </c>
      <c r="D19" s="6">
        <f>IFERROR((('raw-PriceList'!D19/'raw-PriceList'!D20)-1),"")</f>
        <v>-6.7857385217932054E-3</v>
      </c>
      <c r="E19" s="6">
        <f>IFERROR((('raw-PriceList'!F19/'raw-PriceList'!F20)-1),"")</f>
        <v>-4.9613588924675156E-3</v>
      </c>
      <c r="F19" s="6">
        <f>IFERROR((('raw-PriceList'!G19/'raw-PriceList'!G20)-1),"")</f>
        <v>-4.5054219089095682E-3</v>
      </c>
      <c r="G19" s="6">
        <f>IFERROR((('raw-PriceList'!H19/'raw-PriceList'!H20)-1),"")</f>
        <v>-4.0221558316515305E-2</v>
      </c>
      <c r="H19" s="6">
        <f>IFERROR((('raw-PriceList'!J19/'raw-PriceList'!J20)-1),"")</f>
        <v>1.5179757217083312E-2</v>
      </c>
      <c r="I19" s="6">
        <f>IFERROR((('raw-PriceList'!K19/'raw-PriceList'!K20)-1),"")</f>
        <v>6.2840999721338608E-3</v>
      </c>
      <c r="J19" s="6">
        <f>IFERROR((('raw-PriceList'!L19/'raw-PriceList'!L20)-1),"")</f>
        <v>2.3233045391403806E-2</v>
      </c>
      <c r="K19" s="6">
        <f>IFERROR((('raw-PriceList'!M19/'raw-PriceList'!M20)-1),"")</f>
        <v>4.0103517544594069E-2</v>
      </c>
      <c r="L19" s="6">
        <f>IFERROR((('raw-PriceList'!N19/'raw-PriceList'!N20)-1),"")</f>
        <v>3.7323709674667915E-2</v>
      </c>
      <c r="M19" s="6">
        <f>IFERROR((('raw-PriceList'!O19/'raw-PriceList'!O20)-1),"")</f>
        <v>4.4735239568117757E-2</v>
      </c>
      <c r="N19" s="6">
        <f>IFERROR((('raw-PriceList'!P19/'raw-PriceList'!P20)-1),"")</f>
        <v>-6.3565990896499169E-3</v>
      </c>
      <c r="O19" s="6">
        <f>IFERROR((('raw-PriceList'!Q19/'raw-PriceList'!Q20)-1),"")</f>
        <v>-2.5288191392617287E-3</v>
      </c>
      <c r="P19" s="6">
        <f>IFERROR((('raw-PriceList'!R19/'raw-PriceList'!R20)-1),"")</f>
        <v>-2.9910012407449171E-3</v>
      </c>
      <c r="Q19" s="6">
        <f>IFERROR((('raw-PriceList'!S19/'raw-PriceList'!S20)-1),"")</f>
        <v>2.0988931902743868E-2</v>
      </c>
      <c r="R19" s="6">
        <f>IFERROR((('raw-PriceList'!T19/'raw-PriceList'!T20)-1),"")</f>
        <v>1.2676167820850237E-2</v>
      </c>
      <c r="S19" s="6">
        <f>IFERROR((('raw-PriceList'!U19/'raw-PriceList'!U20)-1),"")</f>
        <v>-1.0232494346151144E-2</v>
      </c>
      <c r="T19" s="6">
        <f>IFERROR((('raw-PriceList'!V19/'raw-PriceList'!V20)-1),"")</f>
        <v>2.802331184242024E-2</v>
      </c>
      <c r="U19" s="6">
        <f>IFERROR((('raw-PriceList'!W19/'raw-PriceList'!W20)-1),"")</f>
        <v>-2.4465393620032527E-2</v>
      </c>
      <c r="V19" s="6">
        <f>IFERROR((('raw-PriceList'!X19/'raw-PriceList'!X20)-1),"")</f>
        <v>-2.5367153576729695E-3</v>
      </c>
      <c r="W19" s="6">
        <f>IFERROR((('raw-PriceList'!Y19/'raw-PriceList'!Y20)-1),"")</f>
        <v>1.9128163522988961E-2</v>
      </c>
      <c r="X19" s="6">
        <f>IFERROR((('raw-PriceList'!Z19/'raw-PriceList'!Z20)-1),"")</f>
        <v>3.786914245329287E-3</v>
      </c>
      <c r="Y19" s="6">
        <f>IFERROR((('raw-PriceList'!AA19/'raw-PriceList'!AA20)-1),"")</f>
        <v>-4.9468597649435786E-3</v>
      </c>
      <c r="Z19" s="6">
        <f>IFERROR((('raw-PriceList'!AB19/'raw-PriceList'!AB20)-1),"")</f>
        <v>2.0374667878577668E-3</v>
      </c>
      <c r="AA19" s="6">
        <f>IFERROR((('raw-PriceList'!AC19/'raw-PriceList'!AC20)-1),"")</f>
        <v>2.2532509142440205E-2</v>
      </c>
      <c r="AB19" s="6">
        <f>IFERROR((('raw-PriceList'!AD19/'raw-PriceList'!AD20)-1),"")</f>
        <v>1.5233967946341798E-2</v>
      </c>
      <c r="AC19" s="6">
        <f>IFERROR((('raw-PriceList'!AE19/'raw-PriceList'!AE20)-1),"")</f>
        <v>1.5233967946341798E-2</v>
      </c>
      <c r="AD19" s="6">
        <f>IFERROR((('raw-PriceList'!AF19/'raw-PriceList'!AF20)-1),"")</f>
        <v>1.4709898893823681E-2</v>
      </c>
      <c r="AE19" s="6">
        <f>IFERROR((('raw-PriceList'!AG19/'raw-PriceList'!AG20)-1),"")</f>
        <v>-1.3769145325905896E-2</v>
      </c>
      <c r="AF19" s="6">
        <f>IFERROR((('raw-PriceList'!AH19/'raw-PriceList'!AH20)-1),"")</f>
        <v>7.0766829918318397E-3</v>
      </c>
      <c r="AG19" s="6">
        <f>IFERROR((('raw-PriceList'!AJ19/'raw-PriceList'!AJ20)-1),"")</f>
        <v>1.6362597372094223E-2</v>
      </c>
      <c r="AH19" s="6">
        <f>IFERROR((('raw-PriceList'!AK19/'raw-PriceList'!AK20)-1),"")</f>
        <v>1.5956581800879999E-2</v>
      </c>
      <c r="AI19" s="6">
        <f>IFERROR((('raw-PriceList'!AM19/'raw-PriceList'!AM20)-1),"")</f>
        <v>-6.4045786447751718E-3</v>
      </c>
      <c r="AJ19" s="6">
        <f>IFERROR((('raw-PriceList'!AN19/'raw-PriceList'!AN20)-1),"")</f>
        <v>1.9890008299774609E-2</v>
      </c>
      <c r="AK19" s="6">
        <f>IFERROR((('raw-PriceList'!AO19/'raw-PriceList'!AO20)-1),"")</f>
        <v>-1.0504955005459227E-3</v>
      </c>
      <c r="AL19" s="6">
        <f>IFERROR((('raw-PriceList'!AP19/'raw-PriceList'!AP20)-1),"")</f>
        <v>2.2857785789184737E-2</v>
      </c>
      <c r="AM19" s="6">
        <f>IFERROR((('raw-PriceList'!AQ19/'raw-PriceList'!AQ20)-1),"")</f>
        <v>7.4109063233547268E-3</v>
      </c>
      <c r="AN19" s="6">
        <f>IFERROR((('raw-PriceList'!AR19/'raw-PriceList'!AR20)-1),"")</f>
        <v>1.5562696833678169E-2</v>
      </c>
      <c r="AO19" s="6">
        <f>IFERROR((('raw-PriceList'!AS19/'raw-PriceList'!AS20)-1),"")</f>
        <v>-5.2951483163714563E-3</v>
      </c>
      <c r="AP19" s="6">
        <f>IFERROR((('raw-PriceList'!AT19/'raw-PriceList'!AT20)-1),"")</f>
        <v>-5.2951483163714563E-3</v>
      </c>
      <c r="AQ19" s="6">
        <f>IFERROR((('raw-PriceList'!AU19/'raw-PriceList'!AU20)-1),"")</f>
        <v>3.9296273206237187E-2</v>
      </c>
      <c r="AR19" s="6">
        <f>IFERROR((('raw-PriceList'!AV19/'raw-PriceList'!AV20)-1),"")</f>
        <v>1.3302522217311763E-2</v>
      </c>
      <c r="AS19" s="6">
        <f>IFERROR((('raw-PriceList'!AW19/'raw-PriceList'!AW20)-1),"")</f>
        <v>2.258975205043745E-2</v>
      </c>
    </row>
    <row r="20" spans="1:45" x14ac:dyDescent="0.2">
      <c r="A20" s="2">
        <v>42978</v>
      </c>
      <c r="B20" s="6">
        <f>IFERROR((('raw-PriceList'!B20/'raw-PriceList'!B21)-1),"")</f>
        <v>8.4626295607863611E-3</v>
      </c>
      <c r="C20" s="6">
        <f>IFERROR((('raw-PriceList'!C20/'raw-PriceList'!C21)-1),"")</f>
        <v>1.7575846576701526E-2</v>
      </c>
      <c r="D20" s="6">
        <f>IFERROR((('raw-PriceList'!D20/'raw-PriceList'!D21)-1),"")</f>
        <v>6.4902236836024141E-3</v>
      </c>
      <c r="E20" s="6">
        <f>IFERROR((('raw-PriceList'!F20/'raw-PriceList'!F21)-1),"")</f>
        <v>8.4521794692919983E-3</v>
      </c>
      <c r="F20" s="6">
        <f>IFERROR((('raw-PriceList'!G20/'raw-PriceList'!G21)-1),"")</f>
        <v>2.0143719106151536E-3</v>
      </c>
      <c r="G20" s="6">
        <f>IFERROR((('raw-PriceList'!H20/'raw-PriceList'!H21)-1),"")</f>
        <v>4.8753894766015549E-2</v>
      </c>
      <c r="H20" s="6">
        <f>IFERROR((('raw-PriceList'!J20/'raw-PriceList'!J21)-1),"")</f>
        <v>4.6040816094921055E-3</v>
      </c>
      <c r="I20" s="6">
        <f>IFERROR((('raw-PriceList'!K20/'raw-PriceList'!K21)-1),"")</f>
        <v>1.3283123391749418E-2</v>
      </c>
      <c r="J20" s="6">
        <f>IFERROR((('raw-PriceList'!L20/'raw-PriceList'!L21)-1),"")</f>
        <v>-4.5325281433177267E-3</v>
      </c>
      <c r="K20" s="6">
        <f>IFERROR((('raw-PriceList'!M20/'raw-PriceList'!M21)-1),"")</f>
        <v>-9.4410036421130883E-3</v>
      </c>
      <c r="L20" s="6">
        <f>IFERROR((('raw-PriceList'!N20/'raw-PriceList'!N21)-1),"")</f>
        <v>-3.8427183327608416E-3</v>
      </c>
      <c r="M20" s="6">
        <f>IFERROR((('raw-PriceList'!O20/'raw-PriceList'!O21)-1),"")</f>
        <v>-1.4625937076285012E-2</v>
      </c>
      <c r="N20" s="6">
        <f>IFERROR((('raw-PriceList'!P20/'raw-PriceList'!P21)-1),"")</f>
        <v>5.0152886877325997E-3</v>
      </c>
      <c r="O20" s="6">
        <f>IFERROR((('raw-PriceList'!Q20/'raw-PriceList'!Q21)-1),"")</f>
        <v>8.2144628201037406E-3</v>
      </c>
      <c r="P20" s="6">
        <f>IFERROR((('raw-PriceList'!R20/'raw-PriceList'!R21)-1),"")</f>
        <v>1.6330998837987831E-3</v>
      </c>
      <c r="Q20" s="6">
        <f>IFERROR((('raw-PriceList'!S20/'raw-PriceList'!S21)-1),"")</f>
        <v>2.4701174599672804E-4</v>
      </c>
      <c r="R20" s="6">
        <f>IFERROR((('raw-PriceList'!T20/'raw-PriceList'!T21)-1),"")</f>
        <v>6.3873647885979157E-3</v>
      </c>
      <c r="S20" s="6">
        <f>IFERROR((('raw-PriceList'!U20/'raw-PriceList'!U21)-1),"")</f>
        <v>7.6904305536660278E-3</v>
      </c>
      <c r="T20" s="6">
        <f>IFERROR((('raw-PriceList'!V20/'raw-PriceList'!V21)-1),"")</f>
        <v>7.229369972487909E-4</v>
      </c>
      <c r="U20" s="6">
        <f>IFERROR((('raw-PriceList'!W20/'raw-PriceList'!W21)-1),"")</f>
        <v>3.0464477480810714E-2</v>
      </c>
      <c r="V20" s="6">
        <f>IFERROR((('raw-PriceList'!X20/'raw-PriceList'!X21)-1),"")</f>
        <v>1.1377559519238911E-3</v>
      </c>
      <c r="W20" s="6">
        <f>IFERROR((('raw-PriceList'!Y20/'raw-PriceList'!Y21)-1),"")</f>
        <v>-3.625943363381734E-3</v>
      </c>
      <c r="X20" s="6">
        <f>IFERROR((('raw-PriceList'!Z20/'raw-PriceList'!Z21)-1),"")</f>
        <v>7.891353219357633E-3</v>
      </c>
      <c r="Y20" s="6">
        <f>IFERROR((('raw-PriceList'!AA20/'raw-PriceList'!AA21)-1),"")</f>
        <v>5.3394596893634461E-3</v>
      </c>
      <c r="Z20" s="6">
        <f>IFERROR((('raw-PriceList'!AB20/'raw-PriceList'!AB21)-1),"")</f>
        <v>1.2638227409868863E-2</v>
      </c>
      <c r="AA20" s="6">
        <f>IFERROR((('raw-PriceList'!AC20/'raw-PriceList'!AC21)-1),"")</f>
        <v>-1.2458995206799384E-2</v>
      </c>
      <c r="AB20" s="6">
        <f>IFERROR((('raw-PriceList'!AD20/'raw-PriceList'!AD21)-1),"")</f>
        <v>2.8778869045689159E-3</v>
      </c>
      <c r="AC20" s="6">
        <f>IFERROR((('raw-PriceList'!AE20/'raw-PriceList'!AE21)-1),"")</f>
        <v>2.8778869045689159E-3</v>
      </c>
      <c r="AD20" s="6">
        <f>IFERROR((('raw-PriceList'!AF20/'raw-PriceList'!AF21)-1),"")</f>
        <v>1.6081590027143822E-3</v>
      </c>
      <c r="AE20" s="6">
        <f>IFERROR((('raw-PriceList'!AG20/'raw-PriceList'!AG21)-1),"")</f>
        <v>-2.3584442863262556E-3</v>
      </c>
      <c r="AF20" s="6">
        <f>IFERROR((('raw-PriceList'!AH20/'raw-PriceList'!AH21)-1),"")</f>
        <v>1.6138033059078793E-3</v>
      </c>
      <c r="AG20" s="6">
        <f>IFERROR((('raw-PriceList'!AJ20/'raw-PriceList'!AJ21)-1),"")</f>
        <v>9.363249244483951E-3</v>
      </c>
      <c r="AH20" s="6">
        <f>IFERROR((('raw-PriceList'!AK20/'raw-PriceList'!AK21)-1),"")</f>
        <v>4.1691845602405131E-3</v>
      </c>
      <c r="AI20" s="6">
        <f>IFERROR((('raw-PriceList'!AM20/'raw-PriceList'!AM21)-1),"")</f>
        <v>6.6126628020195533E-3</v>
      </c>
      <c r="AJ20" s="6">
        <f>IFERROR((('raw-PriceList'!AN20/'raw-PriceList'!AN21)-1),"")</f>
        <v>1.5493519260822985E-3</v>
      </c>
      <c r="AK20" s="6">
        <f>IFERROR((('raw-PriceList'!AO20/'raw-PriceList'!AO21)-1),"")</f>
        <v>2.8446087158762179E-3</v>
      </c>
      <c r="AL20" s="6">
        <f>IFERROR((('raw-PriceList'!AP20/'raw-PriceList'!AP21)-1),"")</f>
        <v>-4.7069790306287773E-3</v>
      </c>
      <c r="AM20" s="6">
        <f>IFERROR((('raw-PriceList'!AQ20/'raw-PriceList'!AQ21)-1),"")</f>
        <v>1.160786166824157E-2</v>
      </c>
      <c r="AN20" s="6">
        <f>IFERROR((('raw-PriceList'!AR20/'raw-PriceList'!AR21)-1),"")</f>
        <v>2.9253006514875501E-3</v>
      </c>
      <c r="AO20" s="6">
        <f>IFERROR((('raw-PriceList'!AS20/'raw-PriceList'!AS21)-1),"")</f>
        <v>1.4189140638034115E-2</v>
      </c>
      <c r="AP20" s="6">
        <f>IFERROR((('raw-PriceList'!AT20/'raw-PriceList'!AT21)-1),"")</f>
        <v>1.4189140638034115E-2</v>
      </c>
      <c r="AQ20" s="6">
        <f>IFERROR((('raw-PriceList'!AU20/'raw-PriceList'!AU21)-1),"")</f>
        <v>-3.370325989625389E-3</v>
      </c>
      <c r="AR20" s="6">
        <f>IFERROR((('raw-PriceList'!AV20/'raw-PriceList'!AV21)-1),"")</f>
        <v>5.4067024122697038E-3</v>
      </c>
      <c r="AS20" s="6">
        <f>IFERROR((('raw-PriceList'!AW20/'raw-PriceList'!AW21)-1),"")</f>
        <v>-1.755978650240908E-3</v>
      </c>
    </row>
    <row r="21" spans="1:45" x14ac:dyDescent="0.2">
      <c r="A21" s="2">
        <v>42947</v>
      </c>
      <c r="B21" s="6">
        <f>IFERROR((('raw-PriceList'!B21/'raw-PriceList'!B22)-1),"")</f>
        <v>4.2510175339389722E-3</v>
      </c>
      <c r="C21" s="6">
        <f>IFERROR((('raw-PriceList'!C21/'raw-PriceList'!C22)-1),"")</f>
        <v>8.794148428818982E-4</v>
      </c>
      <c r="D21" s="6">
        <f>IFERROR((('raw-PriceList'!D21/'raw-PriceList'!D22)-1),"")</f>
        <v>1.9529593548353041E-3</v>
      </c>
      <c r="E21" s="6">
        <f>IFERROR((('raw-PriceList'!F21/'raw-PriceList'!F22)-1),"")</f>
        <v>7.2202604370930068E-4</v>
      </c>
      <c r="F21" s="6">
        <f>IFERROR((('raw-PriceList'!G21/'raw-PriceList'!G22)-1),"")</f>
        <v>2.1397856357090461E-3</v>
      </c>
      <c r="G21" s="6">
        <f>IFERROR((('raw-PriceList'!H21/'raw-PriceList'!H22)-1),"")</f>
        <v>-1.2574070868428544E-2</v>
      </c>
      <c r="H21" s="6">
        <f>IFERROR((('raw-PriceList'!J21/'raw-PriceList'!J22)-1),"")</f>
        <v>2.0506114097651906E-2</v>
      </c>
      <c r="I21" s="6">
        <f>IFERROR((('raw-PriceList'!K21/'raw-PriceList'!K22)-1),"")</f>
        <v>2.6465491419815912E-2</v>
      </c>
      <c r="J21" s="6">
        <f>IFERROR((('raw-PriceList'!L21/'raw-PriceList'!L22)-1),"")</f>
        <v>1.6126964995382798E-2</v>
      </c>
      <c r="K21" s="6">
        <f>IFERROR((('raw-PriceList'!M21/'raw-PriceList'!M22)-1),"")</f>
        <v>1.1980561550135826E-2</v>
      </c>
      <c r="L21" s="6">
        <f>IFERROR((('raw-PriceList'!N21/'raw-PriceList'!N22)-1),"")</f>
        <v>1.3562377053432551E-2</v>
      </c>
      <c r="M21" s="6">
        <f>IFERROR((('raw-PriceList'!O21/'raw-PriceList'!O22)-1),"")</f>
        <v>1.0045559721047814E-2</v>
      </c>
      <c r="N21" s="6">
        <f>IFERROR((('raw-PriceList'!P21/'raw-PriceList'!P22)-1),"")</f>
        <v>6.8610785540084152E-3</v>
      </c>
      <c r="O21" s="6">
        <f>IFERROR((('raw-PriceList'!Q21/'raw-PriceList'!Q22)-1),"")</f>
        <v>4.4108320482876273E-3</v>
      </c>
      <c r="P21" s="6">
        <f>IFERROR((('raw-PriceList'!R21/'raw-PriceList'!R22)-1),"")</f>
        <v>2.5167856509233921E-3</v>
      </c>
      <c r="Q21" s="6">
        <f>IFERROR((('raw-PriceList'!S21/'raw-PriceList'!S22)-1),"")</f>
        <v>2.8776038200251319E-2</v>
      </c>
      <c r="R21" s="6">
        <f>IFERROR((('raw-PriceList'!T21/'raw-PriceList'!T22)-1),"")</f>
        <v>3.377005994247595E-2</v>
      </c>
      <c r="S21" s="6">
        <f>IFERROR((('raw-PriceList'!U21/'raw-PriceList'!U22)-1),"")</f>
        <v>2.7340280697261132E-3</v>
      </c>
      <c r="T21" s="6">
        <f>IFERROR((('raw-PriceList'!V21/'raw-PriceList'!V22)-1),"")</f>
        <v>2.8250596782930515E-2</v>
      </c>
      <c r="U21" s="6">
        <f>IFERROR((('raw-PriceList'!W21/'raw-PriceList'!W22)-1),"")</f>
        <v>-7.6680918250914276E-3</v>
      </c>
      <c r="V21" s="6">
        <f>IFERROR((('raw-PriceList'!X21/'raw-PriceList'!X22)-1),"")</f>
        <v>8.2336750892753052E-4</v>
      </c>
      <c r="W21" s="6">
        <f>IFERROR((('raw-PriceList'!Y21/'raw-PriceList'!Y22)-1),"")</f>
        <v>7.3273611324082832E-3</v>
      </c>
      <c r="X21" s="6">
        <f>IFERROR((('raw-PriceList'!Z21/'raw-PriceList'!Z22)-1),"")</f>
        <v>2.3805151066537356E-2</v>
      </c>
      <c r="Y21" s="6">
        <f>IFERROR((('raw-PriceList'!AA21/'raw-PriceList'!AA22)-1),"")</f>
        <v>1.890983060528928E-3</v>
      </c>
      <c r="Z21" s="6">
        <f>IFERROR((('raw-PriceList'!AB21/'raw-PriceList'!AB22)-1),"")</f>
        <v>4.0868636297616723E-2</v>
      </c>
      <c r="AA21" s="6">
        <f>IFERROR((('raw-PriceList'!AC21/'raw-PriceList'!AC22)-1),"")</f>
        <v>1.683769033004312E-2</v>
      </c>
      <c r="AB21" s="6">
        <f>IFERROR((('raw-PriceList'!AD21/'raw-PriceList'!AD22)-1),"")</f>
        <v>2.0654611208152929E-2</v>
      </c>
      <c r="AC21" s="6">
        <f>IFERROR((('raw-PriceList'!AE21/'raw-PriceList'!AE22)-1),"")</f>
        <v>2.0654611208152929E-2</v>
      </c>
      <c r="AD21" s="6">
        <f>IFERROR((('raw-PriceList'!AF21/'raw-PriceList'!AF22)-1),"")</f>
        <v>1.7832459458899219E-2</v>
      </c>
      <c r="AE21" s="6">
        <f>IFERROR((('raw-PriceList'!AG21/'raw-PriceList'!AG22)-1),"")</f>
        <v>2.1126011317720073E-2</v>
      </c>
      <c r="AF21" s="6">
        <f>IFERROR((('raw-PriceList'!AH21/'raw-PriceList'!AH22)-1),"")</f>
        <v>2.7519582539066834E-2</v>
      </c>
      <c r="AG21" s="6">
        <f>IFERROR((('raw-PriceList'!AJ21/'raw-PriceList'!AJ22)-1),"")</f>
        <v>3.618897679743438E-2</v>
      </c>
      <c r="AH21" s="6">
        <f>IFERROR((('raw-PriceList'!AK21/'raw-PriceList'!AK22)-1),"")</f>
        <v>2.6525690719206851E-2</v>
      </c>
      <c r="AI21" s="6">
        <f>IFERROR((('raw-PriceList'!AM21/'raw-PriceList'!AM22)-1),"")</f>
        <v>6.4122761534370909E-3</v>
      </c>
      <c r="AJ21" s="6">
        <f>IFERROR((('raw-PriceList'!AN21/'raw-PriceList'!AN22)-1),"")</f>
        <v>1.886010887291345E-2</v>
      </c>
      <c r="AK21" s="6">
        <f>IFERROR((('raw-PriceList'!AO21/'raw-PriceList'!AO22)-1),"")</f>
        <v>2.6194834645105747E-3</v>
      </c>
      <c r="AL21" s="6">
        <f>IFERROR((('raw-PriceList'!AP21/'raw-PriceList'!AP22)-1),"")</f>
        <v>1.5433320101478909E-2</v>
      </c>
      <c r="AM21" s="6">
        <f>IFERROR((('raw-PriceList'!AQ21/'raw-PriceList'!AQ22)-1),"")</f>
        <v>2.5579128086468339E-2</v>
      </c>
      <c r="AN21" s="6">
        <f>IFERROR((('raw-PriceList'!AR21/'raw-PriceList'!AR22)-1),"")</f>
        <v>2.0619477850422951E-2</v>
      </c>
      <c r="AO21" s="6">
        <f>IFERROR((('raw-PriceList'!AS21/'raw-PriceList'!AS22)-1),"")</f>
        <v>4.1005870892298901E-3</v>
      </c>
      <c r="AP21" s="6">
        <f>IFERROR((('raw-PriceList'!AT21/'raw-PriceList'!AT22)-1),"")</f>
        <v>4.1005870892298901E-3</v>
      </c>
      <c r="AQ21" s="6">
        <f>IFERROR((('raw-PriceList'!AU21/'raw-PriceList'!AU22)-1),"")</f>
        <v>1.0922944213790586E-2</v>
      </c>
      <c r="AR21" s="6">
        <f>IFERROR((('raw-PriceList'!AV21/'raw-PriceList'!AV22)-1),"")</f>
        <v>3.365354828257261E-2</v>
      </c>
      <c r="AS21" s="6">
        <f>IFERROR((('raw-PriceList'!AW21/'raw-PriceList'!AW22)-1),"")</f>
        <v>1.6125437469469706E-2</v>
      </c>
    </row>
    <row r="22" spans="1:45" x14ac:dyDescent="0.2">
      <c r="A22" s="2">
        <v>42916</v>
      </c>
      <c r="B22" s="6">
        <f>IFERROR((('raw-PriceList'!B22/'raw-PriceList'!B23)-1),"")</f>
        <v>-4.4812877881580393E-3</v>
      </c>
      <c r="C22" s="6">
        <f>IFERROR((('raw-PriceList'!C22/'raw-PriceList'!C23)-1),"")</f>
        <v>5.7535662165468793E-3</v>
      </c>
      <c r="D22" s="6">
        <f>IFERROR((('raw-PriceList'!D22/'raw-PriceList'!D23)-1),"")</f>
        <v>-1.5762788277287054E-3</v>
      </c>
      <c r="E22" s="6">
        <f>IFERROR((('raw-PriceList'!F22/'raw-PriceList'!F23)-1),"")</f>
        <v>-6.1620202724159689E-3</v>
      </c>
      <c r="F22" s="6">
        <f>IFERROR((('raw-PriceList'!G22/'raw-PriceList'!G23)-1),"")</f>
        <v>-2.2546669005802933E-3</v>
      </c>
      <c r="G22" s="6">
        <f>IFERROR((('raw-PriceList'!H22/'raw-PriceList'!H23)-1),"")</f>
        <v>5.3373675823336075E-3</v>
      </c>
      <c r="H22" s="6">
        <f>IFERROR((('raw-PriceList'!J22/'raw-PriceList'!J23)-1),"")</f>
        <v>1.8104775648231097E-3</v>
      </c>
      <c r="I22" s="6">
        <f>IFERROR((('raw-PriceList'!K22/'raw-PriceList'!K23)-1),"")</f>
        <v>-8.7676325737632288E-3</v>
      </c>
      <c r="J22" s="6">
        <f>IFERROR((('raw-PriceList'!L22/'raw-PriceList'!L23)-1),"")</f>
        <v>1.2135998125178293E-2</v>
      </c>
      <c r="K22" s="6">
        <f>IFERROR((('raw-PriceList'!M22/'raw-PriceList'!M23)-1),"")</f>
        <v>1.9704797791949336E-2</v>
      </c>
      <c r="L22" s="6">
        <f>IFERROR((('raw-PriceList'!N22/'raw-PriceList'!N23)-1),"")</f>
        <v>1.8529410942475177E-2</v>
      </c>
      <c r="M22" s="6">
        <f>IFERROR((('raw-PriceList'!O22/'raw-PriceList'!O23)-1),"")</f>
        <v>2.1046672688949108E-2</v>
      </c>
      <c r="N22" s="6">
        <f>IFERROR((('raw-PriceList'!P22/'raw-PriceList'!P23)-1),"")</f>
        <v>-3.3162831621198485E-3</v>
      </c>
      <c r="O22" s="6">
        <f>IFERROR((('raw-PriceList'!Q22/'raw-PriceList'!Q23)-1),"")</f>
        <v>8.2961246601775951E-3</v>
      </c>
      <c r="P22" s="6">
        <f>IFERROR((('raw-PriceList'!R22/'raw-PriceList'!R23)-1),"")</f>
        <v>-1.3631058100748161E-3</v>
      </c>
      <c r="Q22" s="6">
        <f>IFERROR((('raw-PriceList'!S22/'raw-PriceList'!S23)-1),"")</f>
        <v>-5.3043565344164101E-3</v>
      </c>
      <c r="R22" s="6">
        <f>IFERROR((('raw-PriceList'!T22/'raw-PriceList'!T23)-1),"")</f>
        <v>-5.722264485711559E-3</v>
      </c>
      <c r="S22" s="6">
        <f>IFERROR((('raw-PriceList'!U22/'raw-PriceList'!U23)-1),"")</f>
        <v>-5.9391313987655625E-3</v>
      </c>
      <c r="T22" s="6">
        <f>IFERROR((('raw-PriceList'!V22/'raw-PriceList'!V23)-1),"")</f>
        <v>-1.9002619124626752E-2</v>
      </c>
      <c r="U22" s="6">
        <f>IFERROR((('raw-PriceList'!W22/'raw-PriceList'!W23)-1),"")</f>
        <v>4.435044014886369E-3</v>
      </c>
      <c r="V22" s="6">
        <f>IFERROR((('raw-PriceList'!X22/'raw-PriceList'!X23)-1),"")</f>
        <v>-1.3273415596954941E-3</v>
      </c>
      <c r="W22" s="6">
        <f>IFERROR((('raw-PriceList'!Y22/'raw-PriceList'!Y23)-1),"")</f>
        <v>-2.7999367700675126E-3</v>
      </c>
      <c r="X22" s="6">
        <f>IFERROR((('raw-PriceList'!Z22/'raw-PriceList'!Z23)-1),"")</f>
        <v>-6.7409033306354837E-3</v>
      </c>
      <c r="Y22" s="6">
        <f>IFERROR((('raw-PriceList'!AA22/'raw-PriceList'!AA23)-1),"")</f>
        <v>-4.3890836126572186E-3</v>
      </c>
      <c r="Z22" s="6">
        <f>IFERROR((('raw-PriceList'!AB22/'raw-PriceList'!AB23)-1),"")</f>
        <v>-3.2452292171278874E-3</v>
      </c>
      <c r="AA22" s="6">
        <f>IFERROR((('raw-PriceList'!AC22/'raw-PriceList'!AC23)-1),"")</f>
        <v>4.7332000987538869E-3</v>
      </c>
      <c r="AB22" s="6">
        <f>IFERROR((('raw-PriceList'!AD22/'raw-PriceList'!AD23)-1),"")</f>
        <v>1.7496730528561155E-3</v>
      </c>
      <c r="AC22" s="6">
        <f>IFERROR((('raw-PriceList'!AE22/'raw-PriceList'!AE23)-1),"")</f>
        <v>1.7496730528561155E-3</v>
      </c>
      <c r="AD22" s="6">
        <f>IFERROR((('raw-PriceList'!AF22/'raw-PriceList'!AF23)-1),"")</f>
        <v>2.259567821567332E-3</v>
      </c>
      <c r="AE22" s="6">
        <f>IFERROR((('raw-PriceList'!AG22/'raw-PriceList'!AG23)-1),"")</f>
        <v>-2.2869335896184118E-2</v>
      </c>
      <c r="AF22" s="6">
        <f>IFERROR((('raw-PriceList'!AH22/'raw-PriceList'!AH23)-1),"")</f>
        <v>9.652352654508034E-3</v>
      </c>
      <c r="AG22" s="6">
        <f>IFERROR((('raw-PriceList'!AJ22/'raw-PriceList'!AJ23)-1),"")</f>
        <v>4.2452886268693479E-3</v>
      </c>
      <c r="AH22" s="6">
        <f>IFERROR((('raw-PriceList'!AK22/'raw-PriceList'!AK23)-1),"")</f>
        <v>-5.9627459355204859E-4</v>
      </c>
      <c r="AI22" s="6">
        <f>IFERROR((('raw-PriceList'!AM22/'raw-PriceList'!AM23)-1),"")</f>
        <v>-4.048599495467986E-3</v>
      </c>
      <c r="AJ22" s="6">
        <f>IFERROR((('raw-PriceList'!AN22/'raw-PriceList'!AN23)-1),"")</f>
        <v>4.8490354776378197E-3</v>
      </c>
      <c r="AK22" s="6">
        <f>IFERROR((('raw-PriceList'!AO22/'raw-PriceList'!AO23)-1),"")</f>
        <v>-4.3958910744422708E-3</v>
      </c>
      <c r="AL22" s="6">
        <f>IFERROR((('raw-PriceList'!AP22/'raw-PriceList'!AP23)-1),"")</f>
        <v>1.2154460197586259E-2</v>
      </c>
      <c r="AM22" s="6">
        <f>IFERROR((('raw-PriceList'!AQ22/'raw-PriceList'!AQ23)-1),"")</f>
        <v>-6.8803155955722284E-3</v>
      </c>
      <c r="AN22" s="6">
        <f>IFERROR((('raw-PriceList'!AR22/'raw-PriceList'!AR23)-1),"")</f>
        <v>1.9493492287121494E-3</v>
      </c>
      <c r="AO22" s="6">
        <f>IFERROR((('raw-PriceList'!AS22/'raw-PriceList'!AS23)-1),"")</f>
        <v>-7.7643123040328499E-3</v>
      </c>
      <c r="AP22" s="6">
        <f>IFERROR((('raw-PriceList'!AT22/'raw-PriceList'!AT23)-1),"")</f>
        <v>-7.7643123040328499E-3</v>
      </c>
      <c r="AQ22" s="6">
        <f>IFERROR((('raw-PriceList'!AU22/'raw-PriceList'!AU23)-1),"")</f>
        <v>2.0603051720916365E-2</v>
      </c>
      <c r="AR22" s="6">
        <f>IFERROR((('raw-PriceList'!AV22/'raw-PriceList'!AV23)-1),"")</f>
        <v>-4.3840836594656318E-3</v>
      </c>
      <c r="AS22" s="6">
        <f>IFERROR((('raw-PriceList'!AW22/'raw-PriceList'!AW23)-1),"")</f>
        <v>3.7308708113423794E-3</v>
      </c>
    </row>
    <row r="23" spans="1:45" x14ac:dyDescent="0.2">
      <c r="A23" s="2">
        <v>42886</v>
      </c>
      <c r="B23" s="6">
        <f>IFERROR((('raw-PriceList'!B23/'raw-PriceList'!B24)-1),"")</f>
        <v>6.1795697728279642E-3</v>
      </c>
      <c r="C23" s="6">
        <f>IFERROR((('raw-PriceList'!C23/'raw-PriceList'!C24)-1),"")</f>
        <v>1.57969087339076E-2</v>
      </c>
      <c r="D23" s="6">
        <f>IFERROR((('raw-PriceList'!D23/'raw-PriceList'!D24)-1),"")</f>
        <v>5.0322213240516778E-3</v>
      </c>
      <c r="E23" s="6">
        <f>IFERROR((('raw-PriceList'!F23/'raw-PriceList'!F24)-1),"")</f>
        <v>6.3718396773602137E-3</v>
      </c>
      <c r="F23" s="6">
        <f>IFERROR((('raw-PriceList'!G23/'raw-PriceList'!G24)-1),"")</f>
        <v>1.1094450185493709E-3</v>
      </c>
      <c r="G23" s="6">
        <f>IFERROR((('raw-PriceList'!H23/'raw-PriceList'!H24)-1),"")</f>
        <v>3.1903934687289581E-2</v>
      </c>
      <c r="H23" s="6">
        <f>IFERROR((('raw-PriceList'!J23/'raw-PriceList'!J24)-1),"")</f>
        <v>1.5080099225384558E-2</v>
      </c>
      <c r="I23" s="6">
        <f>IFERROR((('raw-PriceList'!K23/'raw-PriceList'!K24)-1),"")</f>
        <v>2.9796456985514919E-2</v>
      </c>
      <c r="J23" s="6">
        <f>IFERROR((('raw-PriceList'!L23/'raw-PriceList'!L24)-1),"")</f>
        <v>1.5860706400669944E-3</v>
      </c>
      <c r="K23" s="6">
        <f>IFERROR((('raw-PriceList'!M23/'raw-PriceList'!M24)-1),"")</f>
        <v>-1.1184280413092829E-2</v>
      </c>
      <c r="L23" s="6">
        <f>IFERROR((('raw-PriceList'!N23/'raw-PriceList'!N24)-1),"")</f>
        <v>3.5597337462520695E-3</v>
      </c>
      <c r="M23" s="6">
        <f>IFERROR((('raw-PriceList'!O23/'raw-PriceList'!O24)-1),"")</f>
        <v>-2.4139103621270808E-2</v>
      </c>
      <c r="N23" s="6">
        <f>IFERROR((('raw-PriceList'!P23/'raw-PriceList'!P24)-1),"")</f>
        <v>7.7325366442624333E-3</v>
      </c>
      <c r="O23" s="6">
        <f>IFERROR((('raw-PriceList'!Q23/'raw-PriceList'!Q24)-1),"")</f>
        <v>2.0740018711554509E-2</v>
      </c>
      <c r="P23" s="6">
        <f>IFERROR((('raw-PriceList'!R23/'raw-PriceList'!R24)-1),"")</f>
        <v>2.8495956774836628E-3</v>
      </c>
      <c r="Q23" s="6">
        <f>IFERROR((('raw-PriceList'!S23/'raw-PriceList'!S24)-1),"")</f>
        <v>3.4123807250067362E-2</v>
      </c>
      <c r="R23" s="6">
        <f>IFERROR((('raw-PriceList'!T23/'raw-PriceList'!T24)-1),"")</f>
        <v>3.0482636453464274E-2</v>
      </c>
      <c r="S23" s="6">
        <f>IFERROR((('raw-PriceList'!U23/'raw-PriceList'!U24)-1),"")</f>
        <v>4.5986733788061507E-3</v>
      </c>
      <c r="T23" s="6">
        <f>IFERROR((('raw-PriceList'!V23/'raw-PriceList'!V24)-1),"")</f>
        <v>4.908367399387803E-2</v>
      </c>
      <c r="U23" s="6">
        <f>IFERROR((('raw-PriceList'!W23/'raw-PriceList'!W24)-1),"")</f>
        <v>1.5462421683859695E-2</v>
      </c>
      <c r="V23" s="6">
        <f>IFERROR((('raw-PriceList'!X23/'raw-PriceList'!X24)-1),"")</f>
        <v>5.9829276174205859E-5</v>
      </c>
      <c r="W23" s="6">
        <f>IFERROR((('raw-PriceList'!Y23/'raw-PriceList'!Y24)-1),"")</f>
        <v>1.5745527030189388E-2</v>
      </c>
      <c r="X23" s="6">
        <f>IFERROR((('raw-PriceList'!Z23/'raw-PriceList'!Z24)-1),"")</f>
        <v>4.7208929160641233E-2</v>
      </c>
      <c r="Y23" s="6">
        <f>IFERROR((('raw-PriceList'!AA23/'raw-PriceList'!AA24)-1),"")</f>
        <v>3.3309944289308113E-3</v>
      </c>
      <c r="Z23" s="6">
        <f>IFERROR((('raw-PriceList'!AB23/'raw-PriceList'!AB24)-1),"")</f>
        <v>3.6253896261883911E-2</v>
      </c>
      <c r="AA23" s="6">
        <f>IFERROR((('raw-PriceList'!AC23/'raw-PriceList'!AC24)-1),"")</f>
        <v>7.8697891967705047E-4</v>
      </c>
      <c r="AB23" s="6">
        <f>IFERROR((('raw-PriceList'!AD23/'raw-PriceList'!AD24)-1),"")</f>
        <v>1.4034913401320681E-2</v>
      </c>
      <c r="AC23" s="6">
        <f>IFERROR((('raw-PriceList'!AE23/'raw-PriceList'!AE24)-1),"")</f>
        <v>1.4034913401320681E-2</v>
      </c>
      <c r="AD23" s="6">
        <f>IFERROR((('raw-PriceList'!AF23/'raw-PriceList'!AF24)-1),"")</f>
        <v>1.8407552921367643E-2</v>
      </c>
      <c r="AE23" s="6">
        <f>IFERROR((('raw-PriceList'!AG23/'raw-PriceList'!AG24)-1),"")</f>
        <v>-3.0658061220816601E-2</v>
      </c>
      <c r="AF23" s="6">
        <f>IFERROR((('raw-PriceList'!AH23/'raw-PriceList'!AH24)-1),"")</f>
        <v>2.2130948792322691E-2</v>
      </c>
      <c r="AG23" s="6">
        <f>IFERROR((('raw-PriceList'!AJ23/'raw-PriceList'!AJ24)-1),"")</f>
        <v>2.0643348348694301E-2</v>
      </c>
      <c r="AH23" s="6">
        <f>IFERROR((('raw-PriceList'!AK23/'raw-PriceList'!AK24)-1),"")</f>
        <v>1.9458866885707859E-2</v>
      </c>
      <c r="AI23" s="6">
        <f>IFERROR((('raw-PriceList'!AM23/'raw-PriceList'!AM24)-1),"")</f>
        <v>1.3770687509369717E-2</v>
      </c>
      <c r="AJ23" s="6">
        <f>IFERROR((('raw-PriceList'!AN23/'raw-PriceList'!AN24)-1),"")</f>
        <v>1.0166978478041155E-2</v>
      </c>
      <c r="AK23" s="6">
        <f>IFERROR((('raw-PriceList'!AO23/'raw-PriceList'!AO24)-1),"")</f>
        <v>-2.1027581514732052E-4</v>
      </c>
      <c r="AL23" s="6">
        <f>IFERROR((('raw-PriceList'!AP23/'raw-PriceList'!AP24)-1),"")</f>
        <v>6.4023944787527931E-4</v>
      </c>
      <c r="AM23" s="6">
        <f>IFERROR((('raw-PriceList'!AQ23/'raw-PriceList'!AQ24)-1),"")</f>
        <v>2.7910390942045726E-2</v>
      </c>
      <c r="AN23" s="6">
        <f>IFERROR((('raw-PriceList'!AR23/'raw-PriceList'!AR24)-1),"")</f>
        <v>1.3896744064072486E-2</v>
      </c>
      <c r="AO23" s="6">
        <f>IFERROR((('raw-PriceList'!AS23/'raw-PriceList'!AS24)-1),"")</f>
        <v>3.8084803837523662E-3</v>
      </c>
      <c r="AP23" s="6">
        <f>IFERROR((('raw-PriceList'!AT23/'raw-PriceList'!AT24)-1),"")</f>
        <v>3.8084803837523662E-3</v>
      </c>
      <c r="AQ23" s="6">
        <f>IFERROR((('raw-PriceList'!AU23/'raw-PriceList'!AU24)-1),"")</f>
        <v>-7.7036231905578401E-3</v>
      </c>
      <c r="AR23" s="6">
        <f>IFERROR((('raw-PriceList'!AV23/'raw-PriceList'!AV24)-1),"")</f>
        <v>2.9579595779054557E-2</v>
      </c>
      <c r="AS23" s="6">
        <f>IFERROR((('raw-PriceList'!AW23/'raw-PriceList'!AW24)-1),"")</f>
        <v>3.5943912082858631E-3</v>
      </c>
    </row>
    <row r="24" spans="1:45" x14ac:dyDescent="0.2">
      <c r="A24" s="2">
        <v>42855</v>
      </c>
      <c r="B24" s="6">
        <f>IFERROR((('raw-PriceList'!B24/'raw-PriceList'!B25)-1),"")</f>
        <v>9.3096624390720528E-3</v>
      </c>
      <c r="C24" s="6">
        <f>IFERROR((('raw-PriceList'!C24/'raw-PriceList'!C25)-1),"")</f>
        <v>1.2550078588621227E-2</v>
      </c>
      <c r="D24" s="6">
        <f>IFERROR((('raw-PriceList'!D24/'raw-PriceList'!D25)-1),"")</f>
        <v>5.7722908824147101E-3</v>
      </c>
      <c r="E24" s="6">
        <f>IFERROR((('raw-PriceList'!F24/'raw-PriceList'!F25)-1),"")</f>
        <v>3.6994481390297818E-3</v>
      </c>
      <c r="F24" s="6">
        <f>IFERROR((('raw-PriceList'!G24/'raw-PriceList'!G25)-1),"")</f>
        <v>2.7773645230413369E-3</v>
      </c>
      <c r="G24" s="6">
        <f>IFERROR((('raw-PriceList'!H24/'raw-PriceList'!H25)-1),"")</f>
        <v>1.8541547717737084E-2</v>
      </c>
      <c r="H24" s="6">
        <f>IFERROR((('raw-PriceList'!J24/'raw-PriceList'!J25)-1),"")</f>
        <v>1.0685731857318359E-2</v>
      </c>
      <c r="I24" s="6">
        <f>IFERROR((('raw-PriceList'!K24/'raw-PriceList'!K25)-1),"")</f>
        <v>2.4154619152196632E-2</v>
      </c>
      <c r="J24" s="6">
        <f>IFERROR((('raw-PriceList'!L24/'raw-PriceList'!L25)-1),"")</f>
        <v>-1.5835590036243907E-3</v>
      </c>
      <c r="K24" s="6">
        <f>IFERROR((('raw-PriceList'!M24/'raw-PriceList'!M25)-1),"")</f>
        <v>8.5760652557043127E-3</v>
      </c>
      <c r="L24" s="6">
        <f>IFERROR((('raw-PriceList'!N24/'raw-PriceList'!N25)-1),"")</f>
        <v>1.3639369017352854E-2</v>
      </c>
      <c r="M24" s="6">
        <f>IFERROR((('raw-PriceList'!O24/'raw-PriceList'!O25)-1),"")</f>
        <v>4.1528986247492128E-3</v>
      </c>
      <c r="N24" s="6">
        <f>IFERROR((('raw-PriceList'!P24/'raw-PriceList'!P25)-1),"")</f>
        <v>8.8976724257592288E-3</v>
      </c>
      <c r="O24" s="6">
        <f>IFERROR((('raw-PriceList'!Q24/'raw-PriceList'!Q25)-1),"")</f>
        <v>8.3173789450128321E-3</v>
      </c>
      <c r="P24" s="6">
        <f>IFERROR((('raw-PriceList'!R24/'raw-PriceList'!R25)-1),"")</f>
        <v>2.248409283977626E-3</v>
      </c>
      <c r="Q24" s="6">
        <f>IFERROR((('raw-PriceList'!S24/'raw-PriceList'!S25)-1),"")</f>
        <v>2.2126675957787389E-2</v>
      </c>
      <c r="R24" s="6">
        <f>IFERROR((('raw-PriceList'!T24/'raw-PriceList'!T25)-1),"")</f>
        <v>2.0924341531685098E-2</v>
      </c>
      <c r="S24" s="6">
        <f>IFERROR((('raw-PriceList'!U24/'raw-PriceList'!U25)-1),"")</f>
        <v>6.6501618964334153E-3</v>
      </c>
      <c r="T24" s="6">
        <f>IFERROR((('raw-PriceList'!V24/'raw-PriceList'!V25)-1),"")</f>
        <v>3.8965675177902837E-2</v>
      </c>
      <c r="U24" s="6">
        <f>IFERROR((('raw-PriceList'!W24/'raw-PriceList'!W25)-1),"")</f>
        <v>1.3870665140433447E-2</v>
      </c>
      <c r="V24" s="6">
        <f>IFERROR((('raw-PriceList'!X24/'raw-PriceList'!X25)-1),"")</f>
        <v>8.7272337235444475E-4</v>
      </c>
      <c r="W24" s="6">
        <f>IFERROR((('raw-PriceList'!Y24/'raw-PriceList'!Y25)-1),"")</f>
        <v>1.7243756394596188E-2</v>
      </c>
      <c r="X24" s="6">
        <f>IFERROR((('raw-PriceList'!Z24/'raw-PriceList'!Z25)-1),"")</f>
        <v>3.2210463040199144E-2</v>
      </c>
      <c r="Y24" s="6">
        <f>IFERROR((('raw-PriceList'!AA24/'raw-PriceList'!AA25)-1),"")</f>
        <v>3.6894165455616523E-3</v>
      </c>
      <c r="Z24" s="6">
        <f>IFERROR((('raw-PriceList'!AB24/'raw-PriceList'!AB25)-1),"")</f>
        <v>2.2494820333395005E-2</v>
      </c>
      <c r="AA24" s="6">
        <f>IFERROR((('raw-PriceList'!AC24/'raw-PriceList'!AC25)-1),"")</f>
        <v>3.9710283412044411E-3</v>
      </c>
      <c r="AB24" s="6">
        <f>IFERROR((('raw-PriceList'!AD24/'raw-PriceList'!AD25)-1),"")</f>
        <v>1.0383133988044468E-2</v>
      </c>
      <c r="AC24" s="6">
        <f>IFERROR((('raw-PriceList'!AE24/'raw-PriceList'!AE25)-1),"")</f>
        <v>1.0383133988044468E-2</v>
      </c>
      <c r="AD24" s="6">
        <f>IFERROR((('raw-PriceList'!AF24/'raw-PriceList'!AF25)-1),"")</f>
        <v>2.0767851072268417E-2</v>
      </c>
      <c r="AE24" s="6">
        <f>IFERROR((('raw-PriceList'!AG24/'raw-PriceList'!AG25)-1),"")</f>
        <v>2.1930214751733068E-2</v>
      </c>
      <c r="AF24" s="6">
        <f>IFERROR((('raw-PriceList'!AH24/'raw-PriceList'!AH25)-1),"")</f>
        <v>7.5831561833712424E-3</v>
      </c>
      <c r="AG24" s="6">
        <f>IFERROR((('raw-PriceList'!AJ24/'raw-PriceList'!AJ25)-1),"")</f>
        <v>2.7459989227213155E-2</v>
      </c>
      <c r="AH24" s="6">
        <f>IFERROR((('raw-PriceList'!AK24/'raw-PriceList'!AK25)-1),"")</f>
        <v>1.6243693114990521E-2</v>
      </c>
      <c r="AI24" s="6">
        <f>IFERROR((('raw-PriceList'!AM24/'raw-PriceList'!AM25)-1),"")</f>
        <v>3.6886247787910609E-3</v>
      </c>
      <c r="AJ24" s="6">
        <f>IFERROR((('raw-PriceList'!AN24/'raw-PriceList'!AN25)-1),"")</f>
        <v>1.0617345357015529E-2</v>
      </c>
      <c r="AK24" s="6">
        <f>IFERROR((('raw-PriceList'!AO24/'raw-PriceList'!AO25)-1),"")</f>
        <v>-2.1023160852462475E-4</v>
      </c>
      <c r="AL24" s="6">
        <f>IFERROR((('raw-PriceList'!AP24/'raw-PriceList'!AP25)-1),"")</f>
        <v>-3.3102340441371059E-4</v>
      </c>
      <c r="AM24" s="6">
        <f>IFERROR((('raw-PriceList'!AQ24/'raw-PriceList'!AQ25)-1),"")</f>
        <v>2.2734948333734906E-2</v>
      </c>
      <c r="AN24" s="6">
        <f>IFERROR((('raw-PriceList'!AR24/'raw-PriceList'!AR25)-1),"")</f>
        <v>1.1067321952880738E-2</v>
      </c>
      <c r="AO24" s="6">
        <f>IFERROR((('raw-PriceList'!AS24/'raw-PriceList'!AS25)-1),"")</f>
        <v>9.8187070317787839E-3</v>
      </c>
      <c r="AP24" s="6">
        <f>IFERROR((('raw-PriceList'!AT24/'raw-PriceList'!AT25)-1),"")</f>
        <v>9.8187070317787839E-3</v>
      </c>
      <c r="AQ24" s="6">
        <f>IFERROR((('raw-PriceList'!AU24/'raw-PriceList'!AU25)-1),"")</f>
        <v>1.1258529537898188E-2</v>
      </c>
      <c r="AR24" s="6">
        <f>IFERROR((('raw-PriceList'!AV24/'raw-PriceList'!AV25)-1),"")</f>
        <v>2.0544550868118794E-2</v>
      </c>
      <c r="AS24" s="6">
        <f>IFERROR((('raw-PriceList'!AW24/'raw-PriceList'!AW25)-1),"")</f>
        <v>-7.5403534474693945E-4</v>
      </c>
    </row>
    <row r="25" spans="1:45" x14ac:dyDescent="0.2">
      <c r="A25" s="2">
        <v>42825</v>
      </c>
      <c r="B25" s="6">
        <f>IFERROR((('raw-PriceList'!B25/'raw-PriceList'!B26)-1),"")</f>
        <v>-2.0377956000182662E-3</v>
      </c>
      <c r="C25" s="6">
        <f>IFERROR((('raw-PriceList'!C25/'raw-PriceList'!C26)-1),"")</f>
        <v>-9.9943439859329075E-3</v>
      </c>
      <c r="D25" s="6">
        <f>IFERROR((('raw-PriceList'!D25/'raw-PriceList'!D26)-1),"")</f>
        <v>-2.3514988082548038E-3</v>
      </c>
      <c r="E25" s="6">
        <f>IFERROR((('raw-PriceList'!F25/'raw-PriceList'!F26)-1),"")</f>
        <v>-7.3222490819513375E-4</v>
      </c>
      <c r="F25" s="6">
        <f>IFERROR((('raw-PriceList'!G25/'raw-PriceList'!G26)-1),"")</f>
        <v>-1.3620916108214587E-4</v>
      </c>
      <c r="G25" s="6">
        <f>IFERROR((('raw-PriceList'!H25/'raw-PriceList'!H26)-1),"")</f>
        <v>-1.581623563355794E-2</v>
      </c>
      <c r="H25" s="6">
        <f>IFERROR((('raw-PriceList'!J25/'raw-PriceList'!J26)-1),"")</f>
        <v>-2.7124131078738456E-3</v>
      </c>
      <c r="I25" s="6">
        <f>IFERROR((('raw-PriceList'!K25/'raw-PriceList'!K26)-1),"")</f>
        <v>1.2481626076980445E-2</v>
      </c>
      <c r="J25" s="6">
        <f>IFERROR((('raw-PriceList'!L25/'raw-PriceList'!L26)-1),"")</f>
        <v>-1.6112940617046601E-2</v>
      </c>
      <c r="K25" s="6">
        <f>IFERROR((('raw-PriceList'!M25/'raw-PriceList'!M26)-1),"")</f>
        <v>-5.1589806180327713E-3</v>
      </c>
      <c r="L25" s="6">
        <f>IFERROR((('raw-PriceList'!N25/'raw-PriceList'!N26)-1),"")</f>
        <v>2.0349623124125138E-3</v>
      </c>
      <c r="M25" s="6">
        <f>IFERROR((('raw-PriceList'!O25/'raw-PriceList'!O26)-1),"")</f>
        <v>-1.123342752537837E-2</v>
      </c>
      <c r="N25" s="6">
        <f>IFERROR((('raw-PriceList'!P25/'raw-PriceList'!P26)-1),"")</f>
        <v>-2.7757125441011388E-3</v>
      </c>
      <c r="O25" s="6">
        <f>IFERROR((('raw-PriceList'!Q25/'raw-PriceList'!Q26)-1),"")</f>
        <v>-1.0219272547036695E-2</v>
      </c>
      <c r="P25" s="6">
        <f>IFERROR((('raw-PriceList'!R25/'raw-PriceList'!R26)-1),"")</f>
        <v>-6.3540586769128549E-4</v>
      </c>
      <c r="Q25" s="6">
        <f>IFERROR((('raw-PriceList'!S25/'raw-PriceList'!S26)-1),"")</f>
        <v>2.6604240147917624E-2</v>
      </c>
      <c r="R25" s="6">
        <f>IFERROR((('raw-PriceList'!T25/'raw-PriceList'!T26)-1),"")</f>
        <v>2.6624442578502716E-2</v>
      </c>
      <c r="S25" s="6">
        <f>IFERROR((('raw-PriceList'!U25/'raw-PriceList'!U26)-1),"")</f>
        <v>-7.3787826360416364E-4</v>
      </c>
      <c r="T25" s="6">
        <f>IFERROR((('raw-PriceList'!V25/'raw-PriceList'!V26)-1),"")</f>
        <v>3.8687019216922192E-2</v>
      </c>
      <c r="U25" s="6">
        <f>IFERROR((('raw-PriceList'!W25/'raw-PriceList'!W26)-1),"")</f>
        <v>-8.6613935502988237E-3</v>
      </c>
      <c r="V25" s="6">
        <f>IFERROR((('raw-PriceList'!X25/'raw-PriceList'!X26)-1),"")</f>
        <v>-1.9474142237230208E-4</v>
      </c>
      <c r="W25" s="6">
        <f>IFERROR((('raw-PriceList'!Y25/'raw-PriceList'!Y26)-1),"")</f>
        <v>-5.4374095234893671E-3</v>
      </c>
      <c r="X25" s="6">
        <f>IFERROR((('raw-PriceList'!Z25/'raw-PriceList'!Z26)-1),"")</f>
        <v>3.1935451312449459E-2</v>
      </c>
      <c r="Y25" s="6">
        <f>IFERROR((('raw-PriceList'!AA25/'raw-PriceList'!AA26)-1),"")</f>
        <v>-7.3019100069082743E-4</v>
      </c>
      <c r="Z25" s="6">
        <f>IFERROR((('raw-PriceList'!AB25/'raw-PriceList'!AB26)-1),"")</f>
        <v>1.2546099224713725E-2</v>
      </c>
      <c r="AA25" s="6">
        <f>IFERROR((('raw-PriceList'!AC25/'raw-PriceList'!AC26)-1),"")</f>
        <v>-7.0127403833272206E-3</v>
      </c>
      <c r="AB25" s="6">
        <f>IFERROR((('raw-PriceList'!AD25/'raw-PriceList'!AD26)-1),"")</f>
        <v>-3.3837980211114393E-3</v>
      </c>
      <c r="AC25" s="6">
        <f>IFERROR((('raw-PriceList'!AE25/'raw-PriceList'!AE26)-1),"")</f>
        <v>-3.3837980211114393E-3</v>
      </c>
      <c r="AD25" s="6">
        <f>IFERROR((('raw-PriceList'!AF25/'raw-PriceList'!AF26)-1),"")</f>
        <v>1.7883883795994926E-3</v>
      </c>
      <c r="AE25" s="6">
        <f>IFERROR((('raw-PriceList'!AG25/'raw-PriceList'!AG26)-1),"")</f>
        <v>-2.9360295706493678E-2</v>
      </c>
      <c r="AF25" s="6">
        <f>IFERROR((('raw-PriceList'!AH25/'raw-PriceList'!AH26)-1),"")</f>
        <v>1.5869988614756858E-2</v>
      </c>
      <c r="AG25" s="6">
        <f>IFERROR((('raw-PriceList'!AJ25/'raw-PriceList'!AJ26)-1),"")</f>
        <v>2.5099773045651474E-2</v>
      </c>
      <c r="AH25" s="6">
        <f>IFERROR((('raw-PriceList'!AK25/'raw-PriceList'!AK26)-1),"")</f>
        <v>1.0841449955200533E-2</v>
      </c>
      <c r="AI25" s="6">
        <f>IFERROR((('raw-PriceList'!AM25/'raw-PriceList'!AM26)-1),"")</f>
        <v>6.0895419526385552E-4</v>
      </c>
      <c r="AJ25" s="6">
        <f>IFERROR((('raw-PriceList'!AN25/'raw-PriceList'!AN26)-1),"")</f>
        <v>-3.8938464958050423E-3</v>
      </c>
      <c r="AK25" s="6">
        <f>IFERROR((('raw-PriceList'!AO25/'raw-PriceList'!AO26)-1),"")</f>
        <v>1.1786846696719699E-3</v>
      </c>
      <c r="AL25" s="6">
        <f>IFERROR((('raw-PriceList'!AP25/'raw-PriceList'!AP26)-1),"")</f>
        <v>-1.4979055721170087E-2</v>
      </c>
      <c r="AM25" s="6">
        <f>IFERROR((('raw-PriceList'!AQ25/'raw-PriceList'!AQ26)-1),"")</f>
        <v>9.9582631860615223E-3</v>
      </c>
      <c r="AN25" s="6">
        <f>IFERROR((('raw-PriceList'!AR25/'raw-PriceList'!AR26)-1),"")</f>
        <v>-3.8545033501232728E-3</v>
      </c>
      <c r="AO25" s="6">
        <f>IFERROR((('raw-PriceList'!AS25/'raw-PriceList'!AS26)-1),"")</f>
        <v>2.5239004003350107E-3</v>
      </c>
      <c r="AP25" s="6">
        <f>IFERROR((('raw-PriceList'!AT25/'raw-PriceList'!AT26)-1),"")</f>
        <v>2.5239004003350107E-3</v>
      </c>
      <c r="AQ25" s="6">
        <f>IFERROR((('raw-PriceList'!AU25/'raw-PriceList'!AU26)-1),"")</f>
        <v>-4.0703947895118775E-3</v>
      </c>
      <c r="AR25" s="6">
        <f>IFERROR((('raw-PriceList'!AV25/'raw-PriceList'!AV26)-1),"")</f>
        <v>2.6678856795197436E-2</v>
      </c>
      <c r="AS25" s="6">
        <f>IFERROR((('raw-PriceList'!AW25/'raw-PriceList'!AW26)-1),"")</f>
        <v>-1.0197345149100201E-2</v>
      </c>
    </row>
    <row r="26" spans="1:45" x14ac:dyDescent="0.2">
      <c r="A26" s="2">
        <v>42794</v>
      </c>
      <c r="B26" s="6">
        <f>IFERROR((('raw-PriceList'!B26/'raw-PriceList'!B27)-1),"")</f>
        <v>5.3034735417878398E-3</v>
      </c>
      <c r="C26" s="6">
        <f>IFERROR((('raw-PriceList'!C26/'raw-PriceList'!C27)-1),"")</f>
        <v>1.4683932956456092E-2</v>
      </c>
      <c r="D26" s="6">
        <f>IFERROR((('raw-PriceList'!D26/'raw-PriceList'!D27)-1),"")</f>
        <v>4.0799922610612605E-3</v>
      </c>
      <c r="E26" s="6">
        <f>IFERROR((('raw-PriceList'!F26/'raw-PriceList'!F27)-1),"")</f>
        <v>8.0551776787702867E-3</v>
      </c>
      <c r="F26" s="6">
        <f>IFERROR((('raw-PriceList'!G26/'raw-PriceList'!G27)-1),"")</f>
        <v>6.4157270655340604E-4</v>
      </c>
      <c r="G26" s="6">
        <f>IFERROR((('raw-PriceList'!H26/'raw-PriceList'!H27)-1),"")</f>
        <v>1.9297579932134212E-2</v>
      </c>
      <c r="H26" s="6">
        <f>IFERROR((('raw-PriceList'!J26/'raw-PriceList'!J27)-1),"")</f>
        <v>4.0771032547843644E-2</v>
      </c>
      <c r="I26" s="6">
        <f>IFERROR((('raw-PriceList'!K26/'raw-PriceList'!K27)-1),"")</f>
        <v>4.7174349025953743E-2</v>
      </c>
      <c r="J26" s="6">
        <f>IFERROR((('raw-PriceList'!L26/'raw-PriceList'!L27)-1),"")</f>
        <v>3.6178760494528728E-2</v>
      </c>
      <c r="K26" s="6">
        <f>IFERROR((('raw-PriceList'!M26/'raw-PriceList'!M27)-1),"")</f>
        <v>2.3116402330953134E-2</v>
      </c>
      <c r="L26" s="6">
        <f>IFERROR((('raw-PriceList'!N26/'raw-PriceList'!N27)-1),"")</f>
        <v>2.6566477368588748E-2</v>
      </c>
      <c r="M26" s="6">
        <f>IFERROR((('raw-PriceList'!O26/'raw-PriceList'!O27)-1),"")</f>
        <v>2.0257476657807416E-2</v>
      </c>
      <c r="N26" s="6">
        <f>IFERROR((('raw-PriceList'!P26/'raw-PriceList'!P27)-1),"")</f>
        <v>7.3256814483946275E-3</v>
      </c>
      <c r="O26" s="6">
        <f>IFERROR((('raw-PriceList'!Q26/'raw-PriceList'!Q27)-1),"")</f>
        <v>1.577413150686291E-2</v>
      </c>
      <c r="P26" s="6">
        <f>IFERROR((('raw-PriceList'!R26/'raw-PriceList'!R27)-1),"")</f>
        <v>2.1406391372735811E-3</v>
      </c>
      <c r="Q26" s="6">
        <f>IFERROR((('raw-PriceList'!S26/'raw-PriceList'!S27)-1),"")</f>
        <v>1.0579197465681034E-2</v>
      </c>
      <c r="R26" s="6">
        <f>IFERROR((('raw-PriceList'!T26/'raw-PriceList'!T27)-1),"")</f>
        <v>1.2598603864475866E-2</v>
      </c>
      <c r="S26" s="6">
        <f>IFERROR((('raw-PriceList'!U26/'raw-PriceList'!U27)-1),"")</f>
        <v>3.2912397184807762E-3</v>
      </c>
      <c r="T26" s="6">
        <f>IFERROR((('raw-PriceList'!V26/'raw-PriceList'!V27)-1),"")</f>
        <v>5.862631125672646E-3</v>
      </c>
      <c r="U26" s="6">
        <f>IFERROR((('raw-PriceList'!W26/'raw-PriceList'!W27)-1),"")</f>
        <v>1.452903492886537E-2</v>
      </c>
      <c r="V26" s="6">
        <f>IFERROR((('raw-PriceList'!X26/'raw-PriceList'!X27)-1),"")</f>
        <v>1.7270441294403582E-5</v>
      </c>
      <c r="W26" s="6">
        <f>IFERROR((('raw-PriceList'!Y26/'raw-PriceList'!Y27)-1),"")</f>
        <v>4.3276794534730323E-2</v>
      </c>
      <c r="X26" s="6">
        <f>IFERROR((('raw-PriceList'!Z26/'raw-PriceList'!Z27)-1),"")</f>
        <v>1.6648113176714663E-2</v>
      </c>
      <c r="Y26" s="6">
        <f>IFERROR((('raw-PriceList'!AA26/'raw-PriceList'!AA27)-1),"")</f>
        <v>3.4562447320618528E-3</v>
      </c>
      <c r="Z26" s="6">
        <f>IFERROR((('raw-PriceList'!AB26/'raw-PriceList'!AB27)-1),"")</f>
        <v>2.6782598035962391E-2</v>
      </c>
      <c r="AA26" s="6">
        <f>IFERROR((('raw-PriceList'!AC26/'raw-PriceList'!AC27)-1),"")</f>
        <v>3.3543472021510867E-2</v>
      </c>
      <c r="AB26" s="6">
        <f>IFERROR((('raw-PriceList'!AD26/'raw-PriceList'!AD27)-1),"")</f>
        <v>3.8849978278777675E-2</v>
      </c>
      <c r="AC26" s="6">
        <f>IFERROR((('raw-PriceList'!AE26/'raw-PriceList'!AE27)-1),"")</f>
        <v>3.8849978278777675E-2</v>
      </c>
      <c r="AD26" s="6">
        <f>IFERROR((('raw-PriceList'!AF26/'raw-PriceList'!AF27)-1),"")</f>
        <v>2.8009635406481159E-2</v>
      </c>
      <c r="AE26" s="6">
        <f>IFERROR((('raw-PriceList'!AG26/'raw-PriceList'!AG27)-1),"")</f>
        <v>-2.7783328729552359E-2</v>
      </c>
      <c r="AF26" s="6">
        <f>IFERROR((('raw-PriceList'!AH26/'raw-PriceList'!AH27)-1),"")</f>
        <v>2.1501643407944027E-2</v>
      </c>
      <c r="AG26" s="6">
        <f>IFERROR((('raw-PriceList'!AJ26/'raw-PriceList'!AJ27)-1),"")</f>
        <v>1.6371269513448805E-2</v>
      </c>
      <c r="AH26" s="6">
        <f>IFERROR((('raw-PriceList'!AK26/'raw-PriceList'!AK27)-1),"")</f>
        <v>2.6895472968606837E-2</v>
      </c>
      <c r="AI26" s="6">
        <f>IFERROR((('raw-PriceList'!AM26/'raw-PriceList'!AM27)-1),"")</f>
        <v>4.6764536449857008E-3</v>
      </c>
      <c r="AJ26" s="6">
        <f>IFERROR((('raw-PriceList'!AN26/'raw-PriceList'!AN27)-1),"")</f>
        <v>3.6865957691534001E-2</v>
      </c>
      <c r="AK26" s="6">
        <f>IFERROR((('raw-PriceList'!AO26/'raw-PriceList'!AO27)-1),"")</f>
        <v>4.2113609154514897E-4</v>
      </c>
      <c r="AL26" s="6">
        <f>IFERROR((('raw-PriceList'!AP26/'raw-PriceList'!AP27)-1),"")</f>
        <v>3.5862306255634913E-2</v>
      </c>
      <c r="AM26" s="6">
        <f>IFERROR((('raw-PriceList'!AQ26/'raw-PriceList'!AQ27)-1),"")</f>
        <v>4.3811261210092489E-2</v>
      </c>
      <c r="AN26" s="6">
        <f>IFERROR((('raw-PriceList'!AR26/'raw-PriceList'!AR27)-1),"")</f>
        <v>3.9755746690007587E-2</v>
      </c>
      <c r="AO26" s="6">
        <f>IFERROR((('raw-PriceList'!AS26/'raw-PriceList'!AS27)-1),"")</f>
        <v>1.0334093249858123E-2</v>
      </c>
      <c r="AP26" s="6">
        <f>IFERROR((('raw-PriceList'!AT26/'raw-PriceList'!AT27)-1),"")</f>
        <v>1.0334093249858123E-2</v>
      </c>
      <c r="AQ26" s="6">
        <f>IFERROR((('raw-PriceList'!AU26/'raw-PriceList'!AU27)-1),"")</f>
        <v>2.4097699325101418E-2</v>
      </c>
      <c r="AR26" s="6">
        <f>IFERROR((('raw-PriceList'!AV26/'raw-PriceList'!AV27)-1),"")</f>
        <v>1.3405365874192832E-2</v>
      </c>
      <c r="AS26" s="6">
        <f>IFERROR((('raw-PriceList'!AW26/'raw-PriceList'!AW27)-1),"")</f>
        <v>3.575827991629299E-2</v>
      </c>
    </row>
    <row r="27" spans="1:45" x14ac:dyDescent="0.2">
      <c r="A27" s="2">
        <v>42766</v>
      </c>
      <c r="B27" s="6">
        <f>IFERROR((('raw-PriceList'!B27/'raw-PriceList'!B28)-1),"")</f>
        <v>3.236755520950485E-3</v>
      </c>
      <c r="C27" s="6">
        <f>IFERROR((('raw-PriceList'!C27/'raw-PriceList'!C28)-1),"")</f>
        <v>5.6266254384054193E-3</v>
      </c>
      <c r="D27" s="6">
        <f>IFERROR((('raw-PriceList'!D27/'raw-PriceList'!D28)-1),"")</f>
        <v>1.8501866215465679E-3</v>
      </c>
      <c r="E27" s="6">
        <f>IFERROR((('raw-PriceList'!F27/'raw-PriceList'!F28)-1),"")</f>
        <v>-9.8249482698725688E-3</v>
      </c>
      <c r="F27" s="6">
        <f>IFERROR((('raw-PriceList'!G27/'raw-PriceList'!G28)-1),"")</f>
        <v>2.8911446893937764E-3</v>
      </c>
      <c r="G27" s="6">
        <f>IFERROR((('raw-PriceList'!H27/'raw-PriceList'!H28)-1),"")</f>
        <v>1.2405978349663505E-2</v>
      </c>
      <c r="H27" s="6">
        <f>IFERROR((('raw-PriceList'!J27/'raw-PriceList'!J28)-1),"")</f>
        <v>1.7812004813651638E-2</v>
      </c>
      <c r="I27" s="6">
        <f>IFERROR((('raw-PriceList'!K27/'raw-PriceList'!K28)-1),"")</f>
        <v>3.6282387239811253E-2</v>
      </c>
      <c r="J27" s="6">
        <f>IFERROR((('raw-PriceList'!L27/'raw-PriceList'!L28)-1),"")</f>
        <v>1.9427863288299374E-3</v>
      </c>
      <c r="K27" s="6">
        <f>IFERROR((('raw-PriceList'!M27/'raw-PriceList'!M28)-1),"")</f>
        <v>1.5462205909220206E-2</v>
      </c>
      <c r="L27" s="6">
        <f>IFERROR((('raw-PriceList'!N27/'raw-PriceList'!N28)-1),"")</f>
        <v>2.7055944747175209E-2</v>
      </c>
      <c r="M27" s="6">
        <f>IFERROR((('raw-PriceList'!O27/'raw-PriceList'!O28)-1),"")</f>
        <v>6.4794921729725008E-3</v>
      </c>
      <c r="N27" s="6">
        <f>IFERROR((('raw-PriceList'!P27/'raw-PriceList'!P28)-1),"")</f>
        <v>3.3655446084310814E-3</v>
      </c>
      <c r="O27" s="6">
        <f>IFERROR((('raw-PriceList'!Q27/'raw-PriceList'!Q28)-1),"")</f>
        <v>7.8556564811727014E-4</v>
      </c>
      <c r="P27" s="6">
        <f>IFERROR((('raw-PriceList'!R27/'raw-PriceList'!R28)-1),"")</f>
        <v>3.1740288041350873E-3</v>
      </c>
      <c r="Q27" s="6">
        <f>IFERROR((('raw-PriceList'!S27/'raw-PriceList'!S28)-1),"")</f>
        <v>3.6664480038051339E-2</v>
      </c>
      <c r="R27" s="6">
        <f>IFERROR((('raw-PriceList'!T27/'raw-PriceList'!T28)-1),"")</f>
        <v>4.1431960854171557E-2</v>
      </c>
      <c r="S27" s="6">
        <f>IFERROR((('raw-PriceList'!U27/'raw-PriceList'!U28)-1),"")</f>
        <v>3.5866809387135046E-3</v>
      </c>
      <c r="T27" s="6">
        <f>IFERROR((('raw-PriceList'!V27/'raw-PriceList'!V28)-1),"")</f>
        <v>2.9623524768700227E-2</v>
      </c>
      <c r="U27" s="6">
        <f>IFERROR((('raw-PriceList'!W27/'raw-PriceList'!W28)-1),"")</f>
        <v>5.7091716401909132E-3</v>
      </c>
      <c r="V27" s="6">
        <f>IFERROR((('raw-PriceList'!X27/'raw-PriceList'!X28)-1),"")</f>
        <v>-1.9847852283784162E-3</v>
      </c>
      <c r="W27" s="6">
        <f>IFERROR((('raw-PriceList'!Y27/'raw-PriceList'!Y28)-1),"")</f>
        <v>1.7605646204053027E-2</v>
      </c>
      <c r="X27" s="6">
        <f>IFERROR((('raw-PriceList'!Z27/'raw-PriceList'!Z28)-1),"")</f>
        <v>3.7495224017947359E-2</v>
      </c>
      <c r="Y27" s="6">
        <f>IFERROR((('raw-PriceList'!AA27/'raw-PriceList'!AA28)-1),"")</f>
        <v>1.7163631078507269E-3</v>
      </c>
      <c r="Z27" s="6">
        <f>IFERROR((('raw-PriceList'!AB27/'raw-PriceList'!AB28)-1),"")</f>
        <v>3.344665861225371E-2</v>
      </c>
      <c r="AA27" s="6">
        <f>IFERROR((('raw-PriceList'!AC27/'raw-PriceList'!AC28)-1),"")</f>
        <v>2.1702069559020654E-2</v>
      </c>
      <c r="AB27" s="6">
        <f>IFERROR((('raw-PriceList'!AD27/'raw-PriceList'!AD28)-1),"")</f>
        <v>1.7811717476121203E-2</v>
      </c>
      <c r="AC27" s="6">
        <f>IFERROR((('raw-PriceList'!AE27/'raw-PriceList'!AE28)-1),"")</f>
        <v>1.7811717476121203E-2</v>
      </c>
      <c r="AD27" s="6">
        <f>IFERROR((('raw-PriceList'!AF27/'raw-PriceList'!AF28)-1),"")</f>
        <v>3.7928306532582612E-2</v>
      </c>
      <c r="AE27" s="6">
        <f>IFERROR((('raw-PriceList'!AG27/'raw-PriceList'!AG28)-1),"")</f>
        <v>3.8307668742960654E-3</v>
      </c>
      <c r="AF27" s="6">
        <f>IFERROR((('raw-PriceList'!AH27/'raw-PriceList'!AH28)-1),"")</f>
        <v>4.9220096233010269E-2</v>
      </c>
      <c r="AG27" s="6">
        <f>IFERROR((('raw-PriceList'!AJ27/'raw-PriceList'!AJ28)-1),"")</f>
        <v>4.7935683762547088E-2</v>
      </c>
      <c r="AH27" s="6">
        <f>IFERROR((('raw-PriceList'!AK27/'raw-PriceList'!AK28)-1),"")</f>
        <v>2.9993588668582483E-2</v>
      </c>
      <c r="AI27" s="6">
        <f>IFERROR((('raw-PriceList'!AM27/'raw-PriceList'!AM28)-1),"")</f>
        <v>2.2717143903099313E-3</v>
      </c>
      <c r="AJ27" s="6">
        <f>IFERROR((('raw-PriceList'!AN27/'raw-PriceList'!AN28)-1),"")</f>
        <v>1.8548641372872821E-2</v>
      </c>
      <c r="AK27" s="6">
        <f>IFERROR((('raw-PriceList'!AO27/'raw-PriceList'!AO28)-1),"")</f>
        <v>4.6967696054380781E-3</v>
      </c>
      <c r="AL27" s="6">
        <f>IFERROR((('raw-PriceList'!AP27/'raw-PriceList'!AP28)-1),"")</f>
        <v>4.9403465252590983E-3</v>
      </c>
      <c r="AM27" s="6">
        <f>IFERROR((('raw-PriceList'!AQ27/'raw-PriceList'!AQ28)-1),"")</f>
        <v>3.5118442103850844E-2</v>
      </c>
      <c r="AN27" s="6">
        <f>IFERROR((('raw-PriceList'!AR27/'raw-PriceList'!AR28)-1),"")</f>
        <v>1.9395576395735414E-2</v>
      </c>
      <c r="AO27" s="6">
        <f>IFERROR((('raw-PriceList'!AS27/'raw-PriceList'!AS28)-1),"")</f>
        <v>1.4149188947147895E-2</v>
      </c>
      <c r="AP27" s="6">
        <f>IFERROR((('raw-PriceList'!AT27/'raw-PriceList'!AT28)-1),"")</f>
        <v>1.4149188947147895E-2</v>
      </c>
      <c r="AQ27" s="6">
        <f>IFERROR((('raw-PriceList'!AU27/'raw-PriceList'!AU28)-1),"")</f>
        <v>2.129948095673484E-2</v>
      </c>
      <c r="AR27" s="6">
        <f>IFERROR((('raw-PriceList'!AV27/'raw-PriceList'!AV28)-1),"")</f>
        <v>4.0790881612540852E-2</v>
      </c>
      <c r="AS27" s="6">
        <f>IFERROR((('raw-PriceList'!AW27/'raw-PriceList'!AW28)-1),"")</f>
        <v>-4.2442749139337543E-4</v>
      </c>
    </row>
    <row r="28" spans="1:45" x14ac:dyDescent="0.2">
      <c r="A28" s="2">
        <v>42735</v>
      </c>
      <c r="B28" s="6">
        <f>IFERROR((('raw-PriceList'!B28/'raw-PriceList'!B29)-1),"")</f>
        <v>-6.5506956586213194E-3</v>
      </c>
      <c r="C28" s="6">
        <f>IFERROR((('raw-PriceList'!C28/'raw-PriceList'!C29)-1),"")</f>
        <v>1.2059880632344644E-3</v>
      </c>
      <c r="D28" s="6">
        <f>IFERROR((('raw-PriceList'!D28/'raw-PriceList'!D29)-1),"")</f>
        <v>-1.2007816145043204E-3</v>
      </c>
      <c r="E28" s="6">
        <f>IFERROR((('raw-PriceList'!F28/'raw-PriceList'!F29)-1),"")</f>
        <v>-4.3527512927590273E-3</v>
      </c>
      <c r="F28" s="6">
        <f>IFERROR((('raw-PriceList'!G28/'raw-PriceList'!G29)-1),"")</f>
        <v>-2.0259816539943687E-3</v>
      </c>
      <c r="G28" s="6">
        <f>IFERROR((('raw-PriceList'!H28/'raw-PriceList'!H29)-1),"")</f>
        <v>-3.4263666545976346E-2</v>
      </c>
      <c r="H28" s="6">
        <f>IFERROR((('raw-PriceList'!J28/'raw-PriceList'!J29)-1),"")</f>
        <v>1.5728372406900171E-2</v>
      </c>
      <c r="I28" s="6">
        <f>IFERROR((('raw-PriceList'!K28/'raw-PriceList'!K29)-1),"")</f>
        <v>8.574064745106913E-3</v>
      </c>
      <c r="J28" s="6">
        <f>IFERROR((('raw-PriceList'!L28/'raw-PriceList'!L29)-1),"")</f>
        <v>2.2544561001773156E-2</v>
      </c>
      <c r="K28" s="6">
        <f>IFERROR((('raw-PriceList'!M28/'raw-PriceList'!M29)-1),"")</f>
        <v>1.3458067201372215E-2</v>
      </c>
      <c r="L28" s="6">
        <f>IFERROR((('raw-PriceList'!N28/'raw-PriceList'!N29)-1),"")</f>
        <v>2.3574187770152299E-3</v>
      </c>
      <c r="M28" s="6">
        <f>IFERROR((('raw-PriceList'!O28/'raw-PriceList'!O29)-1),"")</f>
        <v>2.1887549929463734E-2</v>
      </c>
      <c r="N28" s="6">
        <f>IFERROR((('raw-PriceList'!P28/'raw-PriceList'!P29)-1),"")</f>
        <v>1.413254695219468E-4</v>
      </c>
      <c r="O28" s="6">
        <f>IFERROR((('raw-PriceList'!Q28/'raw-PriceList'!Q29)-1),"")</f>
        <v>1.302252365987111E-2</v>
      </c>
      <c r="P28" s="6">
        <f>IFERROR((('raw-PriceList'!R28/'raw-PriceList'!R29)-1),"")</f>
        <v>-6.4844588297308103E-4</v>
      </c>
      <c r="Q28" s="6">
        <f>IFERROR((('raw-PriceList'!S28/'raw-PriceList'!S29)-1),"")</f>
        <v>1.6117043360402761E-2</v>
      </c>
      <c r="R28" s="6">
        <f>IFERROR((('raw-PriceList'!T28/'raw-PriceList'!T29)-1),"")</f>
        <v>1.0764161922975468E-2</v>
      </c>
      <c r="S28" s="6">
        <f>IFERROR((('raw-PriceList'!U28/'raw-PriceList'!U29)-1),"")</f>
        <v>-5.536464180542211E-3</v>
      </c>
      <c r="T28" s="6">
        <f>IFERROR((('raw-PriceList'!V28/'raw-PriceList'!V29)-1),"")</f>
        <v>4.4169014452632771E-2</v>
      </c>
      <c r="U28" s="6">
        <f>IFERROR((('raw-PriceList'!W28/'raw-PriceList'!W29)-1),"")</f>
        <v>-8.4508179350294421E-3</v>
      </c>
      <c r="V28" s="6">
        <f>IFERROR((('raw-PriceList'!X28/'raw-PriceList'!X29)-1),"")</f>
        <v>2.1746697936901871E-3</v>
      </c>
      <c r="W28" s="6">
        <f>IFERROR((('raw-PriceList'!Y28/'raw-PriceList'!Y29)-1),"")</f>
        <v>4.960618030287911E-3</v>
      </c>
      <c r="X28" s="6">
        <f>IFERROR((('raw-PriceList'!Z28/'raw-PriceList'!Z29)-1),"")</f>
        <v>6.8704979232299124E-3</v>
      </c>
      <c r="Y28" s="6">
        <f>IFERROR((('raw-PriceList'!AA28/'raw-PriceList'!AA29)-1),"")</f>
        <v>-7.0144082302795452E-3</v>
      </c>
      <c r="Z28" s="6">
        <f>IFERROR((('raw-PriceList'!AB28/'raw-PriceList'!AB29)-1),"")</f>
        <v>-3.5016942771450732E-2</v>
      </c>
      <c r="AA28" s="6">
        <f>IFERROR((('raw-PriceList'!AC28/'raw-PriceList'!AC29)-1),"")</f>
        <v>4.7514407531179526E-3</v>
      </c>
      <c r="AB28" s="6">
        <f>IFERROR((('raw-PriceList'!AD28/'raw-PriceList'!AD29)-1),"")</f>
        <v>1.4436366595583561E-2</v>
      </c>
      <c r="AC28" s="6">
        <f>IFERROR((('raw-PriceList'!AE28/'raw-PriceList'!AE29)-1),"")</f>
        <v>1.4436366595583561E-2</v>
      </c>
      <c r="AD28" s="6">
        <f>IFERROR((('raw-PriceList'!AF28/'raw-PriceList'!AF29)-1),"")</f>
        <v>-6.4269114718473741E-4</v>
      </c>
      <c r="AE28" s="6">
        <f>IFERROR((('raw-PriceList'!AG28/'raw-PriceList'!AG29)-1),"")</f>
        <v>6.6103881131621689E-2</v>
      </c>
      <c r="AF28" s="6">
        <f>IFERROR((('raw-PriceList'!AH28/'raw-PriceList'!AH29)-1),"")</f>
        <v>-1.8257373836131352E-2</v>
      </c>
      <c r="AG28" s="6">
        <f>IFERROR((('raw-PriceList'!AJ28/'raw-PriceList'!AJ29)-1),"")</f>
        <v>-4.8456187926951833E-3</v>
      </c>
      <c r="AH28" s="6">
        <f>IFERROR((('raw-PriceList'!AK28/'raw-PriceList'!AK29)-1),"")</f>
        <v>1.0619215681012095E-2</v>
      </c>
      <c r="AI28" s="6">
        <f>IFERROR((('raw-PriceList'!AM28/'raw-PriceList'!AM29)-1),"")</f>
        <v>1.1486425161342684E-2</v>
      </c>
      <c r="AJ28" s="6">
        <f>IFERROR((('raw-PriceList'!AN28/'raw-PriceList'!AN29)-1),"")</f>
        <v>1.3507886294488403E-2</v>
      </c>
      <c r="AK28" s="6">
        <f>IFERROR((('raw-PriceList'!AO28/'raw-PriceList'!AO29)-1),"")</f>
        <v>-4.2768480834798339E-3</v>
      </c>
      <c r="AL28" s="6">
        <f>IFERROR((('raw-PriceList'!AP28/'raw-PriceList'!AP29)-1),"")</f>
        <v>1.9720327469418208E-2</v>
      </c>
      <c r="AM28" s="6">
        <f>IFERROR((('raw-PriceList'!AQ28/'raw-PriceList'!AQ29)-1),"")</f>
        <v>7.220424350681709E-3</v>
      </c>
      <c r="AN28" s="6">
        <f>IFERROR((('raw-PriceList'!AR28/'raw-PriceList'!AR29)-1),"")</f>
        <v>1.3817643743651464E-2</v>
      </c>
      <c r="AO28" s="6">
        <f>IFERROR((('raw-PriceList'!AS28/'raw-PriceList'!AS29)-1),"")</f>
        <v>6.773565953716254E-3</v>
      </c>
      <c r="AP28" s="6">
        <f>IFERROR((('raw-PriceList'!AT28/'raw-PriceList'!AT29)-1),"")</f>
        <v>6.773565953716254E-3</v>
      </c>
      <c r="AQ28" s="6">
        <f>IFERROR((('raw-PriceList'!AU28/'raw-PriceList'!AU29)-1),"")</f>
        <v>1.2658826669955436E-2</v>
      </c>
      <c r="AR28" s="6">
        <f>IFERROR((('raw-PriceList'!AV28/'raw-PriceList'!AV29)-1),"")</f>
        <v>1.1204549707543032E-2</v>
      </c>
      <c r="AS28" s="6">
        <f>IFERROR((('raw-PriceList'!AW28/'raw-PriceList'!AW29)-1),"")</f>
        <v>2.0773362589895594E-2</v>
      </c>
    </row>
    <row r="29" spans="1:45" x14ac:dyDescent="0.2">
      <c r="A29" s="2">
        <v>42704</v>
      </c>
      <c r="B29" s="6">
        <f>IFERROR((('raw-PriceList'!B29/'raw-PriceList'!B30)-1),"")</f>
        <v>-3.4950451227654278E-2</v>
      </c>
      <c r="C29" s="6">
        <f>IFERROR((('raw-PriceList'!C29/'raw-PriceList'!C30)-1),"")</f>
        <v>-6.5848920367324704E-2</v>
      </c>
      <c r="D29" s="6">
        <f>IFERROR((('raw-PriceList'!D29/'raw-PriceList'!D30)-1),"")</f>
        <v>-2.7632931310758724E-2</v>
      </c>
      <c r="E29" s="6">
        <f>IFERROR((('raw-PriceList'!F29/'raw-PriceList'!F30)-1),"")</f>
        <v>-1.3592587426983216E-2</v>
      </c>
      <c r="F29" s="6">
        <f>IFERROR((('raw-PriceList'!G29/'raw-PriceList'!G30)-1),"")</f>
        <v>-1.1290623648238074E-2</v>
      </c>
      <c r="G29" s="6">
        <f>IFERROR((('raw-PriceList'!H29/'raw-PriceList'!H30)-1),"")</f>
        <v>-0.11501679057853309</v>
      </c>
      <c r="H29" s="6">
        <f>IFERROR((('raw-PriceList'!J29/'raw-PriceList'!J30)-1),"")</f>
        <v>3.5420464930970619E-2</v>
      </c>
      <c r="I29" s="6">
        <f>IFERROR((('raw-PriceList'!K29/'raw-PriceList'!K30)-1),"")</f>
        <v>9.7063940876898069E-3</v>
      </c>
      <c r="J29" s="6">
        <f>IFERROR((('raw-PriceList'!L29/'raw-PriceList'!L30)-1),"")</f>
        <v>5.8059020642372339E-2</v>
      </c>
      <c r="K29" s="6">
        <f>IFERROR((('raw-PriceList'!M29/'raw-PriceList'!M30)-1),"")</f>
        <v>8.5542080689490874E-2</v>
      </c>
      <c r="L29" s="6">
        <f>IFERROR((('raw-PriceList'!N29/'raw-PriceList'!N30)-1),"")</f>
        <v>6.526194322232981E-2</v>
      </c>
      <c r="M29" s="6">
        <f>IFERROR((('raw-PriceList'!O29/'raw-PriceList'!O30)-1),"")</f>
        <v>0.10203686931801847</v>
      </c>
      <c r="N29" s="6">
        <f>IFERROR((('raw-PriceList'!P29/'raw-PriceList'!P30)-1),"")</f>
        <v>-3.2405577690322707E-2</v>
      </c>
      <c r="O29" s="6">
        <f>IFERROR((('raw-PriceList'!Q29/'raw-PriceList'!Q30)-1),"")</f>
        <v>-5.1588876536270867E-2</v>
      </c>
      <c r="P29" s="6">
        <f>IFERROR((('raw-PriceList'!R29/'raw-PriceList'!R30)-1),"")</f>
        <v>-1.1229338481571149E-2</v>
      </c>
      <c r="Q29" s="6">
        <f>IFERROR((('raw-PriceList'!S29/'raw-PriceList'!S30)-1),"")</f>
        <v>-1.5068937004240057E-2</v>
      </c>
      <c r="R29" s="6">
        <f>IFERROR((('raw-PriceList'!T29/'raw-PriceList'!T30)-1),"")</f>
        <v>-2.1304337019896091E-2</v>
      </c>
      <c r="S29" s="6">
        <f>IFERROR((('raw-PriceList'!U29/'raw-PriceList'!U30)-1),"")</f>
        <v>-2.733570129753804E-2</v>
      </c>
      <c r="T29" s="6">
        <f>IFERROR((('raw-PriceList'!V29/'raw-PriceList'!V30)-1),"")</f>
        <v>-2.3344242487414735E-2</v>
      </c>
      <c r="U29" s="6">
        <f>IFERROR((('raw-PriceList'!W29/'raw-PriceList'!W30)-1),"")</f>
        <v>-7.9186384027720047E-2</v>
      </c>
      <c r="V29" s="6">
        <f>IFERROR((('raw-PriceList'!X29/'raw-PriceList'!X30)-1),"")</f>
        <v>-5.2963595096703342E-3</v>
      </c>
      <c r="W29" s="6">
        <f>IFERROR((('raw-PriceList'!Y29/'raw-PriceList'!Y30)-1),"")</f>
        <v>2.9750652405273748E-2</v>
      </c>
      <c r="X29" s="6">
        <f>IFERROR((('raw-PriceList'!Z29/'raw-PriceList'!Z30)-1),"")</f>
        <v>-4.1138702849939257E-2</v>
      </c>
      <c r="Y29" s="6">
        <f>IFERROR((('raw-PriceList'!AA29/'raw-PriceList'!AA30)-1),"")</f>
        <v>-1.9387787974711301E-2</v>
      </c>
      <c r="Z29" s="6">
        <f>IFERROR((('raw-PriceList'!AB29/'raw-PriceList'!AB30)-1),"")</f>
        <v>-3.8908587597596522E-2</v>
      </c>
      <c r="AA29" s="6">
        <f>IFERROR((('raw-PriceList'!AC29/'raw-PriceList'!AC30)-1),"")</f>
        <v>5.9371027248856345E-2</v>
      </c>
      <c r="AB29" s="6">
        <f>IFERROR((('raw-PriceList'!AD29/'raw-PriceList'!AD30)-1),"")</f>
        <v>3.7120870841824916E-2</v>
      </c>
      <c r="AC29" s="6">
        <f>IFERROR((('raw-PriceList'!AE29/'raw-PriceList'!AE30)-1),"")</f>
        <v>3.7120870841824916E-2</v>
      </c>
      <c r="AD29" s="6">
        <f>IFERROR((('raw-PriceList'!AF29/'raw-PriceList'!AF30)-1),"")</f>
        <v>3.2068509380647647E-2</v>
      </c>
      <c r="AE29" s="6">
        <f>IFERROR((('raw-PriceList'!AG29/'raw-PriceList'!AG30)-1),"")</f>
        <v>3.2536031369617913E-2</v>
      </c>
      <c r="AF29" s="6">
        <f>IFERROR((('raw-PriceList'!AH29/'raw-PriceList'!AH30)-1),"")</f>
        <v>-1.3689512454295727E-2</v>
      </c>
      <c r="AG29" s="6">
        <f>IFERROR((('raw-PriceList'!AJ29/'raw-PriceList'!AJ30)-1),"")</f>
        <v>-2.1747068512143475E-2</v>
      </c>
      <c r="AH29" s="6">
        <f>IFERROR((('raw-PriceList'!AK29/'raw-PriceList'!AK30)-1),"")</f>
        <v>1.1873850522253315E-2</v>
      </c>
      <c r="AI29" s="6">
        <f>IFERROR((('raw-PriceList'!AM29/'raw-PriceList'!AM30)-1),"")</f>
        <v>-3.9214810500903252E-2</v>
      </c>
      <c r="AJ29" s="6">
        <f>IFERROR((('raw-PriceList'!AN29/'raw-PriceList'!AN30)-1),"")</f>
        <v>4.4933035021406331E-2</v>
      </c>
      <c r="AK29" s="6">
        <f>IFERROR((('raw-PriceList'!AO29/'raw-PriceList'!AO30)-1),"")</f>
        <v>-5.8244399735721819E-3</v>
      </c>
      <c r="AL29" s="6">
        <f>IFERROR((('raw-PriceList'!AP29/'raw-PriceList'!AP30)-1),"")</f>
        <v>5.996680796697107E-2</v>
      </c>
      <c r="AM29" s="6">
        <f>IFERROR((('raw-PriceList'!AQ29/'raw-PriceList'!AQ30)-1),"")</f>
        <v>1.198790467600408E-2</v>
      </c>
      <c r="AN29" s="6">
        <f>IFERROR((('raw-PriceList'!AR29/'raw-PriceList'!AR30)-1),"")</f>
        <v>3.7156929526451554E-2</v>
      </c>
      <c r="AO29" s="6">
        <f>IFERROR((('raw-PriceList'!AS29/'raw-PriceList'!AS30)-1),"")</f>
        <v>-3.9776140300306628E-2</v>
      </c>
      <c r="AP29" s="6">
        <f>IFERROR((('raw-PriceList'!AT29/'raw-PriceList'!AT30)-1),"")</f>
        <v>-3.9776140300306628E-2</v>
      </c>
      <c r="AQ29" s="6">
        <f>IFERROR((('raw-PriceList'!AU29/'raw-PriceList'!AU30)-1),"")</f>
        <v>7.8945758379738828E-2</v>
      </c>
      <c r="AR29" s="6">
        <f>IFERROR((('raw-PriceList'!AV29/'raw-PriceList'!AV30)-1),"")</f>
        <v>-2.0285917395690856E-2</v>
      </c>
      <c r="AS29" s="6">
        <f>IFERROR((('raw-PriceList'!AW29/'raw-PriceList'!AW30)-1),"")</f>
        <v>4.2278541940292236E-2</v>
      </c>
    </row>
    <row r="30" spans="1:45" x14ac:dyDescent="0.2">
      <c r="A30" s="2">
        <v>42674</v>
      </c>
      <c r="B30" s="6">
        <f>IFERROR((('raw-PriceList'!B30/'raw-PriceList'!B31)-1),"")</f>
        <v>-1.1588942958404069E-2</v>
      </c>
      <c r="C30" s="6">
        <f>IFERROR((('raw-PriceList'!C30/'raw-PriceList'!C31)-1),"")</f>
        <v>-3.3469245929518721E-2</v>
      </c>
      <c r="D30" s="6">
        <f>IFERROR((('raw-PriceList'!D30/'raw-PriceList'!D31)-1),"")</f>
        <v>-1.1317571341845079E-2</v>
      </c>
      <c r="E30" s="6">
        <f>IFERROR((('raw-PriceList'!F30/'raw-PriceList'!F31)-1),"")</f>
        <v>-1.3579664228874688E-2</v>
      </c>
      <c r="F30" s="6">
        <f>IFERROR((('raw-PriceList'!G30/'raw-PriceList'!G31)-1),"")</f>
        <v>-3.8370625977515171E-3</v>
      </c>
      <c r="G30" s="6">
        <f>IFERROR((('raw-PriceList'!H30/'raw-PriceList'!H31)-1),"")</f>
        <v>-6.1681500342321338E-2</v>
      </c>
      <c r="H30" s="6">
        <f>IFERROR((('raw-PriceList'!J30/'raw-PriceList'!J31)-1),"")</f>
        <v>-1.5783961618438536E-2</v>
      </c>
      <c r="I30" s="6">
        <f>IFERROR((('raw-PriceList'!K30/'raw-PriceList'!K31)-1),"")</f>
        <v>-2.2181209626439879E-2</v>
      </c>
      <c r="J30" s="6">
        <f>IFERROR((('raw-PriceList'!L30/'raw-PriceList'!L31)-1),"")</f>
        <v>-1.0525541467885646E-2</v>
      </c>
      <c r="K30" s="6">
        <f>IFERROR((('raw-PriceList'!M30/'raw-PriceList'!M31)-1),"")</f>
        <v>-4.0731276949719564E-2</v>
      </c>
      <c r="L30" s="6">
        <f>IFERROR((('raw-PriceList'!N30/'raw-PriceList'!N31)-1),"")</f>
        <v>-5.3836025701216927E-2</v>
      </c>
      <c r="M30" s="6">
        <f>IFERROR((('raw-PriceList'!O30/'raw-PriceList'!O31)-1),"")</f>
        <v>-2.9093013097201026E-2</v>
      </c>
      <c r="N30" s="6">
        <f>IFERROR((('raw-PriceList'!P30/'raw-PriceList'!P31)-1),"")</f>
        <v>-1.1385113238261191E-2</v>
      </c>
      <c r="O30" s="6">
        <f>IFERROR((('raw-PriceList'!Q30/'raw-PriceList'!Q31)-1),"")</f>
        <v>-2.8213642102288938E-2</v>
      </c>
      <c r="P30" s="6">
        <f>IFERROR((('raw-PriceList'!R30/'raw-PriceList'!R31)-1),"")</f>
        <v>-2.8301465165995188E-3</v>
      </c>
      <c r="Q30" s="6">
        <f>IFERROR((('raw-PriceList'!S30/'raw-PriceList'!S31)-1),"")</f>
        <v>-2.4042048324137699E-2</v>
      </c>
      <c r="R30" s="6">
        <f>IFERROR((('raw-PriceList'!T30/'raw-PriceList'!T31)-1),"")</f>
        <v>-1.6952685593133787E-2</v>
      </c>
      <c r="S30" s="6">
        <f>IFERROR((('raw-PriceList'!U30/'raw-PriceList'!U31)-1),"")</f>
        <v>-1.0464813832331998E-2</v>
      </c>
      <c r="T30" s="6">
        <f>IFERROR((('raw-PriceList'!V30/'raw-PriceList'!V31)-1),"")</f>
        <v>-3.5294356662477488E-2</v>
      </c>
      <c r="U30" s="6">
        <f>IFERROR((('raw-PriceList'!W30/'raw-PriceList'!W31)-1),"")</f>
        <v>-4.2800378281409812E-2</v>
      </c>
      <c r="V30" s="6">
        <f>IFERROR((('raw-PriceList'!X30/'raw-PriceList'!X31)-1),"")</f>
        <v>-1.7177148430000955E-3</v>
      </c>
      <c r="W30" s="6">
        <f>IFERROR((('raw-PriceList'!Y30/'raw-PriceList'!Y31)-1),"")</f>
        <v>-1.9304536283056173E-2</v>
      </c>
      <c r="X30" s="6">
        <f>IFERROR((('raw-PriceList'!Z30/'raw-PriceList'!Z31)-1),"")</f>
        <v>-4.1040002286937383E-2</v>
      </c>
      <c r="Y30" s="6">
        <f>IFERROR((('raw-PriceList'!AA30/'raw-PriceList'!AA31)-1),"")</f>
        <v>-4.7883874839209639E-3</v>
      </c>
      <c r="Z30" s="6">
        <f>IFERROR((('raw-PriceList'!AB30/'raw-PriceList'!AB31)-1),"")</f>
        <v>-4.8444895686960643E-2</v>
      </c>
      <c r="AA30" s="6">
        <f>IFERROR((('raw-PriceList'!AC30/'raw-PriceList'!AC31)-1),"")</f>
        <v>-2.4161924780453869E-2</v>
      </c>
      <c r="AB30" s="6">
        <f>IFERROR((('raw-PriceList'!AD30/'raw-PriceList'!AD31)-1),"")</f>
        <v>-1.7832598650669551E-2</v>
      </c>
      <c r="AC30" s="6">
        <f>IFERROR((('raw-PriceList'!AE30/'raw-PriceList'!AE31)-1),"")</f>
        <v>-1.7832598650669551E-2</v>
      </c>
      <c r="AD30" s="6">
        <f>IFERROR((('raw-PriceList'!AF30/'raw-PriceList'!AF31)-1),"")</f>
        <v>-3.7111590678392425E-2</v>
      </c>
      <c r="AE30" s="6">
        <f>IFERROR((('raw-PriceList'!AG30/'raw-PriceList'!AG31)-1),"")</f>
        <v>-3.6117409231579689E-2</v>
      </c>
      <c r="AF30" s="6">
        <f>IFERROR((('raw-PriceList'!AH30/'raw-PriceList'!AH31)-1),"")</f>
        <v>-9.2252107229477964E-3</v>
      </c>
      <c r="AG30" s="6">
        <f>IFERROR((('raw-PriceList'!AJ30/'raw-PriceList'!AJ31)-1),"")</f>
        <v>-2.9504500861127436E-2</v>
      </c>
      <c r="AH30" s="6">
        <f>IFERROR((('raw-PriceList'!AK30/'raw-PriceList'!AK31)-1),"")</f>
        <v>-1.9695782736042444E-2</v>
      </c>
      <c r="AI30" s="6">
        <f>IFERROR((('raw-PriceList'!AM30/'raw-PriceList'!AM31)-1),"")</f>
        <v>-9.2200672525257765E-3</v>
      </c>
      <c r="AJ30" s="6">
        <f>IFERROR((('raw-PriceList'!AN30/'raw-PriceList'!AN31)-1),"")</f>
        <v>-2.1972863781789198E-2</v>
      </c>
      <c r="AK30" s="6">
        <f>IFERROR((('raw-PriceList'!AO30/'raw-PriceList'!AO31)-1),"")</f>
        <v>2.1108081635889953E-4</v>
      </c>
      <c r="AL30" s="6">
        <f>IFERROR((('raw-PriceList'!AP30/'raw-PriceList'!AP31)-1),"")</f>
        <v>-1.0911144408669249E-2</v>
      </c>
      <c r="AM30" s="6">
        <f>IFERROR((('raw-PriceList'!AQ30/'raw-PriceList'!AQ31)-1),"")</f>
        <v>-2.6018189697597949E-2</v>
      </c>
      <c r="AN30" s="6">
        <f>IFERROR((('raw-PriceList'!AR30/'raw-PriceList'!AR31)-1),"")</f>
        <v>-1.8811519586699688E-2</v>
      </c>
      <c r="AO30" s="6">
        <f>IFERROR((('raw-PriceList'!AS30/'raw-PriceList'!AS31)-1),"")</f>
        <v>-1.746473365944301E-2</v>
      </c>
      <c r="AP30" s="6">
        <f>IFERROR((('raw-PriceList'!AT30/'raw-PriceList'!AT31)-1),"")</f>
        <v>-1.746473365944301E-2</v>
      </c>
      <c r="AQ30" s="6">
        <f>IFERROR((('raw-PriceList'!AU30/'raw-PriceList'!AU31)-1),"")</f>
        <v>-3.8329099367129249E-2</v>
      </c>
      <c r="AR30" s="6">
        <f>IFERROR((('raw-PriceList'!AV30/'raw-PriceList'!AV31)-1),"")</f>
        <v>-1.9080786464183652E-2</v>
      </c>
      <c r="AS30" s="6">
        <f>IFERROR((('raw-PriceList'!AW30/'raw-PriceList'!AW31)-1),"")</f>
        <v>-1.2758528627260568E-2</v>
      </c>
    </row>
    <row r="31" spans="1:45" x14ac:dyDescent="0.2">
      <c r="A31" s="2">
        <v>42643</v>
      </c>
      <c r="B31" s="6">
        <f>IFERROR((('raw-PriceList'!B31/'raw-PriceList'!B32)-1),"")</f>
        <v>-4.3340500118127512E-4</v>
      </c>
      <c r="C31" s="6">
        <f>IFERROR((('raw-PriceList'!C31/'raw-PriceList'!C32)-1),"")</f>
        <v>-1.1971558942143412E-2</v>
      </c>
      <c r="D31" s="6">
        <f>IFERROR((('raw-PriceList'!D31/'raw-PriceList'!D32)-1),"")</f>
        <v>-9.4170847123220547E-4</v>
      </c>
      <c r="E31" s="6">
        <f>IFERROR((('raw-PriceList'!F31/'raw-PriceList'!F32)-1),"")</f>
        <v>-8.8428127632445008E-4</v>
      </c>
      <c r="F31" s="6">
        <f>IFERROR((('raw-PriceList'!G31/'raw-PriceList'!G32)-1),"")</f>
        <v>6.1400987317972167E-4</v>
      </c>
      <c r="G31" s="6">
        <f>IFERROR((('raw-PriceList'!H31/'raw-PriceList'!H32)-1),"")</f>
        <v>-2.9535350975237074E-2</v>
      </c>
      <c r="H31" s="6">
        <f>IFERROR((('raw-PriceList'!J31/'raw-PriceList'!J32)-1),"")</f>
        <v>-5.9162154552148127E-3</v>
      </c>
      <c r="I31" s="6">
        <f>IFERROR((('raw-PriceList'!K31/'raw-PriceList'!K32)-1),"")</f>
        <v>3.6653100495258606E-3</v>
      </c>
      <c r="J31" s="6">
        <f>IFERROR((('raw-PriceList'!L31/'raw-PriceList'!L32)-1),"")</f>
        <v>-1.3551156714497248E-2</v>
      </c>
      <c r="K31" s="6">
        <f>IFERROR((('raw-PriceList'!M31/'raw-PriceList'!M32)-1),"")</f>
        <v>-9.9652764605917543E-4</v>
      </c>
      <c r="L31" s="6">
        <f>IFERROR((('raw-PriceList'!N31/'raw-PriceList'!N32)-1),"")</f>
        <v>2.3994202567387823E-3</v>
      </c>
      <c r="M31" s="6">
        <f>IFERROR((('raw-PriceList'!O31/'raw-PriceList'!O32)-1),"")</f>
        <v>-3.0532711676320989E-3</v>
      </c>
      <c r="N31" s="6">
        <f>IFERROR((('raw-PriceList'!P31/'raw-PriceList'!P32)-1),"")</f>
        <v>-7.9866163941144652E-4</v>
      </c>
      <c r="O31" s="6">
        <f>IFERROR((('raw-PriceList'!Q31/'raw-PriceList'!Q32)-1),"")</f>
        <v>-7.8283066267678114E-3</v>
      </c>
      <c r="P31" s="6">
        <f>IFERROR((('raw-PriceList'!R31/'raw-PriceList'!R32)-1),"")</f>
        <v>-1.9846171725759199E-3</v>
      </c>
      <c r="Q31" s="6">
        <f>IFERROR((('raw-PriceList'!S31/'raw-PriceList'!S32)-1),"")</f>
        <v>1.1656813838470947E-2</v>
      </c>
      <c r="R31" s="6">
        <f>IFERROR((('raw-PriceList'!T31/'raw-PriceList'!T32)-1),"")</f>
        <v>1.0022510129558126E-2</v>
      </c>
      <c r="S31" s="6">
        <f>IFERROR((('raw-PriceList'!U31/'raw-PriceList'!U32)-1),"")</f>
        <v>3.1640235961081231E-3</v>
      </c>
      <c r="T31" s="6">
        <f>IFERROR((('raw-PriceList'!V31/'raw-PriceList'!V32)-1),"")</f>
        <v>2.4676312406435308E-3</v>
      </c>
      <c r="U31" s="6">
        <f>IFERROR((('raw-PriceList'!W31/'raw-PriceList'!W32)-1),"")</f>
        <v>-1.5900345154260864E-2</v>
      </c>
      <c r="V31" s="6">
        <f>IFERROR((('raw-PriceList'!X31/'raw-PriceList'!X32)-1),"")</f>
        <v>1.2646854896314341E-3</v>
      </c>
      <c r="W31" s="6">
        <f>IFERROR((('raw-PriceList'!Y31/'raw-PriceList'!Y32)-1),"")</f>
        <v>-1.4429913609574352E-2</v>
      </c>
      <c r="X31" s="6">
        <f>IFERROR((('raw-PriceList'!Z31/'raw-PriceList'!Z32)-1),"")</f>
        <v>1.167553561442003E-2</v>
      </c>
      <c r="Y31" s="6">
        <f>IFERROR((('raw-PriceList'!AA31/'raw-PriceList'!AA32)-1),"")</f>
        <v>2.0133222435341214E-3</v>
      </c>
      <c r="Z31" s="6">
        <f>IFERROR((('raw-PriceList'!AB31/'raw-PriceList'!AB32)-1),"")</f>
        <v>4.3096889868530219E-3</v>
      </c>
      <c r="AA31" s="6">
        <f>IFERROR((('raw-PriceList'!AC31/'raw-PriceList'!AC32)-1),"")</f>
        <v>-1.078344429039535E-3</v>
      </c>
      <c r="AB31" s="6">
        <f>IFERROR((('raw-PriceList'!AD31/'raw-PriceList'!AD32)-1),"")</f>
        <v>-3.9210639537547998E-3</v>
      </c>
      <c r="AC31" s="6">
        <f>IFERROR((('raw-PriceList'!AE31/'raw-PriceList'!AE32)-1),"")</f>
        <v>-3.9210639537547998E-3</v>
      </c>
      <c r="AD31" s="6">
        <f>IFERROR((('raw-PriceList'!AF31/'raw-PriceList'!AF32)-1),"")</f>
        <v>6.7974604131149086E-4</v>
      </c>
      <c r="AE31" s="6">
        <f>IFERROR((('raw-PriceList'!AG31/'raw-PriceList'!AG32)-1),"")</f>
        <v>-6.8580150255754813E-3</v>
      </c>
      <c r="AF31" s="6">
        <f>IFERROR((('raw-PriceList'!AH31/'raw-PriceList'!AH32)-1),"")</f>
        <v>2.5929210044027373E-2</v>
      </c>
      <c r="AG31" s="6">
        <f>IFERROR((('raw-PriceList'!AJ31/'raw-PriceList'!AJ32)-1),"")</f>
        <v>2.3933391892895672E-2</v>
      </c>
      <c r="AH31" s="6">
        <f>IFERROR((('raw-PriceList'!AK31/'raw-PriceList'!AK32)-1),"")</f>
        <v>2.6705215418005857E-3</v>
      </c>
      <c r="AI31" s="6">
        <f>IFERROR((('raw-PriceList'!AM31/'raw-PriceList'!AM32)-1),"")</f>
        <v>-7.5862226303391456E-3</v>
      </c>
      <c r="AJ31" s="6">
        <f>IFERROR((('raw-PriceList'!AN31/'raw-PriceList'!AN32)-1),"")</f>
        <v>-2.8733043142913361E-3</v>
      </c>
      <c r="AK31" s="6">
        <f>IFERROR((('raw-PriceList'!AO31/'raw-PriceList'!AO32)-1),"")</f>
        <v>8.3002779012082417E-3</v>
      </c>
      <c r="AL31" s="6">
        <f>IFERROR((('raw-PriceList'!AP31/'raw-PriceList'!AP32)-1),"")</f>
        <v>-1.1024232850713411E-2</v>
      </c>
      <c r="AM31" s="6">
        <f>IFERROR((('raw-PriceList'!AQ31/'raw-PriceList'!AQ32)-1),"")</f>
        <v>2.895281312987219E-3</v>
      </c>
      <c r="AN31" s="6">
        <f>IFERROR((('raw-PriceList'!AR31/'raw-PriceList'!AR32)-1),"")</f>
        <v>-4.1366613696365295E-3</v>
      </c>
      <c r="AO31" s="6">
        <f>IFERROR((('raw-PriceList'!AS31/'raw-PriceList'!AS32)-1),"")</f>
        <v>6.6794486151322552E-4</v>
      </c>
      <c r="AP31" s="6">
        <f>IFERROR((('raw-PriceList'!AT31/'raw-PriceList'!AT32)-1),"")</f>
        <v>6.6794486151322552E-4</v>
      </c>
      <c r="AQ31" s="6">
        <f>IFERROR((('raw-PriceList'!AU31/'raw-PriceList'!AU32)-1),"")</f>
        <v>5.9213583304602579E-3</v>
      </c>
      <c r="AR31" s="6">
        <f>IFERROR((('raw-PriceList'!AV31/'raw-PriceList'!AV32)-1),"")</f>
        <v>1.0882843483323468E-2</v>
      </c>
      <c r="AS31" s="6">
        <f>IFERROR((('raw-PriceList'!AW31/'raw-PriceList'!AW32)-1),"")</f>
        <v>-1.0696656801057802E-2</v>
      </c>
    </row>
    <row r="32" spans="1:45" x14ac:dyDescent="0.2">
      <c r="A32" s="2">
        <v>42613</v>
      </c>
      <c r="B32" s="6">
        <f>IFERROR((('raw-PriceList'!B32/'raw-PriceList'!B33)-1),"")</f>
        <v>-7.0994507288519859E-3</v>
      </c>
      <c r="C32" s="6">
        <f>IFERROR((('raw-PriceList'!C32/'raw-PriceList'!C33)-1),"")</f>
        <v>-6.623581219326713E-3</v>
      </c>
      <c r="D32" s="6">
        <f>IFERROR((('raw-PriceList'!D32/'raw-PriceList'!D33)-1),"")</f>
        <v>-4.9795169560190589E-3</v>
      </c>
      <c r="E32" s="6">
        <f>IFERROR((('raw-PriceList'!F32/'raw-PriceList'!F33)-1),"")</f>
        <v>-1.2923811900600324E-4</v>
      </c>
      <c r="F32" s="6">
        <f>IFERROR((('raw-PriceList'!G32/'raw-PriceList'!G33)-1),"")</f>
        <v>-3.9393370697931029E-3</v>
      </c>
      <c r="G32" s="6">
        <f>IFERROR((('raw-PriceList'!H32/'raw-PriceList'!H33)-1),"")</f>
        <v>-1.5012487232230698E-2</v>
      </c>
      <c r="H32" s="6">
        <f>IFERROR((('raw-PriceList'!J32/'raw-PriceList'!J33)-1),"")</f>
        <v>1.3705051473575924E-3</v>
      </c>
      <c r="I32" s="6">
        <f>IFERROR((('raw-PriceList'!K32/'raw-PriceList'!K33)-1),"")</f>
        <v>-3.0009340814830532E-3</v>
      </c>
      <c r="J32" s="6">
        <f>IFERROR((('raw-PriceList'!L32/'raw-PriceList'!L33)-1),"")</f>
        <v>5.3746798977192256E-3</v>
      </c>
      <c r="K32" s="6">
        <f>IFERROR((('raw-PriceList'!M32/'raw-PriceList'!M33)-1),"")</f>
        <v>6.9616887720160836E-3</v>
      </c>
      <c r="L32" s="6">
        <f>IFERROR((('raw-PriceList'!N32/'raw-PriceList'!N33)-1),"")</f>
        <v>5.1707787539314598E-3</v>
      </c>
      <c r="M32" s="6">
        <f>IFERROR((('raw-PriceList'!O32/'raw-PriceList'!O33)-1),"")</f>
        <v>7.2032621832820443E-3</v>
      </c>
      <c r="N32" s="6">
        <f>IFERROR((('raw-PriceList'!P32/'raw-PriceList'!P33)-1),"")</f>
        <v>-4.546773875837129E-3</v>
      </c>
      <c r="O32" s="6">
        <f>IFERROR((('raw-PriceList'!Q32/'raw-PriceList'!Q33)-1),"")</f>
        <v>-1.7254098818759722E-3</v>
      </c>
      <c r="P32" s="6">
        <f>IFERROR((('raw-PriceList'!R32/'raw-PriceList'!R33)-1),"")</f>
        <v>-2.5951306944890229E-3</v>
      </c>
      <c r="Q32" s="6">
        <f>IFERROR((('raw-PriceList'!S32/'raw-PriceList'!S33)-1),"")</f>
        <v>4.0158756189025979E-3</v>
      </c>
      <c r="R32" s="6">
        <f>IFERROR((('raw-PriceList'!T32/'raw-PriceList'!T33)-1),"")</f>
        <v>6.9549227340255371E-3</v>
      </c>
      <c r="S32" s="6">
        <f>IFERROR((('raw-PriceList'!U32/'raw-PriceList'!U33)-1),"")</f>
        <v>-8.4309059537370779E-3</v>
      </c>
      <c r="T32" s="6">
        <f>IFERROR((('raw-PriceList'!V32/'raw-PriceList'!V33)-1),"")</f>
        <v>6.8174917181405004E-3</v>
      </c>
      <c r="U32" s="6">
        <f>IFERROR((('raw-PriceList'!W32/'raw-PriceList'!W33)-1),"")</f>
        <v>-1.2211813311032049E-2</v>
      </c>
      <c r="V32" s="6">
        <f>IFERROR((('raw-PriceList'!X32/'raw-PriceList'!X33)-1),"")</f>
        <v>-3.0194271665932026E-3</v>
      </c>
      <c r="W32" s="6">
        <f>IFERROR((('raw-PriceList'!Y32/'raw-PriceList'!Y33)-1),"")</f>
        <v>-1.1177720829858018E-4</v>
      </c>
      <c r="X32" s="6">
        <f>IFERROR((('raw-PriceList'!Z32/'raw-PriceList'!Z33)-1),"")</f>
        <v>-1.9443609357428282E-2</v>
      </c>
      <c r="Y32" s="6">
        <f>IFERROR((('raw-PriceList'!AA32/'raw-PriceList'!AA33)-1),"")</f>
        <v>1.7179883971718546E-4</v>
      </c>
      <c r="Z32" s="6">
        <f>IFERROR((('raw-PriceList'!AB32/'raw-PriceList'!AB33)-1),"")</f>
        <v>-5.5110506398236003E-3</v>
      </c>
      <c r="AA32" s="6">
        <f>IFERROR((('raw-PriceList'!AC32/'raw-PriceList'!AC33)-1),"")</f>
        <v>9.4012927302833393E-3</v>
      </c>
      <c r="AB32" s="6">
        <f>IFERROR((('raw-PriceList'!AD32/'raw-PriceList'!AD33)-1),"")</f>
        <v>9.538900614229906E-4</v>
      </c>
      <c r="AC32" s="6">
        <f>IFERROR((('raw-PriceList'!AE32/'raw-PriceList'!AE33)-1),"")</f>
        <v>9.538900614229906E-4</v>
      </c>
      <c r="AD32" s="6">
        <f>IFERROR((('raw-PriceList'!AF32/'raw-PriceList'!AF33)-1),"")</f>
        <v>-7.4448754104887715E-3</v>
      </c>
      <c r="AE32" s="6">
        <f>IFERROR((('raw-PriceList'!AG32/'raw-PriceList'!AG33)-1),"")</f>
        <v>-5.9492639964374816E-2</v>
      </c>
      <c r="AF32" s="6">
        <f>IFERROR((('raw-PriceList'!AH32/'raw-PriceList'!AH33)-1),"")</f>
        <v>1.6800513243464543E-3</v>
      </c>
      <c r="AG32" s="6">
        <f>IFERROR((('raw-PriceList'!AJ32/'raw-PriceList'!AJ33)-1),"")</f>
        <v>-5.2040423029032779E-3</v>
      </c>
      <c r="AH32" s="6">
        <f>IFERROR((('raw-PriceList'!AK32/'raw-PriceList'!AK33)-1),"")</f>
        <v>3.7843377375879061E-3</v>
      </c>
      <c r="AI32" s="6">
        <f>IFERROR((('raw-PriceList'!AM32/'raw-PriceList'!AM33)-1),"")</f>
        <v>-9.5499337316651278E-4</v>
      </c>
      <c r="AJ32" s="6">
        <f>IFERROR((('raw-PriceList'!AN32/'raw-PriceList'!AN33)-1),"")</f>
        <v>2.0831368229861091E-3</v>
      </c>
      <c r="AK32" s="6">
        <f>IFERROR((('raw-PriceList'!AO32/'raw-PriceList'!AO33)-1),"")</f>
        <v>-4.0275374173436296E-3</v>
      </c>
      <c r="AL32" s="6">
        <f>IFERROR((('raw-PriceList'!AP32/'raw-PriceList'!AP33)-1),"")</f>
        <v>6.7441797388962943E-3</v>
      </c>
      <c r="AM32" s="6">
        <f>IFERROR((('raw-PriceList'!AQ32/'raw-PriceList'!AQ33)-1),"")</f>
        <v>-3.1356364855127383E-3</v>
      </c>
      <c r="AN32" s="6">
        <f>IFERROR((('raw-PriceList'!AR32/'raw-PriceList'!AR33)-1),"")</f>
        <v>1.7214320247480597E-3</v>
      </c>
      <c r="AO32" s="6">
        <f>IFERROR((('raw-PriceList'!AS32/'raw-PriceList'!AS33)-1),"")</f>
        <v>1.0167352877441971E-2</v>
      </c>
      <c r="AP32" s="6">
        <f>IFERROR((('raw-PriceList'!AT32/'raw-PriceList'!AT33)-1),"")</f>
        <v>1.0167352877441971E-2</v>
      </c>
      <c r="AQ32" s="6">
        <f>IFERROR((('raw-PriceList'!AU32/'raw-PriceList'!AU33)-1),"")</f>
        <v>8.6859270994010807E-3</v>
      </c>
      <c r="AR32" s="6">
        <f>IFERROR((('raw-PriceList'!AV32/'raw-PriceList'!AV33)-1),"")</f>
        <v>4.5708039013485635E-3</v>
      </c>
      <c r="AS32" s="6">
        <f>IFERROR((('raw-PriceList'!AW32/'raw-PriceList'!AW33)-1),"")</f>
        <v>-3.4224221816473444E-3</v>
      </c>
    </row>
    <row r="33" spans="1:45" x14ac:dyDescent="0.2">
      <c r="A33" s="2">
        <v>42582</v>
      </c>
      <c r="B33" s="6">
        <f>IFERROR((('raw-PriceList'!B33/'raw-PriceList'!B34)-1),"")</f>
        <v>3.2713557879122668E-3</v>
      </c>
      <c r="C33" s="6">
        <f>IFERROR((('raw-PriceList'!C33/'raw-PriceList'!C34)-1),"")</f>
        <v>2.4560426559618875E-2</v>
      </c>
      <c r="D33" s="6">
        <f>IFERROR((('raw-PriceList'!D33/'raw-PriceList'!D34)-1),"")</f>
        <v>3.6889753485280785E-3</v>
      </c>
      <c r="E33" s="6">
        <f>IFERROR((('raw-PriceList'!F33/'raw-PriceList'!F34)-1),"")</f>
        <v>7.1955104410039716E-3</v>
      </c>
      <c r="F33" s="6">
        <f>IFERROR((('raw-PriceList'!G33/'raw-PriceList'!G34)-1),"")</f>
        <v>2.6813619443943892E-4</v>
      </c>
      <c r="G33" s="6">
        <f>IFERROR((('raw-PriceList'!H33/'raw-PriceList'!H34)-1),"")</f>
        <v>3.3523645207931496E-2</v>
      </c>
      <c r="H33" s="6">
        <f>IFERROR((('raw-PriceList'!J33/'raw-PriceList'!J34)-1),"")</f>
        <v>3.6641314082737964E-2</v>
      </c>
      <c r="I33" s="6">
        <f>IFERROR((('raw-PriceList'!K33/'raw-PriceList'!K34)-1),"")</f>
        <v>4.7707400998873828E-2</v>
      </c>
      <c r="J33" s="6">
        <f>IFERROR((('raw-PriceList'!L33/'raw-PriceList'!L34)-1),"")</f>
        <v>2.8353015672150761E-2</v>
      </c>
      <c r="K33" s="6">
        <f>IFERROR((('raw-PriceList'!M33/'raw-PriceList'!M34)-1),"")</f>
        <v>5.0374694384245133E-2</v>
      </c>
      <c r="L33" s="6">
        <f>IFERROR((('raw-PriceList'!N33/'raw-PriceList'!N34)-1),"")</f>
        <v>5.5486627422016488E-2</v>
      </c>
      <c r="M33" s="6">
        <f>IFERROR((('raw-PriceList'!O33/'raw-PriceList'!O34)-1),"")</f>
        <v>4.6116753678215439E-2</v>
      </c>
      <c r="N33" s="6">
        <f>IFERROR((('raw-PriceList'!P33/'raw-PriceList'!P34)-1),"")</f>
        <v>7.2615876040988958E-3</v>
      </c>
      <c r="O33" s="6">
        <f>IFERROR((('raw-PriceList'!Q33/'raw-PriceList'!Q34)-1),"")</f>
        <v>2.2046336890131357E-2</v>
      </c>
      <c r="P33" s="6">
        <f>IFERROR((('raw-PriceList'!R33/'raw-PriceList'!R34)-1),"")</f>
        <v>1.0127548726226454E-3</v>
      </c>
      <c r="Q33" s="6">
        <f>IFERROR((('raw-PriceList'!S33/'raw-PriceList'!S34)-1),"")</f>
        <v>4.1615914574153257E-2</v>
      </c>
      <c r="R33" s="6">
        <f>IFERROR((('raw-PriceList'!T33/'raw-PriceList'!T34)-1),"")</f>
        <v>4.2442787568561346E-2</v>
      </c>
      <c r="S33" s="6">
        <f>IFERROR((('raw-PriceList'!U33/'raw-PriceList'!U34)-1),"")</f>
        <v>-7.4940460659844721E-4</v>
      </c>
      <c r="T33" s="6">
        <f>IFERROR((('raw-PriceList'!V33/'raw-PriceList'!V34)-1),"")</f>
        <v>3.476299148874884E-2</v>
      </c>
      <c r="U33" s="6">
        <f>IFERROR((('raw-PriceList'!W33/'raw-PriceList'!W34)-1),"")</f>
        <v>1.8877831375173626E-2</v>
      </c>
      <c r="V33" s="6">
        <f>IFERROR((('raw-PriceList'!X33/'raw-PriceList'!X34)-1),"")</f>
        <v>-1.9652156024611012E-3</v>
      </c>
      <c r="W33" s="6">
        <f>IFERROR((('raw-PriceList'!Y33/'raw-PriceList'!Y34)-1),"")</f>
        <v>2.3177894209388761E-2</v>
      </c>
      <c r="X33" s="6">
        <f>IFERROR((('raw-PriceList'!Z33/'raw-PriceList'!Z34)-1),"")</f>
        <v>2.934782706022987E-2</v>
      </c>
      <c r="Y33" s="6">
        <f>IFERROR((('raw-PriceList'!AA33/'raw-PriceList'!AA34)-1),"")</f>
        <v>-1.3704882986675937E-4</v>
      </c>
      <c r="Z33" s="6">
        <f>IFERROR((('raw-PriceList'!AB33/'raw-PriceList'!AB34)-1),"")</f>
        <v>4.0320569737328782E-2</v>
      </c>
      <c r="AA33" s="6">
        <f>IFERROR((('raw-PriceList'!AC33/'raw-PriceList'!AC34)-1),"")</f>
        <v>4.2112142878800274E-2</v>
      </c>
      <c r="AB33" s="6">
        <f>IFERROR((('raw-PriceList'!AD33/'raw-PriceList'!AD34)-1),"")</f>
        <v>3.6813190129275641E-2</v>
      </c>
      <c r="AC33" s="6">
        <f>IFERROR((('raw-PriceList'!AE33/'raw-PriceList'!AE34)-1),"")</f>
        <v>3.6813190129275641E-2</v>
      </c>
      <c r="AD33" s="6">
        <f>IFERROR((('raw-PriceList'!AF33/'raw-PriceList'!AF34)-1),"")</f>
        <v>5.1274392154434523E-2</v>
      </c>
      <c r="AE33" s="6">
        <f>IFERROR((('raw-PriceList'!AG33/'raw-PriceList'!AG34)-1),"")</f>
        <v>2.7156721636742098E-2</v>
      </c>
      <c r="AF33" s="6">
        <f>IFERROR((('raw-PriceList'!AH33/'raw-PriceList'!AH34)-1),"")</f>
        <v>5.7387884803790534E-2</v>
      </c>
      <c r="AG33" s="6">
        <f>IFERROR((('raw-PriceList'!AJ33/'raw-PriceList'!AJ34)-1),"")</f>
        <v>4.9710055384755591E-2</v>
      </c>
      <c r="AH33" s="6">
        <f>IFERROR((('raw-PriceList'!AK33/'raw-PriceList'!AK34)-1),"")</f>
        <v>4.1179655468853271E-2</v>
      </c>
      <c r="AI33" s="6">
        <f>IFERROR((('raw-PriceList'!AM33/'raw-PriceList'!AM34)-1),"")</f>
        <v>-9.5048033507605378E-4</v>
      </c>
      <c r="AJ33" s="6">
        <f>IFERROR((('raw-PriceList'!AN33/'raw-PriceList'!AN34)-1),"")</f>
        <v>3.9877977089579852E-2</v>
      </c>
      <c r="AK33" s="6">
        <f>IFERROR((('raw-PriceList'!AO33/'raw-PriceList'!AO34)-1),"")</f>
        <v>-1.4392790274465606E-3</v>
      </c>
      <c r="AL33" s="6">
        <f>IFERROR((('raw-PriceList'!AP33/'raw-PriceList'!AP34)-1),"")</f>
        <v>2.8127191434286436E-2</v>
      </c>
      <c r="AM33" s="6">
        <f>IFERROR((('raw-PriceList'!AQ33/'raw-PriceList'!AQ34)-1),"")</f>
        <v>4.8139153178540672E-2</v>
      </c>
      <c r="AN33" s="6">
        <f>IFERROR((('raw-PriceList'!AR33/'raw-PriceList'!AR34)-1),"")</f>
        <v>3.7756602676751294E-2</v>
      </c>
      <c r="AO33" s="6">
        <f>IFERROR((('raw-PriceList'!AS33/'raw-PriceList'!AS34)-1),"")</f>
        <v>7.2282965578440717E-3</v>
      </c>
      <c r="AP33" s="6">
        <f>IFERROR((('raw-PriceList'!AT33/'raw-PriceList'!AT34)-1),"")</f>
        <v>7.2282965578440717E-3</v>
      </c>
      <c r="AQ33" s="6">
        <f>IFERROR((('raw-PriceList'!AU33/'raw-PriceList'!AU34)-1),"")</f>
        <v>5.3040546473036354E-2</v>
      </c>
      <c r="AR33" s="6">
        <f>IFERROR((('raw-PriceList'!AV33/'raw-PriceList'!AV34)-1),"")</f>
        <v>4.5152500609822566E-2</v>
      </c>
      <c r="AS33" s="6">
        <f>IFERROR((('raw-PriceList'!AW33/'raw-PriceList'!AW34)-1),"")</f>
        <v>2.4108189573608385E-2</v>
      </c>
    </row>
    <row r="34" spans="1:45" x14ac:dyDescent="0.2">
      <c r="A34" s="2">
        <v>42551</v>
      </c>
      <c r="B34" s="6">
        <f>IFERROR((('raw-PriceList'!B34/'raw-PriceList'!B35)-1),"")</f>
        <v>2.3681663192960833E-2</v>
      </c>
      <c r="C34" s="6">
        <f>IFERROR((('raw-PriceList'!C34/'raw-PriceList'!C35)-1),"")</f>
        <v>4.8191117289696939E-2</v>
      </c>
      <c r="D34" s="6">
        <f>IFERROR((('raw-PriceList'!D34/'raw-PriceList'!D35)-1),"")</f>
        <v>1.8264969752587179E-2</v>
      </c>
      <c r="E34" s="6">
        <f>IFERROR((('raw-PriceList'!F34/'raw-PriceList'!F35)-1),"")</f>
        <v>1.825714337426243E-2</v>
      </c>
      <c r="F34" s="6">
        <f>IFERROR((('raw-PriceList'!G34/'raw-PriceList'!G35)-1),"")</f>
        <v>8.965281142072401E-3</v>
      </c>
      <c r="G34" s="6">
        <f>IFERROR((('raw-PriceList'!H34/'raw-PriceList'!H35)-1),"")</f>
        <v>9.0208575914477507E-2</v>
      </c>
      <c r="H34" s="6">
        <f>IFERROR((('raw-PriceList'!J34/'raw-PriceList'!J35)-1),"")</f>
        <v>-2.2413405100902839E-3</v>
      </c>
      <c r="I34" s="6">
        <f>IFERROR((('raw-PriceList'!K34/'raw-PriceList'!K35)-1),"")</f>
        <v>-1.0171010727361152E-2</v>
      </c>
      <c r="J34" s="6">
        <f>IFERROR((('raw-PriceList'!L34/'raw-PriceList'!L35)-1),"")</f>
        <v>4.1922174089537023E-3</v>
      </c>
      <c r="K34" s="6">
        <f>IFERROR((('raw-PriceList'!M34/'raw-PriceList'!M35)-1),"")</f>
        <v>4.2744370239433671E-4</v>
      </c>
      <c r="L34" s="6">
        <f>IFERROR((('raw-PriceList'!N34/'raw-PriceList'!N35)-1),"")</f>
        <v>2.4684454489087848E-3</v>
      </c>
      <c r="M34" s="6">
        <f>IFERROR((('raw-PriceList'!O34/'raw-PriceList'!O35)-1),"")</f>
        <v>-1.3430443045366891E-3</v>
      </c>
      <c r="N34" s="6">
        <f>IFERROR((('raw-PriceList'!P34/'raw-PriceList'!P35)-1),"")</f>
        <v>2.336227492890508E-2</v>
      </c>
      <c r="O34" s="6">
        <f>IFERROR((('raw-PriceList'!Q34/'raw-PriceList'!Q35)-1),"")</f>
        <v>4.3561377726553108E-2</v>
      </c>
      <c r="P34" s="6">
        <f>IFERROR((('raw-PriceList'!R34/'raw-PriceList'!R35)-1),"")</f>
        <v>1.0474249309008199E-2</v>
      </c>
      <c r="Q34" s="6">
        <f>IFERROR((('raw-PriceList'!S34/'raw-PriceList'!S35)-1),"")</f>
        <v>-3.3915082379992856E-2</v>
      </c>
      <c r="R34" s="6">
        <f>IFERROR((('raw-PriceList'!T34/'raw-PriceList'!T35)-1),"")</f>
        <v>-1.962292089309825E-2</v>
      </c>
      <c r="S34" s="6">
        <f>IFERROR((('raw-PriceList'!U34/'raw-PriceList'!U35)-1),"")</f>
        <v>1.9329997399585963E-2</v>
      </c>
      <c r="T34" s="6">
        <f>IFERROR((('raw-PriceList'!V34/'raw-PriceList'!V35)-1),"")</f>
        <v>-5.9682960534416907E-2</v>
      </c>
      <c r="U34" s="6">
        <f>IFERROR((('raw-PriceList'!W34/'raw-PriceList'!W35)-1),"")</f>
        <v>5.9527980285156268E-2</v>
      </c>
      <c r="V34" s="6">
        <f>IFERROR((('raw-PriceList'!X34/'raw-PriceList'!X35)-1),"")</f>
        <v>6.5272966678122657E-3</v>
      </c>
      <c r="W34" s="6">
        <f>IFERROR((('raw-PriceList'!Y34/'raw-PriceList'!Y35)-1),"")</f>
        <v>1.8225283201245945E-2</v>
      </c>
      <c r="X34" s="6">
        <f>IFERROR((('raw-PriceList'!Z34/'raw-PriceList'!Z35)-1),"")</f>
        <v>1.3329101469284232E-2</v>
      </c>
      <c r="Y34" s="6">
        <f>IFERROR((('raw-PriceList'!AA34/'raw-PriceList'!AA35)-1),"")</f>
        <v>7.3681778599228309E-3</v>
      </c>
      <c r="Z34" s="6">
        <f>IFERROR((('raw-PriceList'!AB34/'raw-PriceList'!AB35)-1),"")</f>
        <v>6.9186074125675567E-3</v>
      </c>
      <c r="AA34" s="6">
        <f>IFERROR((('raw-PriceList'!AC34/'raw-PriceList'!AC35)-1),"")</f>
        <v>-2.2431598750014548E-3</v>
      </c>
      <c r="AB34" s="6">
        <f>IFERROR((('raw-PriceList'!AD34/'raw-PriceList'!AD35)-1),"")</f>
        <v>-1.9565384572045597E-3</v>
      </c>
      <c r="AC34" s="6">
        <f>IFERROR((('raw-PriceList'!AE34/'raw-PriceList'!AE35)-1),"")</f>
        <v>-1.9565384572045597E-3</v>
      </c>
      <c r="AD34" s="6">
        <f>IFERROR((('raw-PriceList'!AF34/'raw-PriceList'!AF35)-1),"")</f>
        <v>-7.17024771487762E-3</v>
      </c>
      <c r="AE34" s="6">
        <f>IFERROR((('raw-PriceList'!AG34/'raw-PriceList'!AG35)-1),"")</f>
        <v>6.4850122319306314E-2</v>
      </c>
      <c r="AF34" s="6">
        <f>IFERROR((('raw-PriceList'!AH34/'raw-PriceList'!AH35)-1),"")</f>
        <v>-6.5718162614186726E-3</v>
      </c>
      <c r="AG34" s="6">
        <f>IFERROR((('raw-PriceList'!AJ34/'raw-PriceList'!AJ35)-1),"")</f>
        <v>-2.8883043413349685E-2</v>
      </c>
      <c r="AH34" s="6">
        <f>IFERROR((('raw-PriceList'!AK34/'raw-PriceList'!AK35)-1),"")</f>
        <v>-9.9395667114793307E-3</v>
      </c>
      <c r="AI34" s="6">
        <f>IFERROR((('raw-PriceList'!AM34/'raw-PriceList'!AM35)-1),"")</f>
        <v>1.579934464148014E-2</v>
      </c>
      <c r="AJ34" s="6">
        <f>IFERROR((('raw-PriceList'!AN34/'raw-PriceList'!AN35)-1),"")</f>
        <v>-1.7453325583339785E-3</v>
      </c>
      <c r="AK34" s="6">
        <f>IFERROR((('raw-PriceList'!AO34/'raw-PriceList'!AO35)-1),"")</f>
        <v>1.0220981567627963E-2</v>
      </c>
      <c r="AL34" s="6">
        <f>IFERROR((('raw-PriceList'!AP34/'raw-PriceList'!AP35)-1),"")</f>
        <v>5.4529169669084165E-3</v>
      </c>
      <c r="AM34" s="6">
        <f>IFERROR((('raw-PriceList'!AQ34/'raw-PriceList'!AQ35)-1),"")</f>
        <v>-9.8103263607619562E-3</v>
      </c>
      <c r="AN34" s="6">
        <f>IFERROR((('raw-PriceList'!AR34/'raw-PriceList'!AR35)-1),"")</f>
        <v>-1.9786433959404492E-3</v>
      </c>
      <c r="AO34" s="6">
        <f>IFERROR((('raw-PriceList'!AS34/'raw-PriceList'!AS35)-1),"")</f>
        <v>3.6132858941726909E-2</v>
      </c>
      <c r="AP34" s="6">
        <f>IFERROR((('raw-PriceList'!AT34/'raw-PriceList'!AT35)-1),"")</f>
        <v>3.6132858941726909E-2</v>
      </c>
      <c r="AQ34" s="6">
        <f>IFERROR((('raw-PriceList'!AU34/'raw-PriceList'!AU35)-1),"")</f>
        <v>-3.3762735404598843E-3</v>
      </c>
      <c r="AR34" s="6">
        <f>IFERROR((('raw-PriceList'!AV34/'raw-PriceList'!AV35)-1),"")</f>
        <v>-2.1128414182762678E-2</v>
      </c>
      <c r="AS34" s="6">
        <f>IFERROR((('raw-PriceList'!AW34/'raw-PriceList'!AW35)-1),"")</f>
        <v>1.3306541740084388E-2</v>
      </c>
    </row>
    <row r="35" spans="1:45" x14ac:dyDescent="0.2">
      <c r="A35" s="2">
        <v>42521</v>
      </c>
      <c r="B35" s="6">
        <f>IFERROR((('raw-PriceList'!B35/'raw-PriceList'!B36)-1),"")</f>
        <v>-3.8702810137901666E-3</v>
      </c>
      <c r="C35" s="6">
        <f>IFERROR((('raw-PriceList'!C35/'raw-PriceList'!C36)-1),"")</f>
        <v>-2.6764328799401271E-3</v>
      </c>
      <c r="D35" s="6">
        <f>IFERROR((('raw-PriceList'!D35/'raw-PriceList'!D36)-1),"")</f>
        <v>-1.860882183499446E-3</v>
      </c>
      <c r="E35" s="6">
        <f>IFERROR((('raw-PriceList'!F35/'raw-PriceList'!F36)-1),"")</f>
        <v>6.6028963306630217E-3</v>
      </c>
      <c r="F35" s="6">
        <f>IFERROR((('raw-PriceList'!G35/'raw-PriceList'!G36)-1),"")</f>
        <v>-3.1255535932886991E-3</v>
      </c>
      <c r="G35" s="6">
        <f>IFERROR((('raw-PriceList'!H35/'raw-PriceList'!H36)-1),"")</f>
        <v>1.0876318241572758E-2</v>
      </c>
      <c r="H35" s="6">
        <f>IFERROR((('raw-PriceList'!J35/'raw-PriceList'!J36)-1),"")</f>
        <v>1.747229484964552E-2</v>
      </c>
      <c r="I35" s="6">
        <f>IFERROR((('raw-PriceList'!K35/'raw-PriceList'!K36)-1),"")</f>
        <v>2.2546649631377091E-2</v>
      </c>
      <c r="J35" s="6">
        <f>IFERROR((('raw-PriceList'!L35/'raw-PriceList'!L36)-1),"")</f>
        <v>1.2782095632101198E-2</v>
      </c>
      <c r="K35" s="6">
        <f>IFERROR((('raw-PriceList'!M35/'raw-PriceList'!M36)-1),"")</f>
        <v>1.8914959501376449E-2</v>
      </c>
      <c r="L35" s="6">
        <f>IFERROR((('raw-PriceList'!N35/'raw-PriceList'!N36)-1),"")</f>
        <v>2.5317532983432089E-2</v>
      </c>
      <c r="M35" s="6">
        <f>IFERROR((('raw-PriceList'!O35/'raw-PriceList'!O36)-1),"")</f>
        <v>1.4188023177225784E-2</v>
      </c>
      <c r="N35" s="6">
        <f>IFERROR((('raw-PriceList'!P35/'raw-PriceList'!P36)-1),"")</f>
        <v>-2.1574280625084041E-3</v>
      </c>
      <c r="O35" s="6">
        <f>IFERROR((('raw-PriceList'!Q35/'raw-PriceList'!Q36)-1),"")</f>
        <v>-6.8949405968445898E-3</v>
      </c>
      <c r="P35" s="6">
        <f>IFERROR((('raw-PriceList'!R35/'raw-PriceList'!R36)-1),"")</f>
        <v>-2.3485679945538518E-3</v>
      </c>
      <c r="Q35" s="6">
        <f>IFERROR((('raw-PriceList'!S35/'raw-PriceList'!S36)-1),"")</f>
        <v>-2.9515544626496082E-3</v>
      </c>
      <c r="R35" s="6">
        <f>IFERROR((('raw-PriceList'!T35/'raw-PriceList'!T36)-1),"")</f>
        <v>-7.9827888421619697E-3</v>
      </c>
      <c r="S35" s="6">
        <f>IFERROR((('raw-PriceList'!U35/'raw-PriceList'!U36)-1),"")</f>
        <v>-3.2928909786339444E-3</v>
      </c>
      <c r="T35" s="6">
        <f>IFERROR((('raw-PriceList'!V35/'raw-PriceList'!V36)-1),"")</f>
        <v>-4.7841659810560211E-3</v>
      </c>
      <c r="U35" s="6">
        <f>IFERROR((('raw-PriceList'!W35/'raw-PriceList'!W36)-1),"")</f>
        <v>4.3702505462812624E-3</v>
      </c>
      <c r="V35" s="6">
        <f>IFERROR((('raw-PriceList'!X35/'raw-PriceList'!X36)-1),"")</f>
        <v>-2.1322219537782683E-3</v>
      </c>
      <c r="W35" s="6">
        <f>IFERROR((('raw-PriceList'!Y35/'raw-PriceList'!Y36)-1),"")</f>
        <v>9.49478811581983E-3</v>
      </c>
      <c r="X35" s="6">
        <f>IFERROR((('raw-PriceList'!Z35/'raw-PriceList'!Z36)-1),"")</f>
        <v>7.5907011442550854E-3</v>
      </c>
      <c r="Y35" s="6">
        <f>IFERROR((('raw-PriceList'!AA35/'raw-PriceList'!AA36)-1),"")</f>
        <v>-1.097277417780318E-3</v>
      </c>
      <c r="Z35" s="6">
        <f>IFERROR((('raw-PriceList'!AB35/'raw-PriceList'!AB36)-1),"")</f>
        <v>-1.723662319314645E-2</v>
      </c>
      <c r="AA35" s="6">
        <f>IFERROR((('raw-PriceList'!AC35/'raw-PriceList'!AC36)-1),"")</f>
        <v>1.4421294946562524E-2</v>
      </c>
      <c r="AB35" s="6">
        <f>IFERROR((('raw-PriceList'!AD35/'raw-PriceList'!AD36)-1),"")</f>
        <v>1.7609761533730728E-2</v>
      </c>
      <c r="AC35" s="6">
        <f>IFERROR((('raw-PriceList'!AE35/'raw-PriceList'!AE36)-1),"")</f>
        <v>1.7609761533730728E-2</v>
      </c>
      <c r="AD35" s="6">
        <f>IFERROR((('raw-PriceList'!AF35/'raw-PriceList'!AF36)-1),"")</f>
        <v>2.3632499076766011E-2</v>
      </c>
      <c r="AE35" s="6">
        <f>IFERROR((('raw-PriceList'!AG35/'raw-PriceList'!AG36)-1),"")</f>
        <v>-1.614027428524567E-3</v>
      </c>
      <c r="AF35" s="6">
        <f>IFERROR((('raw-PriceList'!AH35/'raw-PriceList'!AH36)-1),"")</f>
        <v>1.0654199279142906E-2</v>
      </c>
      <c r="AG35" s="6">
        <f>IFERROR((('raw-PriceList'!AJ35/'raw-PriceList'!AJ36)-1),"")</f>
        <v>-3.6330746383220758E-3</v>
      </c>
      <c r="AH35" s="6">
        <f>IFERROR((('raw-PriceList'!AK35/'raw-PriceList'!AK36)-1),"")</f>
        <v>6.5358860214241865E-3</v>
      </c>
      <c r="AI35" s="6">
        <f>IFERROR((('raw-PriceList'!AM35/'raw-PriceList'!AM36)-1),"")</f>
        <v>1.0002284472381273E-3</v>
      </c>
      <c r="AJ35" s="6">
        <f>IFERROR((('raw-PriceList'!AN35/'raw-PriceList'!AN36)-1),"")</f>
        <v>1.7478654199838406E-2</v>
      </c>
      <c r="AK35" s="6">
        <f>IFERROR((('raw-PriceList'!AO35/'raw-PriceList'!AO36)-1),"")</f>
        <v>-6.196936564086819E-4</v>
      </c>
      <c r="AL35" s="6">
        <f>IFERROR((('raw-PriceList'!AP35/'raw-PriceList'!AP36)-1),"")</f>
        <v>1.0649418442755465E-2</v>
      </c>
      <c r="AM35" s="6">
        <f>IFERROR((('raw-PriceList'!AQ35/'raw-PriceList'!AQ36)-1),"")</f>
        <v>2.4894245641000179E-2</v>
      </c>
      <c r="AN35" s="6">
        <f>IFERROR((('raw-PriceList'!AR35/'raw-PriceList'!AR36)-1),"")</f>
        <v>1.7170209284431692E-2</v>
      </c>
      <c r="AO35" s="6">
        <f>IFERROR((('raw-PriceList'!AS35/'raw-PriceList'!AS36)-1),"")</f>
        <v>-7.5703904725018534E-3</v>
      </c>
      <c r="AP35" s="6">
        <f>IFERROR((('raw-PriceList'!AT35/'raw-PriceList'!AT36)-1),"")</f>
        <v>-7.5703904725018534E-3</v>
      </c>
      <c r="AQ35" s="6">
        <f>IFERROR((('raw-PriceList'!AU35/'raw-PriceList'!AU36)-1),"")</f>
        <v>1.8769829251512826E-2</v>
      </c>
      <c r="AR35" s="6">
        <f>IFERROR((('raw-PriceList'!AV35/'raw-PriceList'!AV36)-1),"")</f>
        <v>-9.8495933409235015E-3</v>
      </c>
      <c r="AS35" s="6">
        <f>IFERROR((('raw-PriceList'!AW35/'raw-PriceList'!AW36)-1),"")</f>
        <v>1.3922771549120139E-2</v>
      </c>
    </row>
    <row r="36" spans="1:45" x14ac:dyDescent="0.2">
      <c r="A36" s="2">
        <v>42490</v>
      </c>
      <c r="B36" s="6">
        <f>IFERROR((('raw-PriceList'!B36/'raw-PriceList'!B37)-1),"")</f>
        <v>7.6259154083246905E-4</v>
      </c>
      <c r="C36" s="6">
        <f>IFERROR((('raw-PriceList'!C36/'raw-PriceList'!C37)-1),"")</f>
        <v>8.0896310396947335E-3</v>
      </c>
      <c r="D36" s="6">
        <f>IFERROR((('raw-PriceList'!D36/'raw-PriceList'!D37)-1),"")</f>
        <v>2.0458443032775886E-3</v>
      </c>
      <c r="E36" s="6">
        <f>IFERROR((('raw-PriceList'!F36/'raw-PriceList'!F37)-1),"")</f>
        <v>-3.682575048624348E-3</v>
      </c>
      <c r="F36" s="6">
        <f>IFERROR((('raw-PriceList'!G36/'raw-PriceList'!G37)-1),"")</f>
        <v>-2.5437109629977694E-4</v>
      </c>
      <c r="G36" s="6">
        <f>IFERROR((('raw-PriceList'!H36/'raw-PriceList'!H37)-1),"")</f>
        <v>-1.1282522238938664E-2</v>
      </c>
      <c r="H36" s="6">
        <f>IFERROR((('raw-PriceList'!J36/'raw-PriceList'!J37)-1),"")</f>
        <v>4.291993044252207E-3</v>
      </c>
      <c r="I36" s="6">
        <f>IFERROR((('raw-PriceList'!K36/'raw-PriceList'!K37)-1),"")</f>
        <v>-8.2682178497124337E-3</v>
      </c>
      <c r="J36" s="6">
        <f>IFERROR((('raw-PriceList'!L36/'raw-PriceList'!L37)-1),"")</f>
        <v>1.4769153872393526E-2</v>
      </c>
      <c r="K36" s="6">
        <f>IFERROR((('raw-PriceList'!M36/'raw-PriceList'!M37)-1),"")</f>
        <v>1.7557046161187362E-2</v>
      </c>
      <c r="L36" s="6">
        <f>IFERROR((('raw-PriceList'!N36/'raw-PriceList'!N37)-1),"")</f>
        <v>1.3214672772267511E-2</v>
      </c>
      <c r="M36" s="6">
        <f>IFERROR((('raw-PriceList'!O36/'raw-PriceList'!O37)-1),"")</f>
        <v>2.0967466151758929E-2</v>
      </c>
      <c r="N36" s="6">
        <f>IFERROR((('raw-PriceList'!P36/'raw-PriceList'!P37)-1),"")</f>
        <v>7.2154009537710451E-3</v>
      </c>
      <c r="O36" s="6">
        <f>IFERROR((('raw-PriceList'!Q36/'raw-PriceList'!Q37)-1),"")</f>
        <v>1.9782212431476598E-2</v>
      </c>
      <c r="P36" s="6">
        <f>IFERROR((('raw-PriceList'!R36/'raw-PriceList'!R37)-1),"")</f>
        <v>1.9712230916988371E-3</v>
      </c>
      <c r="Q36" s="6">
        <f>IFERROR((('raw-PriceList'!S36/'raw-PriceList'!S37)-1),"")</f>
        <v>2.3121599938907389E-2</v>
      </c>
      <c r="R36" s="6">
        <f>IFERROR((('raw-PriceList'!T36/'raw-PriceList'!T37)-1),"")</f>
        <v>2.0621470169844169E-2</v>
      </c>
      <c r="S36" s="6">
        <f>IFERROR((('raw-PriceList'!U36/'raw-PriceList'!U37)-1),"")</f>
        <v>-2.5138392385778419E-3</v>
      </c>
      <c r="T36" s="6">
        <f>IFERROR((('raw-PriceList'!V36/'raw-PriceList'!V37)-1),"")</f>
        <v>2.7585027143558039E-2</v>
      </c>
      <c r="U36" s="6">
        <f>IFERROR((('raw-PriceList'!W36/'raw-PriceList'!W37)-1),"")</f>
        <v>-5.0897129372553529E-3</v>
      </c>
      <c r="V36" s="6">
        <f>IFERROR((('raw-PriceList'!X36/'raw-PriceList'!X37)-1),"")</f>
        <v>-3.3188481652279833E-4</v>
      </c>
      <c r="W36" s="6">
        <f>IFERROR((('raw-PriceList'!Y36/'raw-PriceList'!Y37)-1),"")</f>
        <v>-3.0244891657866813E-3</v>
      </c>
      <c r="X36" s="6">
        <f>IFERROR((('raw-PriceList'!Z36/'raw-PriceList'!Z37)-1),"")</f>
        <v>1.5435225913756456E-2</v>
      </c>
      <c r="Y36" s="6">
        <f>IFERROR((('raw-PriceList'!AA36/'raw-PriceList'!AA37)-1),"")</f>
        <v>8.661261809876919E-4</v>
      </c>
      <c r="Z36" s="6">
        <f>IFERROR((('raw-PriceList'!AB36/'raw-PriceList'!AB37)-1),"")</f>
        <v>2.0946619609470085E-2</v>
      </c>
      <c r="AA36" s="6">
        <f>IFERROR((('raw-PriceList'!AC36/'raw-PriceList'!AC37)-1),"")</f>
        <v>9.8561057684527498E-3</v>
      </c>
      <c r="AB36" s="6">
        <f>IFERROR((('raw-PriceList'!AD36/'raw-PriceList'!AD37)-1),"")</f>
        <v>3.7716892686026071E-3</v>
      </c>
      <c r="AC36" s="6">
        <f>IFERROR((('raw-PriceList'!AE36/'raw-PriceList'!AE37)-1),"")</f>
        <v>3.7716892686026071E-3</v>
      </c>
      <c r="AD36" s="6">
        <f>IFERROR((('raw-PriceList'!AF36/'raw-PriceList'!AF37)-1),"")</f>
        <v>9.1957884087001673E-5</v>
      </c>
      <c r="AE36" s="6">
        <f>IFERROR((('raw-PriceList'!AG36/'raw-PriceList'!AG37)-1),"")</f>
        <v>-1.9517972831437636E-3</v>
      </c>
      <c r="AF36" s="6">
        <f>IFERROR((('raw-PriceList'!AH36/'raw-PriceList'!AH37)-1),"")</f>
        <v>4.6939590449677215E-3</v>
      </c>
      <c r="AG36" s="6">
        <f>IFERROR((('raw-PriceList'!AJ36/'raw-PriceList'!AJ37)-1),"")</f>
        <v>3.0066311124226752E-2</v>
      </c>
      <c r="AH36" s="6">
        <f>IFERROR((('raw-PriceList'!AK36/'raw-PriceList'!AK37)-1),"")</f>
        <v>1.0398833796391838E-2</v>
      </c>
      <c r="AI36" s="6">
        <f>IFERROR((('raw-PriceList'!AM36/'raw-PriceList'!AM37)-1),"")</f>
        <v>7.2699760116250456E-3</v>
      </c>
      <c r="AJ36" s="6">
        <f>IFERROR((('raw-PriceList'!AN36/'raw-PriceList'!AN37)-1),"")</f>
        <v>5.9416012400792528E-3</v>
      </c>
      <c r="AK36" s="6">
        <f>IFERROR((('raw-PriceList'!AO36/'raw-PriceList'!AO37)-1),"")</f>
        <v>-1.813169456032937E-3</v>
      </c>
      <c r="AL36" s="6">
        <f>IFERROR((('raw-PriceList'!AP36/'raw-PriceList'!AP37)-1),"")</f>
        <v>1.5148140600514726E-2</v>
      </c>
      <c r="AM36" s="6">
        <f>IFERROR((('raw-PriceList'!AQ36/'raw-PriceList'!AQ37)-1),"")</f>
        <v>-8.1007468458612619E-3</v>
      </c>
      <c r="AN36" s="6">
        <f>IFERROR((('raw-PriceList'!AR36/'raw-PriceList'!AR37)-1),"")</f>
        <v>4.597538985079197E-3</v>
      </c>
      <c r="AO36" s="6">
        <f>IFERROR((('raw-PriceList'!AS36/'raw-PriceList'!AS37)-1),"")</f>
        <v>1.3347293053665998E-2</v>
      </c>
      <c r="AP36" s="6">
        <f>IFERROR((('raw-PriceList'!AT36/'raw-PriceList'!AT37)-1),"")</f>
        <v>1.3347293053665998E-2</v>
      </c>
      <c r="AQ36" s="6">
        <f>IFERROR((('raw-PriceList'!AU36/'raw-PriceList'!AU37)-1),"")</f>
        <v>1.6060813824388953E-2</v>
      </c>
      <c r="AR36" s="6">
        <f>IFERROR((('raw-PriceList'!AV36/'raw-PriceList'!AV37)-1),"")</f>
        <v>2.1632434716346571E-2</v>
      </c>
      <c r="AS36" s="6">
        <f>IFERROR((('raw-PriceList'!AW36/'raw-PriceList'!AW37)-1),"")</f>
        <v>7.2662424766232192E-3</v>
      </c>
    </row>
    <row r="37" spans="1:45" x14ac:dyDescent="0.2">
      <c r="A37" s="2">
        <v>42460</v>
      </c>
      <c r="B37" s="6">
        <f>IFERROR((('raw-PriceList'!B37/'raw-PriceList'!B38)-1),"")</f>
        <v>1.0905198500836821E-2</v>
      </c>
      <c r="C37" s="6">
        <f>IFERROR((('raw-PriceList'!C37/'raw-PriceList'!C38)-1),"")</f>
        <v>2.9086714076430598E-2</v>
      </c>
      <c r="D37" s="6">
        <f>IFERROR((('raw-PriceList'!D37/'raw-PriceList'!D38)-1),"")</f>
        <v>6.6566603196958063E-3</v>
      </c>
      <c r="E37" s="6">
        <f>IFERROR((('raw-PriceList'!F37/'raw-PriceList'!F38)-1),"")</f>
        <v>6.4373219633455658E-3</v>
      </c>
      <c r="F37" s="6">
        <f>IFERROR((('raw-PriceList'!G37/'raw-PriceList'!G38)-1),"")</f>
        <v>3.3603703525340034E-3</v>
      </c>
      <c r="G37" s="6">
        <f>IFERROR((('raw-PriceList'!H37/'raw-PriceList'!H38)-1),"")</f>
        <v>-7.4568763298513696E-3</v>
      </c>
      <c r="H37" s="6">
        <f>IFERROR((('raw-PriceList'!J37/'raw-PriceList'!J38)-1),"")</f>
        <v>5.8741314507049891E-2</v>
      </c>
      <c r="I37" s="6">
        <f>IFERROR((('raw-PriceList'!K37/'raw-PriceList'!K38)-1),"")</f>
        <v>6.6427376339224908E-2</v>
      </c>
      <c r="J37" s="6">
        <f>IFERROR((('raw-PriceList'!L37/'raw-PriceList'!L38)-1),"")</f>
        <v>5.6426808402896489E-2</v>
      </c>
      <c r="K37" s="6">
        <f>IFERROR((('raw-PriceList'!M37/'raw-PriceList'!M38)-1),"")</f>
        <v>8.166514428802385E-2</v>
      </c>
      <c r="L37" s="6">
        <f>IFERROR((('raw-PriceList'!N37/'raw-PriceList'!N38)-1),"")</f>
        <v>7.5830135086773609E-2</v>
      </c>
      <c r="M37" s="6">
        <f>IFERROR((('raw-PriceList'!O37/'raw-PriceList'!O38)-1),"")</f>
        <v>8.5351362626531424E-2</v>
      </c>
      <c r="N37" s="6">
        <f>IFERROR((('raw-PriceList'!P37/'raw-PriceList'!P38)-1),"")</f>
        <v>2.0058241287715273E-2</v>
      </c>
      <c r="O37" s="6">
        <f>IFERROR((('raw-PriceList'!Q37/'raw-PriceList'!Q38)-1),"")</f>
        <v>5.955047116178136E-2</v>
      </c>
      <c r="P37" s="6">
        <f>IFERROR((('raw-PriceList'!R37/'raw-PriceList'!R38)-1),"")</f>
        <v>1.0241836138448202E-2</v>
      </c>
      <c r="Q37" s="6">
        <f>IFERROR((('raw-PriceList'!S37/'raw-PriceList'!S38)-1),"")</f>
        <v>6.7282468275151608E-2</v>
      </c>
      <c r="R37" s="6">
        <f>IFERROR((('raw-PriceList'!T37/'raw-PriceList'!T38)-1),"")</f>
        <v>7.9735928527122413E-2</v>
      </c>
      <c r="S37" s="6">
        <f>IFERROR((('raw-PriceList'!U37/'raw-PriceList'!U38)-1),"")</f>
        <v>8.4101623020904626E-4</v>
      </c>
      <c r="T37" s="6">
        <f>IFERROR((('raw-PriceList'!V37/'raw-PriceList'!V38)-1),"")</f>
        <v>6.4274364569432141E-2</v>
      </c>
      <c r="U37" s="6">
        <f>IFERROR((('raw-PriceList'!W37/'raw-PriceList'!W38)-1),"")</f>
        <v>-1.9848783349760701E-3</v>
      </c>
      <c r="V37" s="6">
        <f>IFERROR((('raw-PriceList'!X37/'raw-PriceList'!X38)-1),"")</f>
        <v>1.0130205777472145E-3</v>
      </c>
      <c r="W37" s="6">
        <f>IFERROR((('raw-PriceList'!Y37/'raw-PriceList'!Y38)-1),"")</f>
        <v>5.7100408670658132E-2</v>
      </c>
      <c r="X37" s="6" t="str">
        <f>IFERROR((('raw-PriceList'!Z37/'raw-PriceList'!Z38)-1),"")</f>
        <v/>
      </c>
      <c r="Y37" s="6">
        <f>IFERROR((('raw-PriceList'!AA37/'raw-PriceList'!AA38)-1),"")</f>
        <v>4.0863583736294729E-4</v>
      </c>
      <c r="Z37" s="6">
        <f>IFERROR((('raw-PriceList'!AB37/'raw-PriceList'!AB38)-1),"")</f>
        <v>8.9341546008393058E-2</v>
      </c>
      <c r="AA37" s="6">
        <f>IFERROR((('raw-PriceList'!AC37/'raw-PriceList'!AC38)-1),"")</f>
        <v>7.3726086409423353E-2</v>
      </c>
      <c r="AB37" s="6">
        <f>IFERROR((('raw-PriceList'!AD37/'raw-PriceList'!AD38)-1),"")</f>
        <v>6.2935155931110209E-2</v>
      </c>
      <c r="AC37" s="6">
        <f>IFERROR((('raw-PriceList'!AE37/'raw-PriceList'!AE38)-1),"")</f>
        <v>6.2935155931110209E-2</v>
      </c>
      <c r="AD37" s="6">
        <f>IFERROR((('raw-PriceList'!AF37/'raw-PriceList'!AF38)-1),"")</f>
        <v>8.0647431644233158E-2</v>
      </c>
      <c r="AE37" s="6">
        <f>IFERROR((('raw-PriceList'!AG37/'raw-PriceList'!AG38)-1),"")</f>
        <v>4.9907827004649352E-2</v>
      </c>
      <c r="AF37" s="6">
        <f>IFERROR((('raw-PriceList'!AH37/'raw-PriceList'!AH38)-1),"")</f>
        <v>7.4871623529631393E-2</v>
      </c>
      <c r="AG37" s="6">
        <f>IFERROR((('raw-PriceList'!AJ37/'raw-PriceList'!AJ38)-1),"")</f>
        <v>7.2889797723636907E-2</v>
      </c>
      <c r="AH37" s="6">
        <f>IFERROR((('raw-PriceList'!AK37/'raw-PriceList'!AK38)-1),"")</f>
        <v>7.5152503564055895E-2</v>
      </c>
      <c r="AI37" s="6">
        <f>IFERROR((('raw-PriceList'!AM37/'raw-PriceList'!AM38)-1),"")</f>
        <v>2.2364945976054429E-3</v>
      </c>
      <c r="AJ37" s="6">
        <f>IFERROR((('raw-PriceList'!AN37/'raw-PriceList'!AN38)-1),"")</f>
        <v>6.6641388310638705E-2</v>
      </c>
      <c r="AK37" s="6">
        <f>IFERROR((('raw-PriceList'!AO37/'raw-PriceList'!AO38)-1),"")</f>
        <v>1.1936579916094647E-2</v>
      </c>
      <c r="AL37" s="6">
        <f>IFERROR((('raw-PriceList'!AP37/'raw-PriceList'!AP38)-1),"")</f>
        <v>6.0116580217544957E-2</v>
      </c>
      <c r="AM37" s="6">
        <f>IFERROR((('raw-PriceList'!AQ37/'raw-PriceList'!AQ38)-1),"")</f>
        <v>6.8973995934561882E-2</v>
      </c>
      <c r="AN37" s="6">
        <f>IFERROR((('raw-PriceList'!AR37/'raw-PriceList'!AR38)-1),"")</f>
        <v>6.3678275575117738E-2</v>
      </c>
      <c r="AO37" s="6">
        <f>IFERROR((('raw-PriceList'!AS37/'raw-PriceList'!AS38)-1),"")</f>
        <v>2.7556940495992999E-2</v>
      </c>
      <c r="AP37" s="6">
        <f>IFERROR((('raw-PriceList'!AT37/'raw-PriceList'!AT38)-1),"")</f>
        <v>2.7556940495992999E-2</v>
      </c>
      <c r="AQ37" s="6">
        <f>IFERROR((('raw-PriceList'!AU37/'raw-PriceList'!AU38)-1),"")</f>
        <v>7.8694736392311393E-2</v>
      </c>
      <c r="AR37" s="6">
        <f>IFERROR((('raw-PriceList'!AV37/'raw-PriceList'!AV38)-1),"")</f>
        <v>7.9805675646115404E-2</v>
      </c>
      <c r="AS37" s="6">
        <f>IFERROR((('raw-PriceList'!AW37/'raw-PriceList'!AW38)-1),"")</f>
        <v>5.890286073272466E-2</v>
      </c>
    </row>
    <row r="38" spans="1:45" x14ac:dyDescent="0.2">
      <c r="A38" s="2">
        <v>42429</v>
      </c>
      <c r="B38" s="6">
        <f>IFERROR((('raw-PriceList'!B38/'raw-PriceList'!B39)-1),"")</f>
        <v>8.9807031928434977E-3</v>
      </c>
      <c r="C38" s="6">
        <f>IFERROR((('raw-PriceList'!C38/'raw-PriceList'!C39)-1),"")</f>
        <v>1.766745354272059E-2</v>
      </c>
      <c r="D38" s="6">
        <f>IFERROR((('raw-PriceList'!D38/'raw-PriceList'!D39)-1),"")</f>
        <v>6.4613148260537212E-3</v>
      </c>
      <c r="E38" s="6">
        <f>IFERROR((('raw-PriceList'!F38/'raw-PriceList'!F39)-1),"")</f>
        <v>1.1659555974717239E-2</v>
      </c>
      <c r="F38" s="6">
        <f>IFERROR((('raw-PriceList'!G38/'raw-PriceList'!G39)-1),"")</f>
        <v>1.9920092697758296E-3</v>
      </c>
      <c r="G38" s="6">
        <f>IFERROR((('raw-PriceList'!H38/'raw-PriceList'!H39)-1),"")</f>
        <v>4.0457686864377562E-2</v>
      </c>
      <c r="H38" s="6">
        <f>IFERROR((('raw-PriceList'!J38/'raw-PriceList'!J39)-1),"")</f>
        <v>-1.1930897040838273E-3</v>
      </c>
      <c r="I38" s="6">
        <f>IFERROR((('raw-PriceList'!K38/'raw-PriceList'!K39)-1),"")</f>
        <v>-5.877126318234116E-3</v>
      </c>
      <c r="J38" s="6">
        <f>IFERROR((('raw-PriceList'!L38/'raw-PriceList'!L39)-1),"")</f>
        <v>-1.0613263353383973E-3</v>
      </c>
      <c r="K38" s="6">
        <f>IFERROR((('raw-PriceList'!M38/'raw-PriceList'!M39)-1),"")</f>
        <v>7.7486676141889088E-3</v>
      </c>
      <c r="L38" s="6">
        <f>IFERROR((('raw-PriceList'!N38/'raw-PriceList'!N39)-1),"")</f>
        <v>5.5855449642705501E-4</v>
      </c>
      <c r="M38" s="6">
        <f>IFERROR((('raw-PriceList'!O38/'raw-PriceList'!O39)-1),"")</f>
        <v>1.5014580538117439E-2</v>
      </c>
      <c r="N38" s="6">
        <f>IFERROR((('raw-PriceList'!P38/'raw-PriceList'!P39)-1),"")</f>
        <v>8.6281214671344308E-3</v>
      </c>
      <c r="O38" s="6">
        <f>IFERROR((('raw-PriceList'!Q38/'raw-PriceList'!Q39)-1),"")</f>
        <v>6.9238848562873656E-3</v>
      </c>
      <c r="P38" s="6">
        <f>IFERROR((('raw-PriceList'!R38/'raw-PriceList'!R39)-1),"")</f>
        <v>7.5656629814835341E-4</v>
      </c>
      <c r="Q38" s="6">
        <f>IFERROR((('raw-PriceList'!S38/'raw-PriceList'!S39)-1),"")</f>
        <v>-3.0896437450129377E-2</v>
      </c>
      <c r="R38" s="6">
        <f>IFERROR((('raw-PriceList'!T38/'raw-PriceList'!T39)-1),"")</f>
        <v>-2.4314057758881846E-2</v>
      </c>
      <c r="S38" s="6">
        <f>IFERROR((('raw-PriceList'!U38/'raw-PriceList'!U39)-1),"")</f>
        <v>6.8535845432744491E-3</v>
      </c>
      <c r="T38" s="6">
        <f>IFERROR((('raw-PriceList'!V38/'raw-PriceList'!V39)-1),"")</f>
        <v>-3.2271786724992646E-2</v>
      </c>
      <c r="U38" s="6">
        <f>IFERROR((('raw-PriceList'!W38/'raw-PriceList'!W39)-1),"")</f>
        <v>2.6111541014573358E-2</v>
      </c>
      <c r="V38" s="6">
        <f>IFERROR((('raw-PriceList'!X38/'raw-PriceList'!X39)-1),"")</f>
        <v>4.4381254614878074E-4</v>
      </c>
      <c r="W38" s="6">
        <f>IFERROR((('raw-PriceList'!Y38/'raw-PriceList'!Y39)-1),"")</f>
        <v>1.1310741156981052E-2</v>
      </c>
      <c r="X38" s="6" t="str">
        <f>IFERROR((('raw-PriceList'!Z38/'raw-PriceList'!Z39)-1),"")</f>
        <v/>
      </c>
      <c r="Y38" s="6">
        <f>IFERROR((('raw-PriceList'!AA38/'raw-PriceList'!AA39)-1),"")</f>
        <v>1.4153865294326273E-3</v>
      </c>
      <c r="Z38" s="6">
        <f>IFERROR((('raw-PriceList'!AB38/'raw-PriceList'!AB39)-1),"")</f>
        <v>1.0297790175018084E-2</v>
      </c>
      <c r="AA38" s="6">
        <f>IFERROR((('raw-PriceList'!AC38/'raw-PriceList'!AC39)-1),"")</f>
        <v>1.3590485835446753E-2</v>
      </c>
      <c r="AB38" s="6">
        <f>IFERROR((('raw-PriceList'!AD38/'raw-PriceList'!AD39)-1),"")</f>
        <v>-2.1610359380940247E-3</v>
      </c>
      <c r="AC38" s="6">
        <f>IFERROR((('raw-PriceList'!AE38/'raw-PriceList'!AE39)-1),"")</f>
        <v>-2.1610359380940247E-3</v>
      </c>
      <c r="AD38" s="6">
        <f>IFERROR((('raw-PriceList'!AF38/'raw-PriceList'!AF39)-1),"")</f>
        <v>1.0467917525234238E-2</v>
      </c>
      <c r="AE38" s="6">
        <f>IFERROR((('raw-PriceList'!AG38/'raw-PriceList'!AG39)-1),"")</f>
        <v>3.9698517309824988E-2</v>
      </c>
      <c r="AF38" s="6">
        <f>IFERROR((('raw-PriceList'!AH38/'raw-PriceList'!AH39)-1),"")</f>
        <v>-3.5091074057428395E-2</v>
      </c>
      <c r="AG38" s="6">
        <f>IFERROR((('raw-PriceList'!AJ38/'raw-PriceList'!AJ39)-1),"")</f>
        <v>4.5624185457571187E-3</v>
      </c>
      <c r="AH38" s="6">
        <f>IFERROR((('raw-PriceList'!AK38/'raw-PriceList'!AK39)-1),"")</f>
        <v>-1.1060361020095333E-2</v>
      </c>
      <c r="AI38" s="6">
        <f>IFERROR((('raw-PriceList'!AM38/'raw-PriceList'!AM39)-1),"")</f>
        <v>1.8231723784798426E-3</v>
      </c>
      <c r="AJ38" s="6">
        <f>IFERROR((('raw-PriceList'!AN38/'raw-PriceList'!AN39)-1),"")</f>
        <v>-1.0820786119936088E-4</v>
      </c>
      <c r="AK38" s="6">
        <f>IFERROR((('raw-PriceList'!AO38/'raw-PriceList'!AO39)-1),"")</f>
        <v>1.664974183615886E-3</v>
      </c>
      <c r="AL38" s="6">
        <f>IFERROR((('raw-PriceList'!AP38/'raw-PriceList'!AP39)-1),"")</f>
        <v>9.9367589370613629E-4</v>
      </c>
      <c r="AM38" s="6">
        <f>IFERROR((('raw-PriceList'!AQ38/'raw-PriceList'!AQ39)-1),"")</f>
        <v>-4.0439978001099997E-3</v>
      </c>
      <c r="AN38" s="6">
        <f>IFERROR((('raw-PriceList'!AR38/'raw-PriceList'!AR39)-1),"")</f>
        <v>-1.350586329647796E-3</v>
      </c>
      <c r="AO38" s="6">
        <f>IFERROR((('raw-PriceList'!AS38/'raw-PriceList'!AS39)-1),"")</f>
        <v>1.5586350977574881E-2</v>
      </c>
      <c r="AP38" s="6">
        <f>IFERROR((('raw-PriceList'!AT38/'raw-PriceList'!AT39)-1),"")</f>
        <v>1.5586350977574881E-2</v>
      </c>
      <c r="AQ38" s="6">
        <f>IFERROR((('raw-PriceList'!AU38/'raw-PriceList'!AU39)-1),"")</f>
        <v>3.4075995168600937E-3</v>
      </c>
      <c r="AR38" s="6">
        <f>IFERROR((('raw-PriceList'!AV38/'raw-PriceList'!AV39)-1),"")</f>
        <v>-2.4553721641795034E-2</v>
      </c>
      <c r="AS38" s="6">
        <f>IFERROR((('raw-PriceList'!AW38/'raw-PriceList'!AW39)-1),"")</f>
        <v>5.0440743764352813E-3</v>
      </c>
    </row>
    <row r="39" spans="1:45" x14ac:dyDescent="0.2">
      <c r="A39" s="2">
        <v>42400</v>
      </c>
      <c r="B39" s="6">
        <f>IFERROR((('raw-PriceList'!B39/'raw-PriceList'!B40)-1),"")</f>
        <v>1.8312354202343561E-2</v>
      </c>
      <c r="C39" s="6">
        <f>IFERROR((('raw-PriceList'!C39/'raw-PriceList'!C40)-1),"")</f>
        <v>2.3390092369266036E-2</v>
      </c>
      <c r="D39" s="6">
        <f>IFERROR((('raw-PriceList'!D39/'raw-PriceList'!D40)-1),"")</f>
        <v>1.2013938248704115E-2</v>
      </c>
      <c r="E39" s="6">
        <f>IFERROR((('raw-PriceList'!F39/'raw-PriceList'!F40)-1),"")</f>
        <v>1.2943928176146757E-2</v>
      </c>
      <c r="F39" s="6">
        <f>IFERROR((('raw-PriceList'!G39/'raw-PriceList'!G40)-1),"")</f>
        <v>7.9004139407210516E-3</v>
      </c>
      <c r="G39" s="6">
        <f>IFERROR((('raw-PriceList'!H39/'raw-PriceList'!H40)-1),"")</f>
        <v>8.4367278317825756E-2</v>
      </c>
      <c r="H39" s="6">
        <f>IFERROR((('raw-PriceList'!J39/'raw-PriceList'!J40)-1),"")</f>
        <v>-4.9731978542228106E-2</v>
      </c>
      <c r="I39" s="6">
        <f>IFERROR((('raw-PriceList'!K39/'raw-PriceList'!K40)-1),"")</f>
        <v>-5.5757336955965409E-2</v>
      </c>
      <c r="J39" s="6">
        <f>IFERROR((('raw-PriceList'!L39/'raw-PriceList'!L40)-1),"")</f>
        <v>-4.4206246916792757E-2</v>
      </c>
      <c r="K39" s="6">
        <f>IFERROR((('raw-PriceList'!M39/'raw-PriceList'!M40)-1),"")</f>
        <v>-7.5550297646404752E-2</v>
      </c>
      <c r="L39" s="6">
        <f>IFERROR((('raw-PriceList'!N39/'raw-PriceList'!N40)-1),"")</f>
        <v>-8.9815256952804012E-2</v>
      </c>
      <c r="M39" s="6">
        <f>IFERROR((('raw-PriceList'!O39/'raw-PriceList'!O40)-1),"")</f>
        <v>-6.3688784790682407E-2</v>
      </c>
      <c r="N39" s="6">
        <f>IFERROR((('raw-PriceList'!P39/'raw-PriceList'!P40)-1),"")</f>
        <v>4.652140573241148E-3</v>
      </c>
      <c r="O39" s="6">
        <f>IFERROR((('raw-PriceList'!Q39/'raw-PriceList'!Q40)-1),"")</f>
        <v>-4.119211126942024E-3</v>
      </c>
      <c r="P39" s="6">
        <f>IFERROR((('raw-PriceList'!R39/'raw-PriceList'!R40)-1),"")</f>
        <v>2.1939056039481653E-3</v>
      </c>
      <c r="Q39" s="6">
        <f>IFERROR((('raw-PriceList'!S39/'raw-PriceList'!S40)-1),"")</f>
        <v>-5.5264546820694038E-2</v>
      </c>
      <c r="R39" s="6">
        <f>IFERROR((('raw-PriceList'!T39/'raw-PriceList'!T40)-1),"")</f>
        <v>-5.6028166697496773E-2</v>
      </c>
      <c r="S39" s="6">
        <f>IFERROR((('raw-PriceList'!U39/'raw-PriceList'!U40)-1),"")</f>
        <v>2.2725863058767004E-2</v>
      </c>
      <c r="T39" s="6">
        <f>IFERROR((('raw-PriceList'!V39/'raw-PriceList'!V40)-1),"")</f>
        <v>-5.5548182401756518E-2</v>
      </c>
      <c r="U39" s="6">
        <f>IFERROR((('raw-PriceList'!W39/'raw-PriceList'!W40)-1),"")</f>
        <v>5.223778488838704E-2</v>
      </c>
      <c r="V39" s="6">
        <f>IFERROR((('raw-PriceList'!X39/'raw-PriceList'!X40)-1),"")</f>
        <v>5.7110053541908901E-3</v>
      </c>
      <c r="W39" s="6">
        <f>IFERROR((('raw-PriceList'!Y39/'raw-PriceList'!Y40)-1),"")</f>
        <v>-2.2860413829857817E-2</v>
      </c>
      <c r="X39" s="6" t="str">
        <f>IFERROR((('raw-PriceList'!Z39/'raw-PriceList'!Z40)-1),"")</f>
        <v/>
      </c>
      <c r="Y39" s="6">
        <f>IFERROR((('raw-PriceList'!AA39/'raw-PriceList'!AA40)-1),"")</f>
        <v>1.2307453608769503E-2</v>
      </c>
      <c r="Z39" s="6">
        <f>IFERROR((('raw-PriceList'!AB39/'raw-PriceList'!AB40)-1),"")</f>
        <v>-4.8499012492768889E-2</v>
      </c>
      <c r="AA39" s="6">
        <f>IFERROR((('raw-PriceList'!AC39/'raw-PriceList'!AC40)-1),"")</f>
        <v>-6.8626278388300488E-2</v>
      </c>
      <c r="AB39" s="6">
        <f>IFERROR((('raw-PriceList'!AD39/'raw-PriceList'!AD40)-1),"")</f>
        <v>-4.9198101919401327E-2</v>
      </c>
      <c r="AC39" s="6">
        <f>IFERROR((('raw-PriceList'!AE39/'raw-PriceList'!AE40)-1),"")</f>
        <v>-4.9198101919401327E-2</v>
      </c>
      <c r="AD39" s="6">
        <f>IFERROR((('raw-PriceList'!AF39/'raw-PriceList'!AF40)-1),"")</f>
        <v>-7.911363047142228E-2</v>
      </c>
      <c r="AE39" s="6">
        <f>IFERROR((('raw-PriceList'!AG39/'raw-PriceList'!AG40)-1),"")</f>
        <v>1.2267306583988669E-2</v>
      </c>
      <c r="AF39" s="6">
        <f>IFERROR((('raw-PriceList'!AH39/'raw-PriceList'!AH40)-1),"")</f>
        <v>-5.9678234471621128E-2</v>
      </c>
      <c r="AG39" s="6">
        <f>IFERROR((('raw-PriceList'!AJ39/'raw-PriceList'!AJ40)-1),"")</f>
        <v>-6.6961364968625037E-2</v>
      </c>
      <c r="AH39" s="6">
        <f>IFERROR((('raw-PriceList'!AK39/'raw-PriceList'!AK40)-1),"")</f>
        <v>-5.8656306263621727E-2</v>
      </c>
      <c r="AI39" s="6">
        <f>IFERROR((('raw-PriceList'!AM39/'raw-PriceList'!AM40)-1),"")</f>
        <v>4.9687728403822184E-3</v>
      </c>
      <c r="AJ39" s="6">
        <f>IFERROR((('raw-PriceList'!AN39/'raw-PriceList'!AN40)-1),"")</f>
        <v>-5.7139153121910979E-2</v>
      </c>
      <c r="AK39" s="6">
        <f>IFERROR((('raw-PriceList'!AO39/'raw-PriceList'!AO40)-1),"")</f>
        <v>2.4707464938811263E-3</v>
      </c>
      <c r="AL39" s="6">
        <f>IFERROR((('raw-PriceList'!AP39/'raw-PriceList'!AP40)-1),"")</f>
        <v>-4.7587965711650138E-2</v>
      </c>
      <c r="AM39" s="6">
        <f>IFERROR((('raw-PriceList'!AQ39/'raw-PriceList'!AQ40)-1),"")</f>
        <v>-6.0182172697551994E-2</v>
      </c>
      <c r="AN39" s="6">
        <f>IFERROR((('raw-PriceList'!AR39/'raw-PriceList'!AR40)-1),"")</f>
        <v>-5.3689180634487355E-2</v>
      </c>
      <c r="AO39" s="6">
        <f>IFERROR((('raw-PriceList'!AS39/'raw-PriceList'!AS40)-1),"")</f>
        <v>-3.1242420251923475E-3</v>
      </c>
      <c r="AP39" s="6">
        <f>IFERROR((('raw-PriceList'!AT39/'raw-PriceList'!AT40)-1),"")</f>
        <v>-3.1242420251923475E-3</v>
      </c>
      <c r="AQ39" s="6">
        <f>IFERROR((('raw-PriceList'!AU39/'raw-PriceList'!AU40)-1),"")</f>
        <v>-8.7114548510747847E-2</v>
      </c>
      <c r="AR39" s="6">
        <f>IFERROR((('raw-PriceList'!AV39/'raw-PriceList'!AV40)-1),"")</f>
        <v>-5.4585594746361599E-2</v>
      </c>
      <c r="AS39" s="6">
        <f>IFERROR((('raw-PriceList'!AW39/'raw-PriceList'!AW40)-1),"")</f>
        <v>-2.8137530365009322E-2</v>
      </c>
    </row>
    <row r="40" spans="1:45" x14ac:dyDescent="0.2">
      <c r="A40" s="2">
        <v>42369</v>
      </c>
      <c r="B40" s="6">
        <f>IFERROR((('raw-PriceList'!B40/'raw-PriceList'!B41)-1),"")</f>
        <v>-1.3399353521310831E-2</v>
      </c>
      <c r="C40" s="6">
        <f>IFERROR((('raw-PriceList'!C40/'raw-PriceList'!C41)-1),"")</f>
        <v>-2.0089847592313359E-2</v>
      </c>
      <c r="D40" s="6">
        <f>IFERROR((('raw-PriceList'!D40/'raw-PriceList'!D41)-1),"")</f>
        <v>-6.6916169855852914E-3</v>
      </c>
      <c r="E40" s="6">
        <f>IFERROR((('raw-PriceList'!F40/'raw-PriceList'!F41)-1),"")</f>
        <v>-6.0429417065036573E-3</v>
      </c>
      <c r="F40" s="6">
        <f>IFERROR((('raw-PriceList'!G40/'raw-PriceList'!G41)-1),"")</f>
        <v>-4.3607199123024687E-3</v>
      </c>
      <c r="G40" s="6">
        <f>IFERROR((('raw-PriceList'!H40/'raw-PriceList'!H41)-1),"")</f>
        <v>-2.6572271556886573E-2</v>
      </c>
      <c r="H40" s="6">
        <f>IFERROR((('raw-PriceList'!J40/'raw-PriceList'!J41)-1),"")</f>
        <v>-2.2028538924011132E-2</v>
      </c>
      <c r="I40" s="6">
        <f>IFERROR((('raw-PriceList'!K40/'raw-PriceList'!K41)-1),"")</f>
        <v>-2.9002389231305603E-2</v>
      </c>
      <c r="J40" s="6">
        <f>IFERROR((('raw-PriceList'!L40/'raw-PriceList'!L41)-1),"")</f>
        <v>-1.419650658522309E-2</v>
      </c>
      <c r="K40" s="6">
        <f>IFERROR((('raw-PriceList'!M40/'raw-PriceList'!M41)-1),"")</f>
        <v>-4.7393273116194012E-2</v>
      </c>
      <c r="L40" s="6">
        <f>IFERROR((('raw-PriceList'!N40/'raw-PriceList'!N41)-1),"")</f>
        <v>-3.8194707338669254E-2</v>
      </c>
      <c r="M40" s="6">
        <f>IFERROR((('raw-PriceList'!O40/'raw-PriceList'!O41)-1),"")</f>
        <v>-5.605452693480184E-2</v>
      </c>
      <c r="N40" s="6">
        <f>IFERROR((('raw-PriceList'!P40/'raw-PriceList'!P41)-1),"")</f>
        <v>-1.2788394765051336E-2</v>
      </c>
      <c r="O40" s="6">
        <f>IFERROR((('raw-PriceList'!Q40/'raw-PriceList'!Q41)-1),"")</f>
        <v>-2.0749238911923928E-2</v>
      </c>
      <c r="P40" s="6">
        <f>IFERROR((('raw-PriceList'!R40/'raw-PriceList'!R41)-1),"")</f>
        <v>-6.9579709337753703E-3</v>
      </c>
      <c r="Q40" s="6">
        <f>IFERROR((('raw-PriceList'!S40/'raw-PriceList'!S41)-1),"")</f>
        <v>-2.7334948480753019E-2</v>
      </c>
      <c r="R40" s="6">
        <f>IFERROR((('raw-PriceList'!T40/'raw-PriceList'!T41)-1),"")</f>
        <v>-3.2756717541297609E-2</v>
      </c>
      <c r="S40" s="6">
        <f>IFERROR((('raw-PriceList'!U40/'raw-PriceList'!U41)-1),"")</f>
        <v>-5.2494327173558952E-3</v>
      </c>
      <c r="T40" s="6">
        <f>IFERROR((('raw-PriceList'!V40/'raw-PriceList'!V41)-1),"")</f>
        <v>-3.0093724606651717E-2</v>
      </c>
      <c r="U40" s="6">
        <f>IFERROR((('raw-PriceList'!W40/'raw-PriceList'!W41)-1),"")</f>
        <v>-7.151959820336895E-3</v>
      </c>
      <c r="V40" s="6">
        <f>IFERROR((('raw-PriceList'!X40/'raw-PriceList'!X41)-1),"")</f>
        <v>-2.4554486135481834E-3</v>
      </c>
      <c r="W40" s="6">
        <f>IFERROR((('raw-PriceList'!Y40/'raw-PriceList'!Y41)-1),"")</f>
        <v>-1.4712991307889167E-2</v>
      </c>
      <c r="X40" s="6" t="str">
        <f>IFERROR((('raw-PriceList'!Z40/'raw-PriceList'!Z41)-1),"")</f>
        <v/>
      </c>
      <c r="Y40" s="6">
        <f>IFERROR((('raw-PriceList'!AA40/'raw-PriceList'!AA41)-1),"")</f>
        <v>-6.7367140743592735E-3</v>
      </c>
      <c r="Z40" s="6">
        <f>IFERROR((('raw-PriceList'!AB40/'raw-PriceList'!AB41)-1),"")</f>
        <v>-2.2975908221797292E-2</v>
      </c>
      <c r="AA40" s="6">
        <f>IFERROR((('raw-PriceList'!AC40/'raw-PriceList'!AC41)-1),"")</f>
        <v>-3.470284577845717E-2</v>
      </c>
      <c r="AB40" s="6">
        <f>IFERROR((('raw-PriceList'!AD40/'raw-PriceList'!AD41)-1),"")</f>
        <v>-2.3039992692468481E-2</v>
      </c>
      <c r="AC40" s="6">
        <f>IFERROR((('raw-PriceList'!AE40/'raw-PriceList'!AE41)-1),"")</f>
        <v>-2.3039992692468481E-2</v>
      </c>
      <c r="AD40" s="6">
        <f>IFERROR((('raw-PriceList'!AF40/'raw-PriceList'!AF41)-1),"")</f>
        <v>-2.9117558764679141E-2</v>
      </c>
      <c r="AE40" s="6">
        <f>IFERROR((('raw-PriceList'!AG40/'raw-PriceList'!AG41)-1),"")</f>
        <v>-1.1297209614322679E-2</v>
      </c>
      <c r="AF40" s="6">
        <f>IFERROR((('raw-PriceList'!AH40/'raw-PriceList'!AH41)-1),"")</f>
        <v>-1.9037782164068373E-2</v>
      </c>
      <c r="AG40" s="6">
        <f>IFERROR((('raw-PriceList'!AJ40/'raw-PriceList'!AJ41)-1),"")</f>
        <v>-2.4078445202501131E-2</v>
      </c>
      <c r="AH40" s="6">
        <f>IFERROR((('raw-PriceList'!AK40/'raw-PriceList'!AK41)-1),"")</f>
        <v>-2.8211023835059246E-2</v>
      </c>
      <c r="AI40" s="6">
        <f>IFERROR((('raw-PriceList'!AM40/'raw-PriceList'!AM41)-1),"")</f>
        <v>9.1879349797003851E-3</v>
      </c>
      <c r="AJ40" s="6">
        <f>IFERROR((('raw-PriceList'!AN40/'raw-PriceList'!AN41)-1),"")</f>
        <v>-2.6788278070650429E-2</v>
      </c>
      <c r="AK40" s="6">
        <f>IFERROR((('raw-PriceList'!AO40/'raw-PriceList'!AO41)-1),"")</f>
        <v>4.1196072406601836E-4</v>
      </c>
      <c r="AL40" s="6">
        <f>IFERROR((('raw-PriceList'!AP40/'raw-PriceList'!AP41)-1),"")</f>
        <v>-1.8661589541333679E-2</v>
      </c>
      <c r="AM40" s="6">
        <f>IFERROR((('raw-PriceList'!AQ40/'raw-PriceList'!AQ41)-1),"")</f>
        <v>-2.7806247794703087E-2</v>
      </c>
      <c r="AN40" s="6">
        <f>IFERROR((('raw-PriceList'!AR40/'raw-PriceList'!AR41)-1),"")</f>
        <v>-2.2664967045005091E-2</v>
      </c>
      <c r="AO40" s="6">
        <f>IFERROR((('raw-PriceList'!AS40/'raw-PriceList'!AS41)-1),"")</f>
        <v>-2.4239161308000523E-2</v>
      </c>
      <c r="AP40" s="6">
        <f>IFERROR((('raw-PriceList'!AT40/'raw-PriceList'!AT41)-1),"")</f>
        <v>-2.4239161308000523E-2</v>
      </c>
      <c r="AQ40" s="6">
        <f>IFERROR((('raw-PriceList'!AU40/'raw-PriceList'!AU41)-1),"")</f>
        <v>-4.3152234764928243E-2</v>
      </c>
      <c r="AR40" s="6">
        <f>IFERROR((('raw-PriceList'!AV40/'raw-PriceList'!AV41)-1),"")</f>
        <v>-2.9254868727960015E-2</v>
      </c>
      <c r="AS40" s="6">
        <f>IFERROR((('raw-PriceList'!AW40/'raw-PriceList'!AW41)-1),"")</f>
        <v>-1.9386804849889083E-2</v>
      </c>
    </row>
    <row r="41" spans="1:45" x14ac:dyDescent="0.2">
      <c r="A41" s="2">
        <v>42338</v>
      </c>
      <c r="B41" s="6">
        <f>IFERROR((('raw-PriceList'!B41/'raw-PriceList'!B42)-1),"")</f>
        <v>-6.1198170913827621E-3</v>
      </c>
      <c r="C41" s="6">
        <f>IFERROR((('raw-PriceList'!C41/'raw-PriceList'!C42)-1),"")</f>
        <v>-1.1928460022984755E-2</v>
      </c>
      <c r="D41" s="6">
        <f>IFERROR((('raw-PriceList'!D41/'raw-PriceList'!D42)-1),"")</f>
        <v>-5.9431714113488132E-3</v>
      </c>
      <c r="E41" s="6">
        <f>IFERROR((('raw-PriceList'!F41/'raw-PriceList'!F42)-1),"")</f>
        <v>4.0821691191328391E-4</v>
      </c>
      <c r="F41" s="6">
        <f>IFERROR((('raw-PriceList'!G41/'raw-PriceList'!G42)-1),"")</f>
        <v>-3.9305465923755722E-3</v>
      </c>
      <c r="G41" s="6">
        <f>IFERROR((('raw-PriceList'!H41/'raw-PriceList'!H42)-1),"")</f>
        <v>-1.4278757827151045E-2</v>
      </c>
      <c r="H41" s="6">
        <f>IFERROR((('raw-PriceList'!J41/'raw-PriceList'!J42)-1),"")</f>
        <v>4.1169404794803022E-3</v>
      </c>
      <c r="I41" s="6">
        <f>IFERROR((('raw-PriceList'!K41/'raw-PriceList'!K42)-1),"")</f>
        <v>1.5168921569661542E-3</v>
      </c>
      <c r="J41" s="6">
        <f>IFERROR((('raw-PriceList'!L41/'raw-PriceList'!L42)-1),"")</f>
        <v>5.5238765976546311E-3</v>
      </c>
      <c r="K41" s="6">
        <f>IFERROR((('raw-PriceList'!M41/'raw-PriceList'!M42)-1),"")</f>
        <v>1.8138063881119715E-2</v>
      </c>
      <c r="L41" s="6">
        <f>IFERROR((('raw-PriceList'!N41/'raw-PriceList'!N42)-1),"")</f>
        <v>2.4214507062486845E-2</v>
      </c>
      <c r="M41" s="6">
        <f>IFERROR((('raw-PriceList'!O41/'raw-PriceList'!O42)-1),"")</f>
        <v>1.3140634240824678E-2</v>
      </c>
      <c r="N41" s="6">
        <f>IFERROR((('raw-PriceList'!P41/'raw-PriceList'!P42)-1),"")</f>
        <v>-2.8087168430653842E-3</v>
      </c>
      <c r="O41" s="6">
        <f>IFERROR((('raw-PriceList'!Q41/'raw-PriceList'!Q42)-1),"")</f>
        <v>-6.3037967953379903E-3</v>
      </c>
      <c r="P41" s="6">
        <f>IFERROR((('raw-PriceList'!R41/'raw-PriceList'!R42)-1),"")</f>
        <v>-1.7631573531028399E-3</v>
      </c>
      <c r="Q41" s="6">
        <f>IFERROR((('raw-PriceList'!S41/'raw-PriceList'!S42)-1),"")</f>
        <v>-7.617626585406434E-3</v>
      </c>
      <c r="R41" s="6">
        <f>IFERROR((('raw-PriceList'!T41/'raw-PriceList'!T42)-1),"")</f>
        <v>-1.3212931936712358E-2</v>
      </c>
      <c r="S41" s="6">
        <f>IFERROR((('raw-PriceList'!U41/'raw-PriceList'!U42)-1),"")</f>
        <v>-5.4435513947687086E-3</v>
      </c>
      <c r="T41" s="6">
        <f>IFERROR((('raw-PriceList'!V41/'raw-PriceList'!V42)-1),"")</f>
        <v>-1.2504332314699274E-2</v>
      </c>
      <c r="U41" s="6">
        <f>IFERROR((('raw-PriceList'!W41/'raw-PriceList'!W42)-1),"")</f>
        <v>-1.0717930351024751E-2</v>
      </c>
      <c r="V41" s="6">
        <f>IFERROR((('raw-PriceList'!X41/'raw-PriceList'!X42)-1),"")</f>
        <v>-2.794852337461573E-3</v>
      </c>
      <c r="W41" s="6">
        <f>IFERROR((('raw-PriceList'!Y41/'raw-PriceList'!Y42)-1),"")</f>
        <v>2.6506141654574211E-3</v>
      </c>
      <c r="X41" s="6" t="str">
        <f>IFERROR((('raw-PriceList'!Z41/'raw-PriceList'!Z42)-1),"")</f>
        <v/>
      </c>
      <c r="Y41" s="6">
        <f>IFERROR((('raw-PriceList'!AA41/'raw-PriceList'!AA42)-1),"")</f>
        <v>-3.7369747847110224E-3</v>
      </c>
      <c r="Z41" s="6">
        <f>IFERROR((('raw-PriceList'!AB41/'raw-PriceList'!AB42)-1),"")</f>
        <v>-2.33098404801656E-2</v>
      </c>
      <c r="AA41" s="6">
        <f>IFERROR((('raw-PriceList'!AC41/'raw-PriceList'!AC42)-1),"")</f>
        <v>6.2164177662369369E-3</v>
      </c>
      <c r="AB41" s="6">
        <f>IFERROR((('raw-PriceList'!AD41/'raw-PriceList'!AD42)-1),"")</f>
        <v>4.2246195761663774E-3</v>
      </c>
      <c r="AC41" s="6">
        <f>IFERROR((('raw-PriceList'!AE41/'raw-PriceList'!AE42)-1),"")</f>
        <v>4.2246195761663774E-3</v>
      </c>
      <c r="AD41" s="6">
        <f>IFERROR((('raw-PriceList'!AF41/'raw-PriceList'!AF42)-1),"")</f>
        <v>-2.003529053847819E-4</v>
      </c>
      <c r="AE41" s="6">
        <f>IFERROR((('raw-PriceList'!AG41/'raw-PriceList'!AG42)-1),"")</f>
        <v>-1.0138918225361504E-2</v>
      </c>
      <c r="AF41" s="6">
        <f>IFERROR((('raw-PriceList'!AH41/'raw-PriceList'!AH42)-1),"")</f>
        <v>3.6190469923713664E-4</v>
      </c>
      <c r="AG41" s="6">
        <f>IFERROR((('raw-PriceList'!AJ41/'raw-PriceList'!AJ42)-1),"")</f>
        <v>2.1159317455368143E-3</v>
      </c>
      <c r="AH41" s="6">
        <f>IFERROR((('raw-PriceList'!AK41/'raw-PriceList'!AK42)-1),"")</f>
        <v>-7.673043736180496E-4</v>
      </c>
      <c r="AI41" s="6">
        <f>IFERROR((('raw-PriceList'!AM41/'raw-PriceList'!AM42)-1),"")</f>
        <v>2.1503456975235924E-3</v>
      </c>
      <c r="AJ41" s="6">
        <f>IFERROR((('raw-PriceList'!AN41/'raw-PriceList'!AN42)-1),"")</f>
        <v>5.9908566094126758E-3</v>
      </c>
      <c r="AK41" s="6">
        <f>IFERROR((('raw-PriceList'!AO41/'raw-PriceList'!AO42)-1),"")</f>
        <v>-1.8612155273949327E-3</v>
      </c>
      <c r="AL41" s="6">
        <f>IFERROR((('raw-PriceList'!AP41/'raw-PriceList'!AP42)-1),"")</f>
        <v>5.458751146670604E-3</v>
      </c>
      <c r="AM41" s="6">
        <f>IFERROR((('raw-PriceList'!AQ41/'raw-PriceList'!AQ42)-1),"")</f>
        <v>1.5318666418631111E-3</v>
      </c>
      <c r="AN41" s="6">
        <f>IFERROR((('raw-PriceList'!AR41/'raw-PriceList'!AR42)-1),"")</f>
        <v>3.4202042200384142E-3</v>
      </c>
      <c r="AO41" s="6">
        <f>IFERROR((('raw-PriceList'!AS41/'raw-PriceList'!AS42)-1),"")</f>
        <v>-1.9694414004284289E-3</v>
      </c>
      <c r="AP41" s="6">
        <f>IFERROR((('raw-PriceList'!AT41/'raw-PriceList'!AT42)-1),"")</f>
        <v>-1.9694414004284289E-3</v>
      </c>
      <c r="AQ41" s="6">
        <f>IFERROR((('raw-PriceList'!AU41/'raw-PriceList'!AU42)-1),"")</f>
        <v>1.6468885521770282E-2</v>
      </c>
      <c r="AR41" s="6">
        <f>IFERROR((('raw-PriceList'!AV41/'raw-PriceList'!AV42)-1),"")</f>
        <v>-1.3175000860056296E-2</v>
      </c>
      <c r="AS41" s="6">
        <f>IFERROR((('raw-PriceList'!AW41/'raw-PriceList'!AW42)-1),"")</f>
        <v>2.2009548807930823E-3</v>
      </c>
    </row>
    <row r="42" spans="1:45" x14ac:dyDescent="0.2">
      <c r="A42" s="2">
        <v>42308</v>
      </c>
      <c r="B42" s="6">
        <f>IFERROR((('raw-PriceList'!B42/'raw-PriceList'!B43)-1),"")</f>
        <v>-1.5874314279834545E-3</v>
      </c>
      <c r="C42" s="6">
        <f>IFERROR((('raw-PriceList'!C42/'raw-PriceList'!C43)-1),"")</f>
        <v>3.5602739333504552E-3</v>
      </c>
      <c r="D42" s="6">
        <f>IFERROR((('raw-PriceList'!D42/'raw-PriceList'!D43)-1),"")</f>
        <v>-1.7242061157441979E-3</v>
      </c>
      <c r="E42" s="6">
        <f>IFERROR((('raw-PriceList'!F42/'raw-PriceList'!F43)-1),"")</f>
        <v>4.8236058541533122E-3</v>
      </c>
      <c r="F42" s="6">
        <f>IFERROR((('raw-PriceList'!G42/'raw-PriceList'!G43)-1),"")</f>
        <v>-1.904991740143025E-3</v>
      </c>
      <c r="G42" s="6">
        <f>IFERROR((('raw-PriceList'!H42/'raw-PriceList'!H43)-1),"")</f>
        <v>-4.3520185419669843E-3</v>
      </c>
      <c r="H42" s="6">
        <f>IFERROR((('raw-PriceList'!J42/'raw-PriceList'!J43)-1),"")</f>
        <v>8.8201899683733265E-2</v>
      </c>
      <c r="I42" s="6">
        <f>IFERROR((('raw-PriceList'!K42/'raw-PriceList'!K43)-1),"")</f>
        <v>9.8155588020452766E-2</v>
      </c>
      <c r="J42" s="6">
        <f>IFERROR((('raw-PriceList'!L42/'raw-PriceList'!L43)-1),"")</f>
        <v>7.8028416231205266E-2</v>
      </c>
      <c r="K42" s="6">
        <f>IFERROR((('raw-PriceList'!M42/'raw-PriceList'!M43)-1),"")</f>
        <v>5.6718174354438711E-2</v>
      </c>
      <c r="L42" s="6">
        <f>IFERROR((('raw-PriceList'!N42/'raw-PriceList'!N43)-1),"")</f>
        <v>4.6562611077158644E-2</v>
      </c>
      <c r="M42" s="6">
        <f>IFERROR((('raw-PriceList'!O42/'raw-PriceList'!O43)-1),"")</f>
        <v>6.637246586084955E-2</v>
      </c>
      <c r="N42" s="6">
        <f>IFERROR((('raw-PriceList'!P42/'raw-PriceList'!P43)-1),"")</f>
        <v>-3.1252509272050588E-5</v>
      </c>
      <c r="O42" s="6">
        <f>IFERROR((('raw-PriceList'!Q42/'raw-PriceList'!Q43)-1),"")</f>
        <v>5.6574968691511796E-3</v>
      </c>
      <c r="P42" s="6">
        <f>IFERROR((('raw-PriceList'!R42/'raw-PriceList'!R43)-1),"")</f>
        <v>-3.3798423392616961E-4</v>
      </c>
      <c r="Q42" s="6">
        <f>IFERROR((('raw-PriceList'!S42/'raw-PriceList'!S43)-1),"")</f>
        <v>6.7339305905888436E-2</v>
      </c>
      <c r="R42" s="6">
        <f>IFERROR((('raw-PriceList'!T42/'raw-PriceList'!T43)-1),"")</f>
        <v>6.6825669850561598E-2</v>
      </c>
      <c r="S42" s="6">
        <f>IFERROR((('raw-PriceList'!U42/'raw-PriceList'!U43)-1),"")</f>
        <v>-7.6423965823110285E-3</v>
      </c>
      <c r="T42" s="6">
        <f>IFERROR((('raw-PriceList'!V42/'raw-PriceList'!V43)-1),"")</f>
        <v>5.8951665392782404E-2</v>
      </c>
      <c r="U42" s="6">
        <f>IFERROR((('raw-PriceList'!W42/'raw-PriceList'!W43)-1),"")</f>
        <v>-6.0794854455390457E-3</v>
      </c>
      <c r="V42" s="6">
        <f>IFERROR((('raw-PriceList'!X42/'raw-PriceList'!X43)-1),"")</f>
        <v>-2.070029743402868E-3</v>
      </c>
      <c r="W42" s="6">
        <f>IFERROR((('raw-PriceList'!Y42/'raw-PriceList'!Y43)-1),"")</f>
        <v>6.7407599675940233E-2</v>
      </c>
      <c r="X42" s="6" t="str">
        <f>IFERROR((('raw-PriceList'!Z42/'raw-PriceList'!Z43)-1),"")</f>
        <v/>
      </c>
      <c r="Y42" s="6">
        <f>IFERROR((('raw-PriceList'!AA42/'raw-PriceList'!AA43)-1),"")</f>
        <v>-1.5092134548450042E-3</v>
      </c>
      <c r="Z42" s="6">
        <f>IFERROR((('raw-PriceList'!AB42/'raw-PriceList'!AB43)-1),"")</f>
        <v>5.0547862941173749E-2</v>
      </c>
      <c r="AA42" s="6">
        <f>IFERROR((('raw-PriceList'!AC42/'raw-PriceList'!AC43)-1),"")</f>
        <v>6.3065246040679757E-2</v>
      </c>
      <c r="AB42" s="6">
        <f>IFERROR((('raw-PriceList'!AD42/'raw-PriceList'!AD43)-1),"")</f>
        <v>8.4483795473068612E-2</v>
      </c>
      <c r="AC42" s="6">
        <f>IFERROR((('raw-PriceList'!AE42/'raw-PriceList'!AE43)-1),"")</f>
        <v>8.4483795473068612E-2</v>
      </c>
      <c r="AD42" s="6">
        <f>IFERROR((('raw-PriceList'!AF42/'raw-PriceList'!AF43)-1),"")</f>
        <v>5.6018277398569349E-2</v>
      </c>
      <c r="AE42" s="6">
        <f>IFERROR((('raw-PriceList'!AG42/'raw-PriceList'!AG43)-1),"")</f>
        <v>8.7904794073319081E-2</v>
      </c>
      <c r="AF42" s="6">
        <f>IFERROR((('raw-PriceList'!AH42/'raw-PriceList'!AH43)-1),"")</f>
        <v>7.5619682551626433E-2</v>
      </c>
      <c r="AG42" s="6">
        <f>IFERROR((('raw-PriceList'!AJ42/'raw-PriceList'!AJ43)-1),"")</f>
        <v>4.6971561253448257E-2</v>
      </c>
      <c r="AH42" s="6">
        <f>IFERROR((('raw-PriceList'!AK42/'raw-PriceList'!AK43)-1),"")</f>
        <v>7.2832818079139328E-2</v>
      </c>
      <c r="AI42" s="6">
        <f>IFERROR((('raw-PriceList'!AM42/'raw-PriceList'!AM43)-1),"")</f>
        <v>3.5394710836378351E-3</v>
      </c>
      <c r="AJ42" s="6">
        <f>IFERROR((('raw-PriceList'!AN42/'raw-PriceList'!AN43)-1),"")</f>
        <v>7.9025572605805339E-2</v>
      </c>
      <c r="AK42" s="6">
        <f>IFERROR((('raw-PriceList'!AO42/'raw-PriceList'!AO43)-1),"")</f>
        <v>8.2306483134098052E-4</v>
      </c>
      <c r="AL42" s="6">
        <f>IFERROR((('raw-PriceList'!AP42/'raw-PriceList'!AP43)-1),"")</f>
        <v>7.6491991095643863E-2</v>
      </c>
      <c r="AM42" s="6">
        <f>IFERROR((('raw-PriceList'!AQ42/'raw-PriceList'!AQ43)-1),"")</f>
        <v>8.9643858803015508E-2</v>
      </c>
      <c r="AN42" s="6">
        <f>IFERROR((('raw-PriceList'!AR42/'raw-PriceList'!AR43)-1),"")</f>
        <v>8.2801333946913802E-2</v>
      </c>
      <c r="AO42" s="6">
        <f>IFERROR((('raw-PriceList'!AS42/'raw-PriceList'!AS43)-1),"")</f>
        <v>2.3755427083319125E-2</v>
      </c>
      <c r="AP42" s="6">
        <f>IFERROR((('raw-PriceList'!AT42/'raw-PriceList'!AT43)-1),"")</f>
        <v>2.3755427083319125E-2</v>
      </c>
      <c r="AQ42" s="6">
        <f>IFERROR((('raw-PriceList'!AU42/'raw-PriceList'!AU43)-1),"")</f>
        <v>5.547177147530391E-2</v>
      </c>
      <c r="AR42" s="6">
        <f>IFERROR((('raw-PriceList'!AV42/'raw-PriceList'!AV43)-1),"")</f>
        <v>6.249385156204168E-2</v>
      </c>
      <c r="AS42" s="6">
        <f>IFERROR((('raw-PriceList'!AW42/'raw-PriceList'!AW43)-1),"")</f>
        <v>8.4137491588102353E-2</v>
      </c>
    </row>
    <row r="43" spans="1:45" x14ac:dyDescent="0.2">
      <c r="A43" s="2">
        <v>42277</v>
      </c>
      <c r="B43" s="6">
        <f>IFERROR((('raw-PriceList'!B43/'raw-PriceList'!B44)-1),"")</f>
        <v>8.7024652387661661E-3</v>
      </c>
      <c r="C43" s="6">
        <f>IFERROR((('raw-PriceList'!C43/'raw-PriceList'!C44)-1),"")</f>
        <v>7.45202529662925E-3</v>
      </c>
      <c r="D43" s="6">
        <f>IFERROR((('raw-PriceList'!D43/'raw-PriceList'!D44)-1),"")</f>
        <v>5.9673456688027482E-3</v>
      </c>
      <c r="E43" s="6">
        <f>IFERROR((('raw-PriceList'!F43/'raw-PriceList'!F44)-1),"")</f>
        <v>6.9182909224565492E-3</v>
      </c>
      <c r="F43" s="6">
        <f>IFERROR((('raw-PriceList'!G43/'raw-PriceList'!G44)-1),"")</f>
        <v>3.974619882091579E-3</v>
      </c>
      <c r="G43" s="6">
        <f>IFERROR((('raw-PriceList'!H43/'raw-PriceList'!H44)-1),"")</f>
        <v>1.4701357665614978E-2</v>
      </c>
      <c r="H43" s="6">
        <f>IFERROR((('raw-PriceList'!J43/'raw-PriceList'!J44)-1),"")</f>
        <v>-3.0191375760258987E-2</v>
      </c>
      <c r="I43" s="6">
        <f>IFERROR((('raw-PriceList'!K43/'raw-PriceList'!K44)-1),"")</f>
        <v>-3.1035591365959569E-2</v>
      </c>
      <c r="J43" s="6">
        <f>IFERROR((('raw-PriceList'!L43/'raw-PriceList'!L44)-1),"")</f>
        <v>-2.8473643250658487E-2</v>
      </c>
      <c r="K43" s="6">
        <f>IFERROR((('raw-PriceList'!M43/'raw-PriceList'!M44)-1),"")</f>
        <v>-5.356561875969712E-2</v>
      </c>
      <c r="L43" s="6">
        <f>IFERROR((('raw-PriceList'!N43/'raw-PriceList'!N44)-1),"")</f>
        <v>-6.1393418627180507E-2</v>
      </c>
      <c r="M43" s="6">
        <f>IFERROR((('raw-PriceList'!O43/'raw-PriceList'!O44)-1),"")</f>
        <v>-4.6934443620017308E-2</v>
      </c>
      <c r="N43" s="6">
        <f>IFERROR((('raw-PriceList'!P43/'raw-PriceList'!P44)-1),"")</f>
        <v>1.4398153799097813E-2</v>
      </c>
      <c r="O43" s="6">
        <f>IFERROR((('raw-PriceList'!Q43/'raw-PriceList'!Q44)-1),"")</f>
        <v>1.0209303401512049E-2</v>
      </c>
      <c r="P43" s="6">
        <f>IFERROR((('raw-PriceList'!R43/'raw-PriceList'!R44)-1),"")</f>
        <v>4.3745839407394183E-3</v>
      </c>
      <c r="Q43" s="6">
        <f>IFERROR((('raw-PriceList'!S43/'raw-PriceList'!S44)-1),"")</f>
        <v>-4.4964308787736829E-2</v>
      </c>
      <c r="R43" s="6">
        <f>IFERROR((('raw-PriceList'!T43/'raw-PriceList'!T44)-1),"")</f>
        <v>-4.5400724498464662E-2</v>
      </c>
      <c r="S43" s="6">
        <f>IFERROR((('raw-PriceList'!U43/'raw-PriceList'!U44)-1),"")</f>
        <v>1.0891172970673768E-2</v>
      </c>
      <c r="T43" s="6">
        <f>IFERROR((('raw-PriceList'!V43/'raw-PriceList'!V44)-1),"")</f>
        <v>-4.560202304785721E-2</v>
      </c>
      <c r="U43" s="6">
        <f>IFERROR((('raw-PriceList'!W43/'raw-PriceList'!W44)-1),"")</f>
        <v>1.648412148118128E-2</v>
      </c>
      <c r="V43" s="6">
        <f>IFERROR((('raw-PriceList'!X43/'raw-PriceList'!X44)-1),"")</f>
        <v>2.2622063348327615E-3</v>
      </c>
      <c r="W43" s="6">
        <f>IFERROR((('raw-PriceList'!Y43/'raw-PriceList'!Y44)-1),"")</f>
        <v>-2.4241439422469591E-2</v>
      </c>
      <c r="X43" s="6" t="str">
        <f>IFERROR((('raw-PriceList'!Z43/'raw-PriceList'!Z44)-1),"")</f>
        <v/>
      </c>
      <c r="Y43" s="6">
        <f>IFERROR((('raw-PriceList'!AA43/'raw-PriceList'!AA44)-1),"")</f>
        <v>5.6512486932016603E-3</v>
      </c>
      <c r="Z43" s="6">
        <f>IFERROR((('raw-PriceList'!AB43/'raw-PriceList'!AB44)-1),"")</f>
        <v>-5.6940361441870646E-4</v>
      </c>
      <c r="AA43" s="6">
        <f>IFERROR((('raw-PriceList'!AC43/'raw-PriceList'!AC44)-1),"")</f>
        <v>-4.7476336326150892E-2</v>
      </c>
      <c r="AB43" s="6">
        <f>IFERROR((('raw-PriceList'!AD43/'raw-PriceList'!AD44)-1),"")</f>
        <v>-2.9653003291016944E-2</v>
      </c>
      <c r="AC43" s="6">
        <f>IFERROR((('raw-PriceList'!AE43/'raw-PriceList'!AE44)-1),"")</f>
        <v>-2.9653003291016944E-2</v>
      </c>
      <c r="AD43" s="6">
        <f>IFERROR((('raw-PriceList'!AF43/'raw-PriceList'!AF44)-1),"")</f>
        <v>-4.4563087608789576E-2</v>
      </c>
      <c r="AE43" s="6">
        <f>IFERROR((('raw-PriceList'!AG43/'raw-PriceList'!AG44)-1),"")</f>
        <v>-5.8643533251139579E-2</v>
      </c>
      <c r="AF43" s="6">
        <f>IFERROR((('raw-PriceList'!AH43/'raw-PriceList'!AH44)-1),"")</f>
        <v>-4.1936391630922887E-2</v>
      </c>
      <c r="AG43" s="6">
        <f>IFERROR((('raw-PriceList'!AJ43/'raw-PriceList'!AJ44)-1),"")</f>
        <v>-2.8061527105932682E-2</v>
      </c>
      <c r="AH43" s="6">
        <f>IFERROR((('raw-PriceList'!AK43/'raw-PriceList'!AK44)-1),"")</f>
        <v>-4.1931758519272222E-2</v>
      </c>
      <c r="AI43" s="6">
        <f>IFERROR((('raw-PriceList'!AM43/'raw-PriceList'!AM44)-1),"")</f>
        <v>5.2646269371945387E-3</v>
      </c>
      <c r="AJ43" s="6">
        <f>IFERROR((('raw-PriceList'!AN43/'raw-PriceList'!AN44)-1),"")</f>
        <v>-3.4093924455284697E-2</v>
      </c>
      <c r="AK43" s="6">
        <f>IFERROR((('raw-PriceList'!AO43/'raw-PriceList'!AO44)-1),"")</f>
        <v>-6.2775585647256715E-4</v>
      </c>
      <c r="AL43" s="6">
        <f>IFERROR((('raw-PriceList'!AP43/'raw-PriceList'!AP44)-1),"")</f>
        <v>-3.196232938654453E-2</v>
      </c>
      <c r="AM43" s="6">
        <f>IFERROR((('raw-PriceList'!AQ43/'raw-PriceList'!AQ44)-1),"")</f>
        <v>-3.1801789600024111E-2</v>
      </c>
      <c r="AN43" s="6">
        <f>IFERROR((('raw-PriceList'!AR43/'raw-PriceList'!AR44)-1),"")</f>
        <v>-3.2079352109762205E-2</v>
      </c>
      <c r="AO43" s="6">
        <f>IFERROR((('raw-PriceList'!AS43/'raw-PriceList'!AS44)-1),"")</f>
        <v>-1.8038170293140032E-2</v>
      </c>
      <c r="AP43" s="6">
        <f>IFERROR((('raw-PriceList'!AT43/'raw-PriceList'!AT44)-1),"")</f>
        <v>-1.8038170293140032E-2</v>
      </c>
      <c r="AQ43" s="6">
        <f>IFERROR((('raw-PriceList'!AU43/'raw-PriceList'!AU44)-1),"")</f>
        <v>-5.5403101908117924E-2</v>
      </c>
      <c r="AR43" s="6">
        <f>IFERROR((('raw-PriceList'!AV43/'raw-PriceList'!AV44)-1),"")</f>
        <v>-4.336688441195824E-2</v>
      </c>
      <c r="AS43" s="6">
        <f>IFERROR((('raw-PriceList'!AW43/'raw-PriceList'!AW44)-1),"")</f>
        <v>-2.383533328378451E-2</v>
      </c>
    </row>
    <row r="44" spans="1:45" x14ac:dyDescent="0.2">
      <c r="A44" s="2">
        <v>42247</v>
      </c>
      <c r="B44" s="6">
        <f>IFERROR((('raw-PriceList'!B44/'raw-PriceList'!B45)-1),"")</f>
        <v>-4.1502471642503869E-3</v>
      </c>
      <c r="C44" s="6">
        <f>IFERROR((('raw-PriceList'!C44/'raw-PriceList'!C45)-1),"")</f>
        <v>-1.4577883110024059E-2</v>
      </c>
      <c r="D44" s="6">
        <f>IFERROR((('raw-PriceList'!D44/'raw-PriceList'!D45)-1),"")</f>
        <v>-4.4667337677053442E-3</v>
      </c>
      <c r="E44" s="6">
        <f>IFERROR((('raw-PriceList'!F44/'raw-PriceList'!F45)-1),"")</f>
        <v>-7.8256790771289442E-3</v>
      </c>
      <c r="F44" s="6">
        <f>IFERROR((('raw-PriceList'!G44/'raw-PriceList'!G45)-1),"")</f>
        <v>-1.8774348314085643E-3</v>
      </c>
      <c r="G44" s="6">
        <f>IFERROR((('raw-PriceList'!H44/'raw-PriceList'!H45)-1),"")</f>
        <v>-8.0423409142860169E-3</v>
      </c>
      <c r="H44" s="6">
        <f>IFERROR((('raw-PriceList'!J44/'raw-PriceList'!J45)-1),"")</f>
        <v>-6.3143315999393712E-2</v>
      </c>
      <c r="I44" s="6">
        <f>IFERROR((('raw-PriceList'!K44/'raw-PriceList'!K45)-1),"")</f>
        <v>-6.5342124069765584E-2</v>
      </c>
      <c r="J44" s="6">
        <f>IFERROR((('raw-PriceList'!L44/'raw-PriceList'!L45)-1),"")</f>
        <v>-6.0787940926317119E-2</v>
      </c>
      <c r="K44" s="6">
        <f>IFERROR((('raw-PriceList'!M44/'raw-PriceList'!M45)-1),"")</f>
        <v>-5.8285708341276443E-2</v>
      </c>
      <c r="L44" s="6">
        <f>IFERROR((('raw-PriceList'!N44/'raw-PriceList'!N45)-1),"")</f>
        <v>-6.9833702175006063E-2</v>
      </c>
      <c r="M44" s="6">
        <f>IFERROR((('raw-PriceList'!O44/'raw-PriceList'!O45)-1),"")</f>
        <v>-4.8365903878395344E-2</v>
      </c>
      <c r="N44" s="6">
        <f>IFERROR((('raw-PriceList'!P44/'raw-PriceList'!P45)-1),"")</f>
        <v>-1.1985380946381352E-2</v>
      </c>
      <c r="O44" s="6">
        <f>IFERROR((('raw-PriceList'!Q44/'raw-PriceList'!Q45)-1),"")</f>
        <v>-2.4874301402513677E-2</v>
      </c>
      <c r="P44" s="6">
        <f>IFERROR((('raw-PriceList'!R44/'raw-PriceList'!R45)-1),"")</f>
        <v>-4.9125745055200731E-3</v>
      </c>
      <c r="Q44" s="6">
        <f>IFERROR((('raw-PriceList'!S44/'raw-PriceList'!S45)-1),"")</f>
        <v>-7.2347697692223489E-2</v>
      </c>
      <c r="R44" s="6">
        <f>IFERROR((('raw-PriceList'!T44/'raw-PriceList'!T45)-1),"")</f>
        <v>-7.7431160366351448E-2</v>
      </c>
      <c r="S44" s="6">
        <f>IFERROR((('raw-PriceList'!U44/'raw-PriceList'!U45)-1),"")</f>
        <v>-2.1783235714160076E-3</v>
      </c>
      <c r="T44" s="6">
        <f>IFERROR((('raw-PriceList'!V44/'raw-PriceList'!V45)-1),"")</f>
        <v>-7.0163703338269157E-2</v>
      </c>
      <c r="U44" s="6">
        <f>IFERROR((('raw-PriceList'!W44/'raw-PriceList'!W45)-1),"")</f>
        <v>-8.2980952441240596E-3</v>
      </c>
      <c r="V44" s="6">
        <f>IFERROR((('raw-PriceList'!X44/'raw-PriceList'!X45)-1),"")</f>
        <v>-1.3092661241209669E-3</v>
      </c>
      <c r="W44" s="6">
        <f>IFERROR((('raw-PriceList'!Y44/'raw-PriceList'!Y45)-1),"")</f>
        <v>-5.8660996898759143E-2</v>
      </c>
      <c r="X44" s="6" t="str">
        <f>IFERROR((('raw-PriceList'!Z44/'raw-PriceList'!Z45)-1),"")</f>
        <v/>
      </c>
      <c r="Y44" s="6">
        <f>IFERROR((('raw-PriceList'!AA44/'raw-PriceList'!AA45)-1),"")</f>
        <v>-2.4574269718732333E-3</v>
      </c>
      <c r="Z44" s="6">
        <f>IFERROR((('raw-PriceList'!AB44/'raw-PriceList'!AB45)-1),"")</f>
        <v>-7.443084663683841E-2</v>
      </c>
      <c r="AA44" s="6">
        <f>IFERROR((('raw-PriceList'!AC44/'raw-PriceList'!AC45)-1),"")</f>
        <v>-4.4081169926452946E-2</v>
      </c>
      <c r="AB44" s="6">
        <f>IFERROR((('raw-PriceList'!AD44/'raw-PriceList'!AD45)-1),"")</f>
        <v>-6.1517835653644992E-2</v>
      </c>
      <c r="AC44" s="6">
        <f>IFERROR((('raw-PriceList'!AE44/'raw-PriceList'!AE45)-1),"")</f>
        <v>-6.1517835653644992E-2</v>
      </c>
      <c r="AD44" s="6">
        <f>IFERROR((('raw-PriceList'!AF44/'raw-PriceList'!AF45)-1),"")</f>
        <v>-5.8571504662816909E-2</v>
      </c>
      <c r="AE44" s="6">
        <f>IFERROR((('raw-PriceList'!AG44/'raw-PriceList'!AG45)-1),"")</f>
        <v>-3.1250795519817465E-2</v>
      </c>
      <c r="AF44" s="6">
        <f>IFERROR((('raw-PriceList'!AH44/'raw-PriceList'!AH45)-1),"")</f>
        <v>-7.6767823873215013E-2</v>
      </c>
      <c r="AG44" s="6">
        <f>IFERROR((('raw-PriceList'!AJ44/'raw-PriceList'!AJ45)-1),"")</f>
        <v>-5.6832779439918379E-2</v>
      </c>
      <c r="AH44" s="6">
        <f>IFERROR((('raw-PriceList'!AK44/'raw-PriceList'!AK45)-1),"")</f>
        <v>-6.6323547654139503E-2</v>
      </c>
      <c r="AI44" s="6" t="str">
        <f>IFERROR((('raw-PriceList'!AM44/'raw-PriceList'!AM45)-1),"")</f>
        <v/>
      </c>
      <c r="AJ44" s="6">
        <f>IFERROR((('raw-PriceList'!AN44/'raw-PriceList'!AN45)-1),"")</f>
        <v>-6.0921572531573043E-2</v>
      </c>
      <c r="AK44" s="6">
        <f>IFERROR((('raw-PriceList'!AO44/'raw-PriceList'!AO45)-1),"")</f>
        <v>-3.9028629911552759E-3</v>
      </c>
      <c r="AL44" s="6">
        <f>IFERROR((('raw-PriceList'!AP44/'raw-PriceList'!AP45)-1),"")</f>
        <v>-5.8400910209452817E-2</v>
      </c>
      <c r="AM44" s="6">
        <f>IFERROR((('raw-PriceList'!AQ44/'raw-PriceList'!AQ45)-1),"")</f>
        <v>-6.3004471122230843E-2</v>
      </c>
      <c r="AN44" s="6">
        <f>IFERROR((('raw-PriceList'!AR44/'raw-PriceList'!AR45)-1),"")</f>
        <v>-6.0333444719150142E-2</v>
      </c>
      <c r="AO44" s="6">
        <f>IFERROR((('raw-PriceList'!AS44/'raw-PriceList'!AS45)-1),"")</f>
        <v>-1.6768229199202067E-2</v>
      </c>
      <c r="AP44" s="6">
        <f>IFERROR((('raw-PriceList'!AT44/'raw-PriceList'!AT45)-1),"")</f>
        <v>-1.6768229199202067E-2</v>
      </c>
      <c r="AQ44" s="6">
        <f>IFERROR((('raw-PriceList'!AU44/'raw-PriceList'!AU45)-1),"")</f>
        <v>-5.8809877323591331E-2</v>
      </c>
      <c r="AR44" s="6">
        <f>IFERROR((('raw-PriceList'!AV44/'raw-PriceList'!AV45)-1),"")</f>
        <v>-7.4353257090795766E-2</v>
      </c>
      <c r="AS44" s="6">
        <f>IFERROR((('raw-PriceList'!AW44/'raw-PriceList'!AW45)-1),"")</f>
        <v>-5.6605640131841994E-2</v>
      </c>
    </row>
    <row r="45" spans="1:45" x14ac:dyDescent="0.2">
      <c r="A45" s="2">
        <v>42216</v>
      </c>
      <c r="B45" s="6">
        <f>IFERROR((('raw-PriceList'!B45/'raw-PriceList'!B46)-1),"")</f>
        <v>7.0548663470784145E-3</v>
      </c>
      <c r="C45" s="6">
        <f>IFERROR((('raw-PriceList'!C45/'raw-PriceList'!C46)-1),"")</f>
        <v>2.716824205573154E-2</v>
      </c>
      <c r="D45" s="6">
        <f>IFERROR((('raw-PriceList'!D45/'raw-PriceList'!D46)-1),"")</f>
        <v>6.726153609119212E-3</v>
      </c>
      <c r="E45" s="6">
        <f>IFERROR((('raw-PriceList'!F45/'raw-PriceList'!F46)-1),"")</f>
        <v>1.1573546332564577E-2</v>
      </c>
      <c r="F45" s="6">
        <f>IFERROR((('raw-PriceList'!G45/'raw-PriceList'!G46)-1),"")</f>
        <v>3.7984454556450054E-4</v>
      </c>
      <c r="G45" s="6">
        <f>IFERROR((('raw-PriceList'!H45/'raw-PriceList'!H46)-1),"")</f>
        <v>7.0199032984471055E-2</v>
      </c>
      <c r="H45" s="6">
        <f>IFERROR((('raw-PriceList'!J45/'raw-PriceList'!J46)-1),"")</f>
        <v>2.2039680785297167E-2</v>
      </c>
      <c r="I45" s="6">
        <f>IFERROR((('raw-PriceList'!K45/'raw-PriceList'!K46)-1),"")</f>
        <v>3.4969920687336842E-2</v>
      </c>
      <c r="J45" s="6">
        <f>IFERROR((('raw-PriceList'!L45/'raw-PriceList'!L46)-1),"")</f>
        <v>1.0840359538674793E-2</v>
      </c>
      <c r="K45" s="6">
        <f>IFERROR((('raw-PriceList'!M45/'raw-PriceList'!M46)-1),"")</f>
        <v>-2.8053132834474637E-3</v>
      </c>
      <c r="L45" s="6">
        <f>IFERROR((('raw-PriceList'!N45/'raw-PriceList'!N46)-1),"")</f>
        <v>5.1075424416127113E-3</v>
      </c>
      <c r="M45" s="6">
        <f>IFERROR((('raw-PriceList'!O45/'raw-PriceList'!O46)-1),"")</f>
        <v>-9.6403782586683695E-3</v>
      </c>
      <c r="N45" s="6">
        <f>IFERROR((('raw-PriceList'!P45/'raw-PriceList'!P46)-1),"")</f>
        <v>-6.9201831955245652E-4</v>
      </c>
      <c r="O45" s="6">
        <f>IFERROR((('raw-PriceList'!Q45/'raw-PriceList'!Q46)-1),"")</f>
        <v>2.3744342873004642E-2</v>
      </c>
      <c r="P45" s="6">
        <f>IFERROR((('raw-PriceList'!R45/'raw-PriceList'!R46)-1),"")</f>
        <v>2.1800980384396595E-3</v>
      </c>
      <c r="Q45" s="6">
        <f>IFERROR((('raw-PriceList'!S45/'raw-PriceList'!S46)-1),"")</f>
        <v>1.4596559332002323E-2</v>
      </c>
      <c r="R45" s="6">
        <f>IFERROR((('raw-PriceList'!T45/'raw-PriceList'!T46)-1),"")</f>
        <v>-2.9736858257054521E-3</v>
      </c>
      <c r="S45" s="6">
        <f>IFERROR((('raw-PriceList'!U45/'raw-PriceList'!U46)-1),"")</f>
        <v>7.4398442891816519E-3</v>
      </c>
      <c r="T45" s="6">
        <f>IFERROR((('raw-PriceList'!V45/'raw-PriceList'!V46)-1),"")</f>
        <v>2.6646837151589553E-2</v>
      </c>
      <c r="U45" s="6">
        <f>IFERROR((('raw-PriceList'!W45/'raw-PriceList'!W46)-1),"")</f>
        <v>3.7874665069438818E-2</v>
      </c>
      <c r="V45" s="6">
        <f>IFERROR((('raw-PriceList'!X45/'raw-PriceList'!X46)-1),"")</f>
        <v>6.4147082715049208E-4</v>
      </c>
      <c r="W45" s="6">
        <f>IFERROR((('raw-PriceList'!Y45/'raw-PriceList'!Y46)-1),"")</f>
        <v>2.1628721184568933E-2</v>
      </c>
      <c r="X45" s="6" t="str">
        <f>IFERROR((('raw-PriceList'!Z45/'raw-PriceList'!Z46)-1),"")</f>
        <v/>
      </c>
      <c r="Y45" s="6">
        <f>IFERROR((('raw-PriceList'!AA45/'raw-PriceList'!AA46)-1),"")</f>
        <v>6.7785112184626239E-3</v>
      </c>
      <c r="Z45" s="6">
        <f>IFERROR((('raw-PriceList'!AB45/'raw-PriceList'!AB46)-1),"")</f>
        <v>-6.4796428650634175E-3</v>
      </c>
      <c r="AA45" s="6">
        <f>IFERROR((('raw-PriceList'!AC45/'raw-PriceList'!AC46)-1),"")</f>
        <v>9.3845441598034984E-3</v>
      </c>
      <c r="AB45" s="6">
        <f>IFERROR((('raw-PriceList'!AD45/'raw-PriceList'!AD46)-1),"")</f>
        <v>2.1713034736259518E-2</v>
      </c>
      <c r="AC45" s="6">
        <f>IFERROR((('raw-PriceList'!AE45/'raw-PriceList'!AE46)-1),"")</f>
        <v>2.1713034736259518E-2</v>
      </c>
      <c r="AD45" s="6">
        <f>IFERROR((('raw-PriceList'!AF45/'raw-PriceList'!AF46)-1),"")</f>
        <v>1.4648799795982992E-2</v>
      </c>
      <c r="AE45" s="6">
        <f>IFERROR((('raw-PriceList'!AG45/'raw-PriceList'!AG46)-1),"")</f>
        <v>-6.0788931206932073E-3</v>
      </c>
      <c r="AF45" s="6">
        <f>IFERROR((('raw-PriceList'!AH45/'raw-PriceList'!AH46)-1),"")</f>
        <v>-5.4084885152364537E-3</v>
      </c>
      <c r="AG45" s="6">
        <f>IFERROR((('raw-PriceList'!AJ45/'raw-PriceList'!AJ46)-1),"")</f>
        <v>-2.919784375251433E-2</v>
      </c>
      <c r="AH45" s="6">
        <f>IFERROR((('raw-PriceList'!AK45/'raw-PriceList'!AK46)-1),"")</f>
        <v>5.0471120684820736E-3</v>
      </c>
      <c r="AI45" s="6" t="str">
        <f>IFERROR((('raw-PriceList'!AM45/'raw-PriceList'!AM46)-1),"")</f>
        <v/>
      </c>
      <c r="AJ45" s="6">
        <f>IFERROR((('raw-PriceList'!AN45/'raw-PriceList'!AN46)-1),"")</f>
        <v>1.7056510859508212E-2</v>
      </c>
      <c r="AK45" s="6">
        <f>IFERROR((('raw-PriceList'!AO45/'raw-PriceList'!AO46)-1),"")</f>
        <v>-1.6361999323334375E-3</v>
      </c>
      <c r="AL45" s="6">
        <f>IFERROR((('raw-PriceList'!AP45/'raw-PriceList'!AP46)-1),"")</f>
        <v>1.0073940180154617E-2</v>
      </c>
      <c r="AM45" s="6">
        <f>IFERROR((('raw-PriceList'!AQ45/'raw-PriceList'!AQ46)-1),"")</f>
        <v>3.2653490516549422E-2</v>
      </c>
      <c r="AN45" s="6">
        <f>IFERROR((('raw-PriceList'!AR45/'raw-PriceList'!AR46)-1),"")</f>
        <v>2.0999587848404166E-2</v>
      </c>
      <c r="AO45" s="6">
        <f>IFERROR((('raw-PriceList'!AS45/'raw-PriceList'!AS46)-1),"")</f>
        <v>-1.3101090509820557E-3</v>
      </c>
      <c r="AP45" s="6">
        <f>IFERROR((('raw-PriceList'!AT45/'raw-PriceList'!AT46)-1),"")</f>
        <v>-1.3101090509820557E-3</v>
      </c>
      <c r="AQ45" s="6">
        <f>IFERROR((('raw-PriceList'!AU45/'raw-PriceList'!AU46)-1),"")</f>
        <v>-1.833060599165881E-3</v>
      </c>
      <c r="AR45" s="6">
        <f>IFERROR((('raw-PriceList'!AV45/'raw-PriceList'!AV46)-1),"")</f>
        <v>-5.5554882227265567E-3</v>
      </c>
      <c r="AS45" s="6">
        <f>IFERROR((('raw-PriceList'!AW45/'raw-PriceList'!AW46)-1),"")</f>
        <v>1.0527884075778982E-2</v>
      </c>
    </row>
    <row r="46" spans="1:45" x14ac:dyDescent="0.2">
      <c r="A46" s="2">
        <v>42185</v>
      </c>
      <c r="B46" s="6">
        <f>IFERROR((('raw-PriceList'!B46/'raw-PriceList'!B47)-1),"")</f>
        <v>-1.5743831583849066E-2</v>
      </c>
      <c r="C46" s="6">
        <f>IFERROR((('raw-PriceList'!C46/'raw-PriceList'!C47)-1),"")</f>
        <v>-3.7530524757227401E-2</v>
      </c>
      <c r="D46" s="6">
        <f>IFERROR((('raw-PriceList'!D46/'raw-PriceList'!D47)-1),"")</f>
        <v>-1.3150798322486335E-2</v>
      </c>
      <c r="E46" s="6">
        <f>IFERROR((('raw-PriceList'!F46/'raw-PriceList'!F47)-1),"")</f>
        <v>-1.4387839328642738E-2</v>
      </c>
      <c r="F46" s="6">
        <f>IFERROR((('raw-PriceList'!G46/'raw-PriceList'!G47)-1),"")</f>
        <v>-2.3616415567300209E-3</v>
      </c>
      <c r="G46" s="6">
        <f>IFERROR((('raw-PriceList'!H46/'raw-PriceList'!H47)-1),"")</f>
        <v>-6.8251164597424085E-2</v>
      </c>
      <c r="H46" s="6">
        <f>IFERROR((('raw-PriceList'!J46/'raw-PriceList'!J47)-1),"")</f>
        <v>-2.4697888811428981E-2</v>
      </c>
      <c r="I46" s="6">
        <f>IFERROR((('raw-PriceList'!K46/'raw-PriceList'!K47)-1),"")</f>
        <v>-2.064913226777676E-2</v>
      </c>
      <c r="J46" s="6">
        <f>IFERROR((('raw-PriceList'!L46/'raw-PriceList'!L47)-1),"")</f>
        <v>-2.6169326960162942E-2</v>
      </c>
      <c r="K46" s="6">
        <f>IFERROR((('raw-PriceList'!M46/'raw-PriceList'!M47)-1),"")</f>
        <v>-8.259390386182508E-3</v>
      </c>
      <c r="L46" s="6">
        <f>IFERROR((('raw-PriceList'!N46/'raw-PriceList'!N47)-1),"")</f>
        <v>-1.3138573937993003E-3</v>
      </c>
      <c r="M46" s="6">
        <f>IFERROR((('raw-PriceList'!O46/'raw-PriceList'!O47)-1),"")</f>
        <v>-1.4885409073973621E-2</v>
      </c>
      <c r="N46" s="6">
        <f>IFERROR((('raw-PriceList'!P46/'raw-PriceList'!P47)-1),"")</f>
        <v>-1.5223300432868458E-2</v>
      </c>
      <c r="O46" s="6">
        <f>IFERROR((('raw-PriceList'!Q46/'raw-PriceList'!Q47)-1),"")</f>
        <v>-4.043858815377821E-2</v>
      </c>
      <c r="P46" s="6">
        <f>IFERROR((('raw-PriceList'!R46/'raw-PriceList'!R47)-1),"")</f>
        <v>-6.2135544051284963E-3</v>
      </c>
      <c r="Q46" s="6">
        <f>IFERROR((('raw-PriceList'!S46/'raw-PriceList'!S47)-1),"")</f>
        <v>-4.1083725400382409E-2</v>
      </c>
      <c r="R46" s="6">
        <f>IFERROR((('raw-PriceList'!T46/'raw-PriceList'!T47)-1),"")</f>
        <v>-3.876932482373574E-2</v>
      </c>
      <c r="S46" s="6">
        <f>IFERROR((('raw-PriceList'!U46/'raw-PriceList'!U47)-1),"")</f>
        <v>-9.5085093923760189E-3</v>
      </c>
      <c r="T46" s="6">
        <f>IFERROR((('raw-PriceList'!V46/'raw-PriceList'!V47)-1),"")</f>
        <v>-4.7648166365801048E-2</v>
      </c>
      <c r="U46" s="6">
        <f>IFERROR((('raw-PriceList'!W46/'raw-PriceList'!W47)-1),"")</f>
        <v>-3.7695482313848228E-2</v>
      </c>
      <c r="V46" s="6">
        <f>IFERROR((('raw-PriceList'!X46/'raw-PriceList'!X47)-1),"")</f>
        <v>-4.5422330350375351E-4</v>
      </c>
      <c r="W46" s="6">
        <f>IFERROR((('raw-PriceList'!Y46/'raw-PriceList'!Y47)-1),"")</f>
        <v>-3.067836710325389E-2</v>
      </c>
      <c r="X46" s="6" t="str">
        <f>IFERROR((('raw-PriceList'!Z46/'raw-PriceList'!Z47)-1),"")</f>
        <v/>
      </c>
      <c r="Y46" s="6">
        <f>IFERROR((('raw-PriceList'!AA46/'raw-PriceList'!AA47)-1),"")</f>
        <v>-8.1893613582216807E-3</v>
      </c>
      <c r="Z46" s="6">
        <f>IFERROR((('raw-PriceList'!AB46/'raw-PriceList'!AB47)-1),"")</f>
        <v>-3.961447704197596E-2</v>
      </c>
      <c r="AA46" s="6">
        <f>IFERROR((('raw-PriceList'!AC46/'raw-PriceList'!AC47)-1),"")</f>
        <v>-2.3436350987484866E-2</v>
      </c>
      <c r="AB46" s="6">
        <f>IFERROR((('raw-PriceList'!AD46/'raw-PriceList'!AD47)-1),"")</f>
        <v>-2.3949882416103851E-2</v>
      </c>
      <c r="AC46" s="6">
        <f>IFERROR((('raw-PriceList'!AE46/'raw-PriceList'!AE47)-1),"")</f>
        <v>-2.3949882416103851E-2</v>
      </c>
      <c r="AD46" s="6">
        <f>IFERROR((('raw-PriceList'!AF46/'raw-PriceList'!AF47)-1),"")</f>
        <v>-1.2454468910434779E-2</v>
      </c>
      <c r="AE46" s="6">
        <f>IFERROR((('raw-PriceList'!AG46/'raw-PriceList'!AG47)-1),"")</f>
        <v>-1.1935068879855404E-2</v>
      </c>
      <c r="AF46" s="6">
        <f>IFERROR((('raw-PriceList'!AH46/'raw-PriceList'!AH47)-1),"")</f>
        <v>-3.1752433192414165E-2</v>
      </c>
      <c r="AG46" s="6">
        <f>IFERROR((('raw-PriceList'!AJ46/'raw-PriceList'!AJ47)-1),"")</f>
        <v>-2.9332468805965628E-2</v>
      </c>
      <c r="AH46" s="6">
        <f>IFERROR((('raw-PriceList'!AK46/'raw-PriceList'!AK47)-1),"")</f>
        <v>-2.9207260139971991E-2</v>
      </c>
      <c r="AI46" s="6" t="str">
        <f>IFERROR((('raw-PriceList'!AM46/'raw-PriceList'!AM47)-1),"")</f>
        <v/>
      </c>
      <c r="AJ46" s="6">
        <f>IFERROR((('raw-PriceList'!AN46/'raw-PriceList'!AN47)-1),"")</f>
        <v>-2.0971230225623416E-2</v>
      </c>
      <c r="AK46" s="6">
        <f>IFERROR((('raw-PriceList'!AO46/'raw-PriceList'!AO47)-1),"")</f>
        <v>-1.4402027647953952E-3</v>
      </c>
      <c r="AL46" s="6">
        <f>IFERROR((('raw-PriceList'!AP46/'raw-PriceList'!AP47)-1),"")</f>
        <v>-2.80809722754497E-2</v>
      </c>
      <c r="AM46" s="6">
        <f>IFERROR((('raw-PriceList'!AQ46/'raw-PriceList'!AQ47)-1),"")</f>
        <v>-1.9242017869243622E-2</v>
      </c>
      <c r="AN46" s="6">
        <f>IFERROR((('raw-PriceList'!AR46/'raw-PriceList'!AR47)-1),"")</f>
        <v>-2.4090642941708706E-2</v>
      </c>
      <c r="AO46" s="6">
        <f>IFERROR((('raw-PriceList'!AS46/'raw-PriceList'!AS47)-1),"")</f>
        <v>-1.8996417827095491E-2</v>
      </c>
      <c r="AP46" s="6">
        <f>IFERROR((('raw-PriceList'!AT46/'raw-PriceList'!AT47)-1),"")</f>
        <v>-1.8996417827095491E-2</v>
      </c>
      <c r="AQ46" s="6">
        <f>IFERROR((('raw-PriceList'!AU46/'raw-PriceList'!AU47)-1),"")</f>
        <v>-7.1308995573611256E-3</v>
      </c>
      <c r="AR46" s="6">
        <f>IFERROR((('raw-PriceList'!AV46/'raw-PriceList'!AV47)-1),"")</f>
        <v>-3.748591763294995E-2</v>
      </c>
      <c r="AS46" s="6">
        <f>IFERROR((('raw-PriceList'!AW46/'raw-PriceList'!AW47)-1),"")</f>
        <v>-3.4405909351692521E-2</v>
      </c>
    </row>
    <row r="47" spans="1:45" x14ac:dyDescent="0.2">
      <c r="A47" s="2">
        <v>42155</v>
      </c>
      <c r="B47" s="6">
        <f>IFERROR((('raw-PriceList'!B47/'raw-PriceList'!B48)-1),"")</f>
        <v>-6.5440403809344794E-3</v>
      </c>
      <c r="C47" s="6">
        <f>IFERROR((('raw-PriceList'!C47/'raw-PriceList'!C48)-1),"")</f>
        <v>-2.6931325264885508E-2</v>
      </c>
      <c r="D47" s="6">
        <f>IFERROR((('raw-PriceList'!D47/'raw-PriceList'!D48)-1),"")</f>
        <v>-6.8209880228652375E-3</v>
      </c>
      <c r="E47" s="6">
        <f>IFERROR((('raw-PriceList'!F47/'raw-PriceList'!F48)-1),"")</f>
        <v>-6.4537963452919733E-3</v>
      </c>
      <c r="F47" s="6">
        <f>IFERROR((('raw-PriceList'!G47/'raw-PriceList'!G48)-1),"")</f>
        <v>1.3736555999033229E-4</v>
      </c>
      <c r="G47" s="6">
        <f>IFERROR((('raw-PriceList'!H47/'raw-PriceList'!H48)-1),"")</f>
        <v>-3.6477605021476567E-2</v>
      </c>
      <c r="H47" s="6">
        <f>IFERROR((('raw-PriceList'!J47/'raw-PriceList'!J48)-1),"")</f>
        <v>1.4203442201297767E-2</v>
      </c>
      <c r="I47" s="6">
        <f>IFERROR((('raw-PriceList'!K47/'raw-PriceList'!K48)-1),"")</f>
        <v>1.5438817313542019E-2</v>
      </c>
      <c r="J47" s="6">
        <f>IFERROR((('raw-PriceList'!L47/'raw-PriceList'!L48)-1),"")</f>
        <v>1.0824958481862934E-2</v>
      </c>
      <c r="K47" s="6">
        <f>IFERROR((('raw-PriceList'!M47/'raw-PriceList'!M48)-1),"")</f>
        <v>2.0132965363153454E-2</v>
      </c>
      <c r="L47" s="6">
        <f>IFERROR((('raw-PriceList'!N47/'raw-PriceList'!N48)-1),"")</f>
        <v>2.7475587651460964E-2</v>
      </c>
      <c r="M47" s="6">
        <f>IFERROR((('raw-PriceList'!O47/'raw-PriceList'!O48)-1),"")</f>
        <v>1.3578734378834278E-2</v>
      </c>
      <c r="N47" s="6">
        <f>IFERROR((('raw-PriceList'!P47/'raw-PriceList'!P48)-1),"")</f>
        <v>-1.0027291155912277E-2</v>
      </c>
      <c r="O47" s="6">
        <f>IFERROR((('raw-PriceList'!Q47/'raw-PriceList'!Q48)-1),"")</f>
        <v>-3.2025115414821004E-2</v>
      </c>
      <c r="P47" s="6">
        <f>IFERROR((('raw-PriceList'!R47/'raw-PriceList'!R48)-1),"")</f>
        <v>-7.0258327265293463E-4</v>
      </c>
      <c r="Q47" s="6">
        <f>IFERROR((('raw-PriceList'!S47/'raw-PriceList'!S48)-1),"")</f>
        <v>-5.1655052538523982E-4</v>
      </c>
      <c r="R47" s="6">
        <f>IFERROR((('raw-PriceList'!T47/'raw-PriceList'!T48)-1),"")</f>
        <v>-1.0363101379434969E-2</v>
      </c>
      <c r="S47" s="6">
        <f>IFERROR((('raw-PriceList'!U47/'raw-PriceList'!U48)-1),"")</f>
        <v>-2.1724665274149846E-3</v>
      </c>
      <c r="T47" s="6">
        <f>IFERROR((('raw-PriceList'!V47/'raw-PriceList'!V48)-1),"")</f>
        <v>2.8382642321029827E-3</v>
      </c>
      <c r="U47" s="6">
        <f>IFERROR((('raw-PriceList'!W47/'raw-PriceList'!W48)-1),"")</f>
        <v>-2.474019818158002E-2</v>
      </c>
      <c r="V47" s="6">
        <f>IFERROR((('raw-PriceList'!X47/'raw-PriceList'!X48)-1),"")</f>
        <v>1.0976495903358696E-4</v>
      </c>
      <c r="W47" s="6">
        <f>IFERROR((('raw-PriceList'!Y47/'raw-PriceList'!Y48)-1),"")</f>
        <v>9.5780662022446617E-3</v>
      </c>
      <c r="X47" s="6" t="str">
        <f>IFERROR((('raw-PriceList'!Z47/'raw-PriceList'!Z48)-1),"")</f>
        <v/>
      </c>
      <c r="Y47" s="6">
        <f>IFERROR((('raw-PriceList'!AA47/'raw-PriceList'!AA48)-1),"")</f>
        <v>-3.2310664409204159E-3</v>
      </c>
      <c r="Z47" s="6">
        <f>IFERROR((('raw-PriceList'!AB47/'raw-PriceList'!AB48)-1),"")</f>
        <v>-2.3347355073033538E-2</v>
      </c>
      <c r="AA47" s="6">
        <f>IFERROR((('raw-PriceList'!AC47/'raw-PriceList'!AC48)-1),"")</f>
        <v>1.2044332677316749E-2</v>
      </c>
      <c r="AB47" s="6">
        <f>IFERROR((('raw-PriceList'!AD47/'raw-PriceList'!AD48)-1),"")</f>
        <v>1.2538291881446062E-2</v>
      </c>
      <c r="AC47" s="6">
        <f>IFERROR((('raw-PriceList'!AE47/'raw-PriceList'!AE48)-1),"")</f>
        <v>1.2538291881446062E-2</v>
      </c>
      <c r="AD47" s="6">
        <f>IFERROR((('raw-PriceList'!AF47/'raw-PriceList'!AF48)-1),"")</f>
        <v>9.8683536434223118E-3</v>
      </c>
      <c r="AE47" s="6">
        <f>IFERROR((('raw-PriceList'!AG47/'raw-PriceList'!AG48)-1),"")</f>
        <v>-1.8310230429613661E-2</v>
      </c>
      <c r="AF47" s="6">
        <f>IFERROR((('raw-PriceList'!AH47/'raw-PriceList'!AH48)-1),"")</f>
        <v>-5.8050995095697555E-3</v>
      </c>
      <c r="AG47" s="6">
        <f>IFERROR((('raw-PriceList'!AJ47/'raw-PriceList'!AJ48)-1),"")</f>
        <v>1.8865470616249436E-3</v>
      </c>
      <c r="AH47" s="6">
        <f>IFERROR((('raw-PriceList'!AK47/'raw-PriceList'!AK48)-1),"")</f>
        <v>3.3357852861928272E-3</v>
      </c>
      <c r="AI47" s="6" t="str">
        <f>IFERROR((('raw-PriceList'!AM47/'raw-PriceList'!AM48)-1),"")</f>
        <v/>
      </c>
      <c r="AJ47" s="6">
        <f>IFERROR((('raw-PriceList'!AN47/'raw-PriceList'!AN48)-1),"")</f>
        <v>1.31235636948972E-2</v>
      </c>
      <c r="AK47" s="6">
        <f>IFERROR((('raw-PriceList'!AO47/'raw-PriceList'!AO48)-1),"")</f>
        <v>-6.0148316646657651E-4</v>
      </c>
      <c r="AL47" s="6">
        <f>IFERROR((('raw-PriceList'!AP47/'raw-PriceList'!AP48)-1),"")</f>
        <v>1.1770252985295659E-2</v>
      </c>
      <c r="AM47" s="6">
        <f>IFERROR((('raw-PriceList'!AQ47/'raw-PriceList'!AQ48)-1),"")</f>
        <v>1.4776371972490709E-2</v>
      </c>
      <c r="AN47" s="6">
        <f>IFERROR((('raw-PriceList'!AR47/'raw-PriceList'!AR48)-1),"")</f>
        <v>1.3168461138273857E-2</v>
      </c>
      <c r="AO47" s="6">
        <f>IFERROR((('raw-PriceList'!AS47/'raw-PriceList'!AS48)-1),"")</f>
        <v>-4.9337138849404605E-3</v>
      </c>
      <c r="AP47" s="6">
        <f>IFERROR((('raw-PriceList'!AT47/'raw-PriceList'!AT48)-1),"")</f>
        <v>-4.9337138849404605E-3</v>
      </c>
      <c r="AQ47" s="6">
        <f>IFERROR((('raw-PriceList'!AU47/'raw-PriceList'!AU48)-1),"")</f>
        <v>1.8014398949031785E-2</v>
      </c>
      <c r="AR47" s="6">
        <f>IFERROR((('raw-PriceList'!AV47/'raw-PriceList'!AV48)-1),"")</f>
        <v>-9.0730698786322117E-3</v>
      </c>
      <c r="AS47" s="6">
        <f>IFERROR((('raw-PriceList'!AW47/'raw-PriceList'!AW48)-1),"")</f>
        <v>3.7392598675474176E-3</v>
      </c>
    </row>
    <row r="48" spans="1:45" x14ac:dyDescent="0.2">
      <c r="A48" s="2">
        <v>42124</v>
      </c>
      <c r="B48" s="6">
        <f>IFERROR((('raw-PriceList'!B48/'raw-PriceList'!B49)-1),"")</f>
        <v>-5.1350200222980424E-3</v>
      </c>
      <c r="C48" s="6">
        <f>IFERROR((('raw-PriceList'!C48/'raw-PriceList'!C49)-1),"")</f>
        <v>-2.8771726844520451E-2</v>
      </c>
      <c r="D48" s="6">
        <f>IFERROR((('raw-PriceList'!D48/'raw-PriceList'!D49)-1),"")</f>
        <v>-5.4815057209324225E-3</v>
      </c>
      <c r="E48" s="6">
        <f>IFERROR((('raw-PriceList'!F48/'raw-PriceList'!F49)-1),"")</f>
        <v>-1.1271662408442129E-2</v>
      </c>
      <c r="F48" s="6">
        <f>IFERROR((('raw-PriceList'!G48/'raw-PriceList'!G49)-1),"")</f>
        <v>-1.8948842224250084E-3</v>
      </c>
      <c r="G48" s="6">
        <f>IFERROR((('raw-PriceList'!H48/'raw-PriceList'!H49)-1),"")</f>
        <v>-5.6213038033251839E-2</v>
      </c>
      <c r="H48" s="6">
        <f>IFERROR((('raw-PriceList'!J48/'raw-PriceList'!J49)-1),"")</f>
        <v>1.0115538747806241E-2</v>
      </c>
      <c r="I48" s="6">
        <f>IFERROR((('raw-PriceList'!K48/'raw-PriceList'!K49)-1),"")</f>
        <v>9.847827250366592E-4</v>
      </c>
      <c r="J48" s="6">
        <f>IFERROR((('raw-PriceList'!L48/'raw-PriceList'!L49)-1),"")</f>
        <v>1.7931497413464115E-2</v>
      </c>
      <c r="K48" s="6">
        <f>IFERROR((('raw-PriceList'!M48/'raw-PriceList'!M49)-1),"")</f>
        <v>-2.0331873584386595E-2</v>
      </c>
      <c r="L48" s="6">
        <f>IFERROR((('raw-PriceList'!N48/'raw-PriceList'!N49)-1),"")</f>
        <v>-7.2526787375669644E-3</v>
      </c>
      <c r="M48" s="6">
        <f>IFERROR((('raw-PriceList'!O48/'raw-PriceList'!O49)-1),"")</f>
        <v>-1.2809032829574352E-2</v>
      </c>
      <c r="N48" s="6">
        <f>IFERROR((('raw-PriceList'!P48/'raw-PriceList'!P49)-1),"")</f>
        <v>-2.2554307543188878E-3</v>
      </c>
      <c r="O48" s="6">
        <f>IFERROR((('raw-PriceList'!Q48/'raw-PriceList'!Q49)-1),"")</f>
        <v>-2.3929276821814227E-2</v>
      </c>
      <c r="P48" s="6">
        <f>IFERROR((('raw-PriceList'!R48/'raw-PriceList'!R49)-1),"")</f>
        <v>-1.0025772543619249E-3</v>
      </c>
      <c r="Q48" s="6">
        <f>IFERROR((('raw-PriceList'!S48/'raw-PriceList'!S49)-1),"")</f>
        <v>3.8688524425528392E-2</v>
      </c>
      <c r="R48" s="6">
        <f>IFERROR((('raw-PriceList'!T48/'raw-PriceList'!T49)-1),"")</f>
        <v>4.7379813375009849E-2</v>
      </c>
      <c r="S48" s="6">
        <f>IFERROR((('raw-PriceList'!U48/'raw-PriceList'!U49)-1),"")</f>
        <v>-2.7461499634814368E-3</v>
      </c>
      <c r="T48" s="6">
        <f>IFERROR((('raw-PriceList'!V48/'raw-PriceList'!V49)-1),"")</f>
        <v>4.243094688920257E-2</v>
      </c>
      <c r="U48" s="6">
        <f>IFERROR((('raw-PriceList'!W48/'raw-PriceList'!W49)-1),"")</f>
        <v>-3.0751627598897824E-2</v>
      </c>
      <c r="V48" s="6">
        <f>IFERROR((('raw-PriceList'!X48/'raw-PriceList'!X49)-1),"")</f>
        <v>4.6937953197567772E-4</v>
      </c>
      <c r="W48" s="6">
        <f>IFERROR((('raw-PriceList'!Y48/'raw-PriceList'!Y49)-1),"")</f>
        <v>-2.1090161652714823E-3</v>
      </c>
      <c r="X48" s="6" t="str">
        <f>IFERROR((('raw-PriceList'!Z48/'raw-PriceList'!Z49)-1),"")</f>
        <v/>
      </c>
      <c r="Y48" s="6">
        <f>IFERROR((('raw-PriceList'!AA48/'raw-PriceList'!AA49)-1),"")</f>
        <v>1.8472529551827321E-4</v>
      </c>
      <c r="Z48" s="6">
        <f>IFERROR((('raw-PriceList'!AB48/'raw-PriceList'!AB49)-1),"")</f>
        <v>5.0799647278725546E-2</v>
      </c>
      <c r="AA48" s="6">
        <f>IFERROR((('raw-PriceList'!AC48/'raw-PriceList'!AC49)-1),"")</f>
        <v>-2.9635084162095149E-3</v>
      </c>
      <c r="AB48" s="6">
        <f>IFERROR((('raw-PriceList'!AD48/'raw-PriceList'!AD49)-1),"")</f>
        <v>9.9702439153299682E-3</v>
      </c>
      <c r="AC48" s="6">
        <f>IFERROR((('raw-PriceList'!AE48/'raw-PriceList'!AE49)-1),"")</f>
        <v>9.9702439153299682E-3</v>
      </c>
      <c r="AD48" s="6">
        <f>IFERROR((('raw-PriceList'!AF48/'raw-PriceList'!AF49)-1),"")</f>
        <v>-1.0909081822185973E-2</v>
      </c>
      <c r="AE48" s="6">
        <f>IFERROR((('raw-PriceList'!AG48/'raw-PriceList'!AG49)-1),"")</f>
        <v>3.6934364356411953E-2</v>
      </c>
      <c r="AF48" s="6">
        <f>IFERROR((('raw-PriceList'!AH48/'raw-PriceList'!AH49)-1),"")</f>
        <v>3.4621622905096849E-2</v>
      </c>
      <c r="AG48" s="6">
        <f>IFERROR((('raw-PriceList'!AJ48/'raw-PriceList'!AJ49)-1),"")</f>
        <v>5.5790612403291417E-2</v>
      </c>
      <c r="AH48" s="6">
        <f>IFERROR((('raw-PriceList'!AK48/'raw-PriceList'!AK49)-1),"")</f>
        <v>2.5514071877920097E-2</v>
      </c>
      <c r="AI48" s="6" t="str">
        <f>IFERROR((('raw-PriceList'!AM48/'raw-PriceList'!AM49)-1),"")</f>
        <v/>
      </c>
      <c r="AJ48" s="6">
        <f>IFERROR((('raw-PriceList'!AN48/'raw-PriceList'!AN49)-1),"")</f>
        <v>5.9965172308489301E-3</v>
      </c>
      <c r="AK48" s="6">
        <f>IFERROR((('raw-PriceList'!AO48/'raw-PriceList'!AO49)-1),"")</f>
        <v>6.5957776540097601E-3</v>
      </c>
      <c r="AL48" s="6">
        <f>IFERROR((('raw-PriceList'!AP48/'raw-PriceList'!AP49)-1),"")</f>
        <v>1.2781612370341255E-2</v>
      </c>
      <c r="AM48" s="6">
        <f>IFERROR((('raw-PriceList'!AQ48/'raw-PriceList'!AQ49)-1),"")</f>
        <v>2.8244330338490053E-2</v>
      </c>
      <c r="AN48" s="6">
        <f>IFERROR((('raw-PriceList'!AR48/'raw-PriceList'!AR49)-1),"")</f>
        <v>7.326377859458777E-3</v>
      </c>
      <c r="AO48" s="6">
        <f>IFERROR((('raw-PriceList'!AS48/'raw-PriceList'!AS49)-1),"")</f>
        <v>1.3642565854875555E-2</v>
      </c>
      <c r="AP48" s="6">
        <f>IFERROR((('raw-PriceList'!AT48/'raw-PriceList'!AT49)-1),"")</f>
        <v>1.3642565854875555E-2</v>
      </c>
      <c r="AQ48" s="6">
        <f>IFERROR((('raw-PriceList'!AU48/'raw-PriceList'!AU49)-1),"")</f>
        <v>-1.5814334748539549E-2</v>
      </c>
      <c r="AR48" s="6">
        <f>IFERROR((('raw-PriceList'!AV48/'raw-PriceList'!AV49)-1),"")</f>
        <v>4.8081453039731992E-2</v>
      </c>
      <c r="AS48" s="6">
        <f>IFERROR((('raw-PriceList'!AW48/'raw-PriceList'!AW49)-1),"")</f>
        <v>1.7004971533195468E-2</v>
      </c>
    </row>
    <row r="49" spans="1:45" x14ac:dyDescent="0.2">
      <c r="A49" s="2">
        <v>42094</v>
      </c>
      <c r="B49" s="6">
        <f>IFERROR((('raw-PriceList'!B49/'raw-PriceList'!B50)-1),"")</f>
        <v>3.9567226905434794E-3</v>
      </c>
      <c r="C49" s="6">
        <f>IFERROR((('raw-PriceList'!C49/'raw-PriceList'!C50)-1),"")</f>
        <v>3.6392641655018654E-3</v>
      </c>
      <c r="D49" s="6">
        <f>IFERROR((('raw-PriceList'!D49/'raw-PriceList'!D50)-1),"")</f>
        <v>3.4642151867438908E-3</v>
      </c>
      <c r="E49" s="6">
        <f>IFERROR((('raw-PriceList'!F49/'raw-PriceList'!F50)-1),"")</f>
        <v>3.7491631000998726E-3</v>
      </c>
      <c r="F49" s="6">
        <f>IFERROR((('raw-PriceList'!G49/'raw-PriceList'!G50)-1),"")</f>
        <v>3.5398421995354035E-3</v>
      </c>
      <c r="G49" s="6">
        <f>IFERROR((('raw-PriceList'!H49/'raw-PriceList'!H50)-1),"")</f>
        <v>8.8883677152513663E-3</v>
      </c>
      <c r="H49" s="6">
        <f>IFERROR((('raw-PriceList'!J49/'raw-PriceList'!J50)-1),"")</f>
        <v>-2.1969145475373542E-2</v>
      </c>
      <c r="I49" s="6">
        <f>IFERROR((('raw-PriceList'!K49/'raw-PriceList'!K50)-1),"")</f>
        <v>-2.1177626314477282E-2</v>
      </c>
      <c r="J49" s="6">
        <f>IFERROR((('raw-PriceList'!L49/'raw-PriceList'!L50)-1),"")</f>
        <v>-2.2223352826440612E-2</v>
      </c>
      <c r="K49" s="6">
        <f>IFERROR((('raw-PriceList'!M49/'raw-PriceList'!M50)-1),"")</f>
        <v>1.4563199632020574E-2</v>
      </c>
      <c r="L49" s="6">
        <f>IFERROR((('raw-PriceList'!N49/'raw-PriceList'!N50)-1),"")</f>
        <v>-3.5219165081802339E-3</v>
      </c>
      <c r="M49" s="6">
        <f>IFERROR((('raw-PriceList'!O49/'raw-PriceList'!O50)-1),"")</f>
        <v>1.2070909585310208E-2</v>
      </c>
      <c r="N49" s="6">
        <f>IFERROR((('raw-PriceList'!P49/'raw-PriceList'!P50)-1),"")</f>
        <v>9.7306521249040934E-4</v>
      </c>
      <c r="O49" s="6">
        <f>IFERROR((('raw-PriceList'!Q49/'raw-PriceList'!Q50)-1),"")</f>
        <v>-1.5041670999658141E-3</v>
      </c>
      <c r="P49" s="6">
        <f>IFERROR((('raw-PriceList'!R49/'raw-PriceList'!R50)-1),"")</f>
        <v>1.5565259529413122E-3</v>
      </c>
      <c r="Q49" s="6">
        <f>IFERROR((('raw-PriceList'!S49/'raw-PriceList'!S50)-1),"")</f>
        <v>-1.6577594901860615E-2</v>
      </c>
      <c r="R49" s="6">
        <f>IFERROR((('raw-PriceList'!T49/'raw-PriceList'!T50)-1),"")</f>
        <v>-1.7312768996445072E-2</v>
      </c>
      <c r="S49" s="6">
        <f>IFERROR((('raw-PriceList'!U49/'raw-PriceList'!U50)-1),"")</f>
        <v>6.3994087646577213E-3</v>
      </c>
      <c r="T49" s="6">
        <f>IFERROR((('raw-PriceList'!V49/'raw-PriceList'!V50)-1),"")</f>
        <v>-2.9903455284552849E-2</v>
      </c>
      <c r="U49" s="6">
        <f>IFERROR((('raw-PriceList'!W49/'raw-PriceList'!W50)-1),"")</f>
        <v>7.7696598190655219E-3</v>
      </c>
      <c r="V49" s="6">
        <f>IFERROR((('raw-PriceList'!X49/'raw-PriceList'!X50)-1),"")</f>
        <v>1.5017131527912397E-3</v>
      </c>
      <c r="W49" s="6">
        <f>IFERROR((('raw-PriceList'!Y49/'raw-PriceList'!Y50)-1),"")</f>
        <v>-2.814120870746295E-2</v>
      </c>
      <c r="X49" s="6" t="str">
        <f>IFERROR((('raw-PriceList'!Z49/'raw-PriceList'!Z50)-1),"")</f>
        <v/>
      </c>
      <c r="Y49" s="6">
        <f>IFERROR((('raw-PriceList'!AA49/'raw-PriceList'!AA50)-1),"")</f>
        <v>3.6329804978767477E-3</v>
      </c>
      <c r="Z49" s="6">
        <f>IFERROR((('raw-PriceList'!AB49/'raw-PriceList'!AB50)-1),"")</f>
        <v>-1.2128800388469863E-2</v>
      </c>
      <c r="AA49" s="6">
        <f>IFERROR((('raw-PriceList'!AC49/'raw-PriceList'!AC50)-1),"")</f>
        <v>-7.4516304491401009E-4</v>
      </c>
      <c r="AB49" s="6">
        <f>IFERROR((('raw-PriceList'!AD49/'raw-PriceList'!AD50)-1),"")</f>
        <v>-2.0731376324643169E-2</v>
      </c>
      <c r="AC49" s="6">
        <f>IFERROR((('raw-PriceList'!AE49/'raw-PriceList'!AE50)-1),"")</f>
        <v>-2.0731376324643169E-2</v>
      </c>
      <c r="AD49" s="6">
        <f>IFERROR((('raw-PriceList'!AF49/'raw-PriceList'!AF50)-1),"")</f>
        <v>1.2830282135534388E-2</v>
      </c>
      <c r="AE49" s="6">
        <f>IFERROR((('raw-PriceList'!AG49/'raw-PriceList'!AG50)-1),"")</f>
        <v>-2.4385960932671091E-2</v>
      </c>
      <c r="AF49" s="6">
        <f>IFERROR((('raw-PriceList'!AH49/'raw-PriceList'!AH50)-1),"")</f>
        <v>4.0084714493282547E-3</v>
      </c>
      <c r="AG49" s="6">
        <f>IFERROR((('raw-PriceList'!AJ49/'raw-PriceList'!AJ50)-1),"")</f>
        <v>-1.3913213827819737E-2</v>
      </c>
      <c r="AH49" s="6">
        <f>IFERROR((('raw-PriceList'!AK49/'raw-PriceList'!AK50)-1),"")</f>
        <v>-1.7100202902427197E-2</v>
      </c>
      <c r="AI49" s="6" t="str">
        <f>IFERROR((('raw-PriceList'!AM49/'raw-PriceList'!AM50)-1),"")</f>
        <v/>
      </c>
      <c r="AJ49" s="6">
        <f>IFERROR((('raw-PriceList'!AN49/'raw-PriceList'!AN50)-1),"")</f>
        <v>-1.6407598596328232E-2</v>
      </c>
      <c r="AK49" s="6">
        <f>IFERROR((('raw-PriceList'!AO49/'raw-PriceList'!AO50)-1),"")</f>
        <v>-3.4910864914261541E-3</v>
      </c>
      <c r="AL49" s="6">
        <f>IFERROR((('raw-PriceList'!AP49/'raw-PriceList'!AP50)-1),"")</f>
        <v>-1.9060935740611074E-2</v>
      </c>
      <c r="AM49" s="6">
        <f>IFERROR((('raw-PriceList'!AQ49/'raw-PriceList'!AQ50)-1),"")</f>
        <v>-4.2225940490976277E-2</v>
      </c>
      <c r="AN49" s="6">
        <f>IFERROR((('raw-PriceList'!AR49/'raw-PriceList'!AR50)-1),"")</f>
        <v>-1.7760914144215101E-2</v>
      </c>
      <c r="AO49" s="6">
        <f>IFERROR((('raw-PriceList'!AS49/'raw-PriceList'!AS50)-1),"")</f>
        <v>1.4740419854037956E-3</v>
      </c>
      <c r="AP49" s="6">
        <f>IFERROR((('raw-PriceList'!AT49/'raw-PriceList'!AT50)-1),"")</f>
        <v>1.4740419854037956E-3</v>
      </c>
      <c r="AQ49" s="6">
        <f>IFERROR((('raw-PriceList'!AU49/'raw-PriceList'!AU50)-1),"")</f>
        <v>1.260824387450743E-2</v>
      </c>
      <c r="AR49" s="6">
        <f>IFERROR((('raw-PriceList'!AV49/'raw-PriceList'!AV50)-1),"")</f>
        <v>-1.7956419389211331E-2</v>
      </c>
      <c r="AS49" s="6">
        <f>IFERROR((('raw-PriceList'!AW49/'raw-PriceList'!AW50)-1),"")</f>
        <v>-2.4834304708002186E-2</v>
      </c>
    </row>
    <row r="50" spans="1:45" x14ac:dyDescent="0.2">
      <c r="A50" s="2">
        <v>42063</v>
      </c>
      <c r="B50" s="6">
        <f>IFERROR((('raw-PriceList'!B50/'raw-PriceList'!B51)-1),"")</f>
        <v>-1.6181759961872766E-2</v>
      </c>
      <c r="C50" s="6">
        <f>IFERROR((('raw-PriceList'!C50/'raw-PriceList'!C51)-1),"")</f>
        <v>-4.4542920524287988E-2</v>
      </c>
      <c r="D50" s="6">
        <f>IFERROR((('raw-PriceList'!D50/'raw-PriceList'!D51)-1),"")</f>
        <v>-1.513385341568263E-2</v>
      </c>
      <c r="E50" s="6">
        <f>IFERROR((('raw-PriceList'!F50/'raw-PriceList'!F51)-1),"")</f>
        <v>-3.1705066669428517E-3</v>
      </c>
      <c r="F50" s="6">
        <f>IFERROR((('raw-PriceList'!G50/'raw-PriceList'!G51)-1),"")</f>
        <v>-5.8314662274905338E-3</v>
      </c>
      <c r="G50" s="6">
        <f>IFERROR((('raw-PriceList'!H50/'raw-PriceList'!H51)-1),"")</f>
        <v>-9.1262295532300364E-2</v>
      </c>
      <c r="H50" s="6">
        <f>IFERROR((('raw-PriceList'!J50/'raw-PriceList'!J51)-1),"")</f>
        <v>5.6547546051689546E-2</v>
      </c>
      <c r="I50" s="6">
        <f>IFERROR((('raw-PriceList'!K50/'raw-PriceList'!K51)-1),"")</f>
        <v>6.2672132469329123E-2</v>
      </c>
      <c r="J50" s="6">
        <f>IFERROR((('raw-PriceList'!L50/'raw-PriceList'!L51)-1),"")</f>
        <v>5.2302693643035525E-2</v>
      </c>
      <c r="K50" s="6">
        <f>IFERROR((('raw-PriceList'!M50/'raw-PriceList'!M51)-1),"")</f>
        <v>5.8137405955033694E-2</v>
      </c>
      <c r="L50" s="6">
        <f>IFERROR((('raw-PriceList'!N50/'raw-PriceList'!N51)-1),"")</f>
        <v>5.9788464650089468E-2</v>
      </c>
      <c r="M50" s="6">
        <f>IFERROR((('raw-PriceList'!O50/'raw-PriceList'!O51)-1),"")</f>
        <v>5.6669469578918941E-2</v>
      </c>
      <c r="N50" s="6">
        <f>IFERROR((('raw-PriceList'!P50/'raw-PriceList'!P51)-1),"")</f>
        <v>-1.2357905561485749E-2</v>
      </c>
      <c r="O50" s="6">
        <f>IFERROR((('raw-PriceList'!Q50/'raw-PriceList'!Q51)-1),"")</f>
        <v>-3.4745127490029226E-2</v>
      </c>
      <c r="P50" s="6">
        <f>IFERROR((('raw-PriceList'!R50/'raw-PriceList'!R51)-1),"")</f>
        <v>-3.5318063511050601E-3</v>
      </c>
      <c r="Q50" s="6">
        <f>IFERROR((('raw-PriceList'!S50/'raw-PriceList'!S51)-1),"")</f>
        <v>6.1657920667112842E-2</v>
      </c>
      <c r="R50" s="6">
        <f>IFERROR((('raw-PriceList'!T50/'raw-PriceList'!T51)-1),"")</f>
        <v>5.8459957656829209E-2</v>
      </c>
      <c r="S50" s="6">
        <f>IFERROR((('raw-PriceList'!U50/'raw-PriceList'!U51)-1),"")</f>
        <v>-1.650637691706569E-2</v>
      </c>
      <c r="T50" s="6">
        <f>IFERROR((('raw-PriceList'!V50/'raw-PriceList'!V51)-1),"")</f>
        <v>6.0947052874233298E-2</v>
      </c>
      <c r="U50" s="6">
        <f>IFERROR((('raw-PriceList'!W50/'raw-PriceList'!W51)-1),"")</f>
        <v>-5.6843489225383848E-2</v>
      </c>
      <c r="V50" s="6">
        <f>IFERROR((('raw-PriceList'!X50/'raw-PriceList'!X51)-1),"")</f>
        <v>-2.637821946364749E-3</v>
      </c>
      <c r="W50" s="6">
        <f>IFERROR((('raw-PriceList'!Y50/'raw-PriceList'!Y51)-1),"")</f>
        <v>5.5885821974434258E-2</v>
      </c>
      <c r="X50" s="6" t="str">
        <f>IFERROR((('raw-PriceList'!Z50/'raw-PriceList'!Z51)-1),"")</f>
        <v/>
      </c>
      <c r="Y50" s="6">
        <f>IFERROR((('raw-PriceList'!AA50/'raw-PriceList'!AA51)-1),"")</f>
        <v>-4.451213092546813E-3</v>
      </c>
      <c r="Z50" s="6">
        <f>IFERROR((('raw-PriceList'!AB50/'raw-PriceList'!AB51)-1),"")</f>
        <v>3.6817602582927433E-2</v>
      </c>
      <c r="AA50" s="6">
        <f>IFERROR((('raw-PriceList'!AC50/'raw-PriceList'!AC51)-1),"")</f>
        <v>5.3501528827819334E-2</v>
      </c>
      <c r="AB50" s="6">
        <f>IFERROR((('raw-PriceList'!AD50/'raw-PriceList'!AD51)-1),"")</f>
        <v>5.5982382887983073E-2</v>
      </c>
      <c r="AC50" s="6">
        <f>IFERROR((('raw-PriceList'!AE50/'raw-PriceList'!AE51)-1),"")</f>
        <v>5.5982382887983073E-2</v>
      </c>
      <c r="AD50" s="6">
        <f>IFERROR((('raw-PriceList'!AF50/'raw-PriceList'!AF51)-1),"")</f>
        <v>6.6154125064761482E-2</v>
      </c>
      <c r="AE50" s="6">
        <f>IFERROR((('raw-PriceList'!AG50/'raw-PriceList'!AG51)-1),"")</f>
        <v>6.6167932152854547E-2</v>
      </c>
      <c r="AF50" s="6">
        <f>IFERROR((('raw-PriceList'!AH50/'raw-PriceList'!AH51)-1),"")</f>
        <v>6.0708108033894259E-2</v>
      </c>
      <c r="AG50" s="6">
        <f>IFERROR((('raw-PriceList'!AJ50/'raw-PriceList'!AJ51)-1),"")</f>
        <v>6.2752860548882072E-2</v>
      </c>
      <c r="AH50" s="6">
        <f>IFERROR((('raw-PriceList'!AK50/'raw-PriceList'!AK51)-1),"")</f>
        <v>5.9524493932739064E-2</v>
      </c>
      <c r="AI50" s="6" t="str">
        <f>IFERROR((('raw-PriceList'!AM50/'raw-PriceList'!AM51)-1),"")</f>
        <v/>
      </c>
      <c r="AJ50" s="6">
        <f>IFERROR((('raw-PriceList'!AN50/'raw-PriceList'!AN51)-1),"")</f>
        <v>5.7626482375428445E-2</v>
      </c>
      <c r="AK50" s="6">
        <f>IFERROR((('raw-PriceList'!AO50/'raw-PriceList'!AO51)-1),"")</f>
        <v>-2.0646347016644029E-3</v>
      </c>
      <c r="AL50" s="6">
        <f>IFERROR((('raw-PriceList'!AP50/'raw-PriceList'!AP51)-1),"")</f>
        <v>5.307280633897915E-2</v>
      </c>
      <c r="AM50" s="6">
        <f>IFERROR((('raw-PriceList'!AQ50/'raw-PriceList'!AQ51)-1),"")</f>
        <v>6.2464076354374232E-2</v>
      </c>
      <c r="AN50" s="6">
        <f>IFERROR((('raw-PriceList'!AR50/'raw-PriceList'!AR51)-1),"")</f>
        <v>5.8112348422339144E-2</v>
      </c>
      <c r="AO50" s="6">
        <f>IFERROR((('raw-PriceList'!AS50/'raw-PriceList'!AS51)-1),"")</f>
        <v>1.0874724867260488E-2</v>
      </c>
      <c r="AP50" s="6">
        <f>IFERROR((('raw-PriceList'!AT50/'raw-PriceList'!AT51)-1),"")</f>
        <v>1.0874724867260488E-2</v>
      </c>
      <c r="AQ50" s="6">
        <f>IFERROR((('raw-PriceList'!AU50/'raw-PriceList'!AU51)-1),"")</f>
        <v>6.0752429253868812E-2</v>
      </c>
      <c r="AR50" s="6">
        <f>IFERROR((('raw-PriceList'!AV50/'raw-PriceList'!AV51)-1),"")</f>
        <v>5.7780731352145898E-2</v>
      </c>
      <c r="AS50" s="6">
        <f>IFERROR((('raw-PriceList'!AW50/'raw-PriceList'!AW51)-1),"")</f>
        <v>4.8958600266260088E-2</v>
      </c>
    </row>
    <row r="51" spans="1:45" x14ac:dyDescent="0.2">
      <c r="A51" s="2">
        <v>42035</v>
      </c>
      <c r="B51" s="6">
        <f>IFERROR((('raw-PriceList'!B51/'raw-PriceList'!B52)-1),"")</f>
        <v>3.0868461583249296E-2</v>
      </c>
      <c r="C51" s="6">
        <f>IFERROR((('raw-PriceList'!C51/'raw-PriceList'!C52)-1),"")</f>
        <v>6.5458135026457143E-2</v>
      </c>
      <c r="D51" s="6">
        <f>IFERROR((('raw-PriceList'!D51/'raw-PriceList'!D52)-1),"")</f>
        <v>2.4044494649097192E-2</v>
      </c>
      <c r="E51" s="6">
        <f>IFERROR((('raw-PriceList'!F51/'raw-PriceList'!F52)-1),"")</f>
        <v>1.796017282107143E-2</v>
      </c>
      <c r="F51" s="6">
        <f>IFERROR((('raw-PriceList'!G51/'raw-PriceList'!G52)-1),"")</f>
        <v>9.4611471221885957E-3</v>
      </c>
      <c r="G51" s="6">
        <f>IFERROR((('raw-PriceList'!H51/'raw-PriceList'!H52)-1),"")</f>
        <v>0.14251978732159132</v>
      </c>
      <c r="H51" s="6">
        <f>IFERROR((('raw-PriceList'!J51/'raw-PriceList'!J52)-1),"")</f>
        <v>-3.0774701247138547E-2</v>
      </c>
      <c r="I51" s="6">
        <f>IFERROR((('raw-PriceList'!K51/'raw-PriceList'!K52)-1),"")</f>
        <v>-1.4151336913003409E-2</v>
      </c>
      <c r="J51" s="6">
        <f>IFERROR((('raw-PriceList'!L51/'raw-PriceList'!L52)-1),"")</f>
        <v>-4.2846795140923377E-2</v>
      </c>
      <c r="K51" s="6">
        <f>IFERROR((('raw-PriceList'!M51/'raw-PriceList'!M52)-1),"")</f>
        <v>-2.1548623280734813E-2</v>
      </c>
      <c r="L51" s="6">
        <f>IFERROR((('raw-PriceList'!N51/'raw-PriceList'!N52)-1),"")</f>
        <v>-9.3218790128667406E-3</v>
      </c>
      <c r="M51" s="6">
        <f>IFERROR((('raw-PriceList'!O51/'raw-PriceList'!O52)-1),"")</f>
        <v>-3.3004801392808591E-2</v>
      </c>
      <c r="N51" s="6">
        <f>IFERROR((('raw-PriceList'!P51/'raw-PriceList'!P52)-1),"")</f>
        <v>3.0266184514410766E-2</v>
      </c>
      <c r="O51" s="6">
        <f>IFERROR((('raw-PriceList'!Q51/'raw-PriceList'!Q52)-1),"")</f>
        <v>5.6429543900790691E-2</v>
      </c>
      <c r="P51" s="6">
        <f>IFERROR((('raw-PriceList'!R51/'raw-PriceList'!R52)-1),"")</f>
        <v>9.3272940486808231E-3</v>
      </c>
      <c r="Q51" s="6">
        <f>IFERROR((('raw-PriceList'!S51/'raw-PriceList'!S52)-1),"")</f>
        <v>7.128250427811178E-3</v>
      </c>
      <c r="R51" s="6">
        <f>IFERROR((('raw-PriceList'!T51/'raw-PriceList'!T52)-1),"")</f>
        <v>-2.1638615068886313E-4</v>
      </c>
      <c r="S51" s="6">
        <f>IFERROR((('raw-PriceList'!U51/'raw-PriceList'!U52)-1),"")</f>
        <v>2.4804912326837014E-2</v>
      </c>
      <c r="T51" s="6">
        <f>IFERROR((('raw-PriceList'!V51/'raw-PriceList'!V52)-1),"")</f>
        <v>5.1522167811954844E-3</v>
      </c>
      <c r="U51" s="6">
        <f>IFERROR((('raw-PriceList'!W51/'raw-PriceList'!W52)-1),"")</f>
        <v>8.6579735332973584E-2</v>
      </c>
      <c r="V51" s="6">
        <f>IFERROR((('raw-PriceList'!X51/'raw-PriceList'!X52)-1),"")</f>
        <v>4.8265502148976402E-3</v>
      </c>
      <c r="W51" s="6">
        <f>IFERROR((('raw-PriceList'!Y51/'raw-PriceList'!Y52)-1),"")</f>
        <v>-3.3818125678510724E-2</v>
      </c>
      <c r="X51" s="6" t="str">
        <f>IFERROR((('raw-PriceList'!Z51/'raw-PriceList'!Z52)-1),"")</f>
        <v/>
      </c>
      <c r="Y51" s="6">
        <f>IFERROR((('raw-PriceList'!AA51/'raw-PriceList'!AA52)-1),"")</f>
        <v>8.8053719635794447E-3</v>
      </c>
      <c r="Z51" s="6">
        <f>IFERROR((('raw-PriceList'!AB51/'raw-PriceList'!AB52)-1),"")</f>
        <v>2.6528309438273112E-2</v>
      </c>
      <c r="AA51" s="6">
        <f>IFERROR((('raw-PriceList'!AC51/'raw-PriceList'!AC52)-1),"")</f>
        <v>-2.371214438939917E-2</v>
      </c>
      <c r="AB51" s="6">
        <f>IFERROR((('raw-PriceList'!AD51/'raw-PriceList'!AD52)-1),"")</f>
        <v>-2.8860638289684881E-2</v>
      </c>
      <c r="AC51" s="6">
        <f>IFERROR((('raw-PriceList'!AE51/'raw-PriceList'!AE52)-1),"")</f>
        <v>-2.8860638289684881E-2</v>
      </c>
      <c r="AD51" s="6">
        <f>IFERROR((('raw-PriceList'!AF51/'raw-PriceList'!AF52)-1),"")</f>
        <v>-1.5265815043673081E-2</v>
      </c>
      <c r="AE51" s="6">
        <f>IFERROR((('raw-PriceList'!AG51/'raw-PriceList'!AG52)-1),"")</f>
        <v>-1.8971970526552862E-2</v>
      </c>
      <c r="AF51" s="6">
        <f>IFERROR((('raw-PriceList'!AH51/'raw-PriceList'!AH52)-1),"")</f>
        <v>1.1791199962440269E-2</v>
      </c>
      <c r="AG51" s="6">
        <f>IFERROR((('raw-PriceList'!AJ51/'raw-PriceList'!AJ52)-1),"")</f>
        <v>-6.2151221033273085E-3</v>
      </c>
      <c r="AH51" s="6">
        <f>IFERROR((('raw-PriceList'!AK51/'raw-PriceList'!AK52)-1),"")</f>
        <v>-1.6253672600103464E-2</v>
      </c>
      <c r="AI51" s="6" t="str">
        <f>IFERROR((('raw-PriceList'!AM51/'raw-PriceList'!AM52)-1),"")</f>
        <v/>
      </c>
      <c r="AJ51" s="6">
        <f>IFERROR((('raw-PriceList'!AN51/'raw-PriceList'!AN52)-1),"")</f>
        <v>-2.7473632047023688E-2</v>
      </c>
      <c r="AK51" s="6">
        <f>IFERROR((('raw-PriceList'!AO51/'raw-PriceList'!AO52)-1),"")</f>
        <v>1.0144945862182508E-2</v>
      </c>
      <c r="AL51" s="6">
        <f>IFERROR((('raw-PriceList'!AP51/'raw-PriceList'!AP52)-1),"")</f>
        <v>-4.0997383286766609E-2</v>
      </c>
      <c r="AM51" s="6">
        <f>IFERROR((('raw-PriceList'!AQ51/'raw-PriceList'!AQ52)-1),"")</f>
        <v>-1.504231525417643E-2</v>
      </c>
      <c r="AN51" s="6">
        <f>IFERROR((('raw-PriceList'!AR51/'raw-PriceList'!AR52)-1),"")</f>
        <v>-2.959649198824521E-2</v>
      </c>
      <c r="AO51" s="6">
        <f>IFERROR((('raw-PriceList'!AS51/'raw-PriceList'!AS52)-1),"")</f>
        <v>5.8084337788002482E-3</v>
      </c>
      <c r="AP51" s="6">
        <f>IFERROR((('raw-PriceList'!AT51/'raw-PriceList'!AT52)-1),"")</f>
        <v>5.8084337788002482E-3</v>
      </c>
      <c r="AQ51" s="6">
        <f>IFERROR((('raw-PriceList'!AU51/'raw-PriceList'!AU52)-1),"")</f>
        <v>-1.9371045856502955E-2</v>
      </c>
      <c r="AR51" s="6">
        <f>IFERROR((('raw-PriceList'!AV51/'raw-PriceList'!AV52)-1),"")</f>
        <v>2.6524419760218798E-3</v>
      </c>
      <c r="AS51" s="6">
        <f>IFERROR((('raw-PriceList'!AW51/'raw-PriceList'!AW52)-1),"")</f>
        <v>-2.8830535984643801E-2</v>
      </c>
    </row>
    <row r="52" spans="1:45" x14ac:dyDescent="0.2">
      <c r="A52" s="2">
        <v>42004</v>
      </c>
      <c r="B52" s="6">
        <f>IFERROR((('raw-PriceList'!B52/'raw-PriceList'!B53)-1),"")</f>
        <v>-1.0126024386537091E-2</v>
      </c>
      <c r="C52" s="6">
        <f>IFERROR((('raw-PriceList'!C52/'raw-PriceList'!C53)-1),"")</f>
        <v>1.454714277689062E-2</v>
      </c>
      <c r="D52" s="6">
        <f>IFERROR((('raw-PriceList'!D52/'raw-PriceList'!D53)-1),"")</f>
        <v>-5.99955545440789E-3</v>
      </c>
      <c r="E52" s="6">
        <f>IFERROR((('raw-PriceList'!F52/'raw-PriceList'!F53)-1),"")</f>
        <v>6.2996345393389053E-3</v>
      </c>
      <c r="F52" s="6">
        <f>IFERROR((('raw-PriceList'!G52/'raw-PriceList'!G53)-1),"")</f>
        <v>-6.0478329282424026E-3</v>
      </c>
      <c r="G52" s="6">
        <f>IFERROR((('raw-PriceList'!H52/'raw-PriceList'!H53)-1),"")</f>
        <v>4.1734431557418183E-2</v>
      </c>
      <c r="H52" s="6">
        <f>IFERROR((('raw-PriceList'!J52/'raw-PriceList'!J53)-1),"")</f>
        <v>-7.4607992621569252E-3</v>
      </c>
      <c r="I52" s="6">
        <f>IFERROR((('raw-PriceList'!K52/'raw-PriceList'!K53)-1),"")</f>
        <v>-1.4397881472428042E-2</v>
      </c>
      <c r="J52" s="6">
        <f>IFERROR((('raw-PriceList'!L52/'raw-PriceList'!L53)-1),"")</f>
        <v>-4.0697288969787637E-3</v>
      </c>
      <c r="K52" s="6">
        <f>IFERROR((('raw-PriceList'!M52/'raw-PriceList'!M53)-1),"")</f>
        <v>-1.5677358775402217E-3</v>
      </c>
      <c r="L52" s="6">
        <f>IFERROR((('raw-PriceList'!N52/'raw-PriceList'!N53)-1),"")</f>
        <v>-2.3808992005215357E-3</v>
      </c>
      <c r="M52" s="6">
        <f>IFERROR((('raw-PriceList'!O52/'raw-PriceList'!O53)-1),"")</f>
        <v>4.6685711713090328E-4</v>
      </c>
      <c r="N52" s="6">
        <f>IFERROR((('raw-PriceList'!P52/'raw-PriceList'!P53)-1),"")</f>
        <v>-9.4215347261403792E-3</v>
      </c>
      <c r="O52" s="6">
        <f>IFERROR((('raw-PriceList'!Q52/'raw-PriceList'!Q53)-1),"")</f>
        <v>1.0430627471123888E-2</v>
      </c>
      <c r="P52" s="6">
        <f>IFERROR((('raw-PriceList'!R52/'raw-PriceList'!R53)-1),"")</f>
        <v>-6.875071011220979E-3</v>
      </c>
      <c r="Q52" s="6">
        <f>IFERROR((('raw-PriceList'!S52/'raw-PriceList'!S53)-1),"")</f>
        <v>-4.3691582768358717E-2</v>
      </c>
      <c r="R52" s="6">
        <f>IFERROR((('raw-PriceList'!T52/'raw-PriceList'!T53)-1),"")</f>
        <v>-4.7119723648336498E-2</v>
      </c>
      <c r="S52" s="6">
        <f>IFERROR((('raw-PriceList'!U52/'raw-PriceList'!U53)-1),"")</f>
        <v>-3.7385631819031317E-3</v>
      </c>
      <c r="T52" s="6">
        <f>IFERROR((('raw-PriceList'!V52/'raw-PriceList'!V53)-1),"")</f>
        <v>-5.2111191231534182E-2</v>
      </c>
      <c r="U52" s="6">
        <f>IFERROR((('raw-PriceList'!W52/'raw-PriceList'!W53)-1),"")</f>
        <v>2.6110658250048102E-2</v>
      </c>
      <c r="V52" s="6">
        <f>IFERROR((('raw-PriceList'!X52/'raw-PriceList'!X53)-1),"")</f>
        <v>-3.7946487744834334E-3</v>
      </c>
      <c r="W52" s="6">
        <f>IFERROR((('raw-PriceList'!Y52/'raw-PriceList'!Y53)-1),"")</f>
        <v>-4.5104229246695215E-3</v>
      </c>
      <c r="X52" s="6" t="str">
        <f>IFERROR((('raw-PriceList'!Z52/'raw-PriceList'!Z53)-1),"")</f>
        <v/>
      </c>
      <c r="Y52" s="6">
        <f>IFERROR((('raw-PriceList'!AA52/'raw-PriceList'!AA53)-1),"")</f>
        <v>-4.4871607069481012E-3</v>
      </c>
      <c r="Z52" s="6">
        <f>IFERROR((('raw-PriceList'!AB52/'raw-PriceList'!AB53)-1),"")</f>
        <v>-4.806555326620876E-2</v>
      </c>
      <c r="AA52" s="6">
        <f>IFERROR((('raw-PriceList'!AC52/'raw-PriceList'!AC53)-1),"")</f>
        <v>-9.746485086615353E-3</v>
      </c>
      <c r="AB52" s="6">
        <f>IFERROR((('raw-PriceList'!AD52/'raw-PriceList'!AD53)-1),"")</f>
        <v>-8.5796083973372905E-3</v>
      </c>
      <c r="AC52" s="6">
        <f>IFERROR((('raw-PriceList'!AE52/'raw-PriceList'!AE53)-1),"")</f>
        <v>-8.5796083973372905E-3</v>
      </c>
      <c r="AD52" s="6">
        <f>IFERROR((('raw-PriceList'!AF52/'raw-PriceList'!AF53)-1),"")</f>
        <v>-1.0200679207546415E-2</v>
      </c>
      <c r="AE52" s="6">
        <f>IFERROR((('raw-PriceList'!AG52/'raw-PriceList'!AG53)-1),"")</f>
        <v>-5.7764282497622443E-2</v>
      </c>
      <c r="AF52" s="6">
        <f>IFERROR((('raw-PriceList'!AH52/'raw-PriceList'!AH53)-1),"")</f>
        <v>-3.3004622469948064E-2</v>
      </c>
      <c r="AG52" s="6">
        <f>IFERROR((('raw-PriceList'!AJ52/'raw-PriceList'!AJ53)-1),"")</f>
        <v>-3.4428891067671885E-2</v>
      </c>
      <c r="AH52" s="6">
        <f>IFERROR((('raw-PriceList'!AK52/'raw-PriceList'!AK53)-1),"")</f>
        <v>-2.5955513213419823E-2</v>
      </c>
      <c r="AI52" s="6" t="str">
        <f>IFERROR((('raw-PriceList'!AM52/'raw-PriceList'!AM53)-1),"")</f>
        <v/>
      </c>
      <c r="AJ52" s="6">
        <f>IFERROR((('raw-PriceList'!AN52/'raw-PriceList'!AN53)-1),"")</f>
        <v>-5.5326609844016383E-3</v>
      </c>
      <c r="AK52" s="6">
        <f>IFERROR((('raw-PriceList'!AO52/'raw-PriceList'!AO53)-1),"")</f>
        <v>-2.2105257823387792E-2</v>
      </c>
      <c r="AL52" s="6">
        <f>IFERROR((('raw-PriceList'!AP52/'raw-PriceList'!AP53)-1),"")</f>
        <v>-2.482592748652146E-3</v>
      </c>
      <c r="AM52" s="6">
        <f>IFERROR((('raw-PriceList'!AQ52/'raw-PriceList'!AQ53)-1),"")</f>
        <v>-1.3482063690893886E-2</v>
      </c>
      <c r="AN52" s="6">
        <f>IFERROR((('raw-PriceList'!AR52/'raw-PriceList'!AR53)-1),"")</f>
        <v>-7.857723883589518E-3</v>
      </c>
      <c r="AO52" s="6">
        <f>IFERROR((('raw-PriceList'!AS52/'raw-PriceList'!AS53)-1),"")</f>
        <v>-3.3864358107531189E-2</v>
      </c>
      <c r="AP52" s="6">
        <f>IFERROR((('raw-PriceList'!AT52/'raw-PriceList'!AT53)-1),"")</f>
        <v>-3.3864358107531189E-2</v>
      </c>
      <c r="AQ52" s="6">
        <f>IFERROR((('raw-PriceList'!AU52/'raw-PriceList'!AU53)-1),"")</f>
        <v>-3.9524983154486382E-3</v>
      </c>
      <c r="AR52" s="6">
        <f>IFERROR((('raw-PriceList'!AV52/'raw-PriceList'!AV53)-1),"")</f>
        <v>-4.6542915407053687E-2</v>
      </c>
      <c r="AS52" s="6">
        <f>IFERROR((('raw-PriceList'!AW52/'raw-PriceList'!AW53)-1),"")</f>
        <v>-1.938958645903921E-2</v>
      </c>
    </row>
    <row r="53" spans="1:45" x14ac:dyDescent="0.2">
      <c r="A53" s="2">
        <v>41973</v>
      </c>
      <c r="B53" s="6">
        <f>IFERROR((('raw-PriceList'!B53/'raw-PriceList'!B54)-1),"")</f>
        <v>6.2553488084839959E-3</v>
      </c>
      <c r="C53" s="6">
        <f>IFERROR((('raw-PriceList'!C53/'raw-PriceList'!C54)-1),"")</f>
        <v>1.3661764317656866E-2</v>
      </c>
      <c r="D53" s="6">
        <f>IFERROR((('raw-PriceList'!D53/'raw-PriceList'!D54)-1),"")</f>
        <v>6.219362759977809E-3</v>
      </c>
      <c r="E53" s="6">
        <f>IFERROR((('raw-PriceList'!F53/'raw-PriceList'!F54)-1),"")</f>
        <v>7.7664166783468769E-3</v>
      </c>
      <c r="F53" s="6">
        <f>IFERROR((('raw-PriceList'!G53/'raw-PriceList'!G54)-1),"")</f>
        <v>1.5731072129718804E-3</v>
      </c>
      <c r="G53" s="6">
        <f>IFERROR((('raw-PriceList'!H53/'raw-PriceList'!H54)-1),"")</f>
        <v>4.3242680643730491E-2</v>
      </c>
      <c r="H53" s="6">
        <f>IFERROR((('raw-PriceList'!J53/'raw-PriceList'!J54)-1),"")</f>
        <v>2.5779233483815389E-2</v>
      </c>
      <c r="I53" s="6">
        <f>IFERROR((('raw-PriceList'!K53/'raw-PriceList'!K54)-1),"")</f>
        <v>3.0872954266406349E-2</v>
      </c>
      <c r="J53" s="6">
        <f>IFERROR((('raw-PriceList'!L53/'raw-PriceList'!L54)-1),"")</f>
        <v>2.2472586927264171E-2</v>
      </c>
      <c r="K53" s="6">
        <f>IFERROR((('raw-PriceList'!M53/'raw-PriceList'!M54)-1),"")</f>
        <v>1.0654203117813177E-2</v>
      </c>
      <c r="L53" s="6">
        <f>IFERROR((('raw-PriceList'!N53/'raw-PriceList'!N54)-1),"")</f>
        <v>9.90517172491856E-3</v>
      </c>
      <c r="M53" s="6">
        <f>IFERROR((('raw-PriceList'!O53/'raw-PriceList'!O54)-1),"")</f>
        <v>1.1010178445769014E-2</v>
      </c>
      <c r="N53" s="6">
        <f>IFERROR((('raw-PriceList'!P53/'raw-PriceList'!P54)-1),"")</f>
        <v>4.6194322676480493E-3</v>
      </c>
      <c r="O53" s="6">
        <f>IFERROR((('raw-PriceList'!Q53/'raw-PriceList'!Q54)-1),"")</f>
        <v>2.4287641076012889E-3</v>
      </c>
      <c r="P53" s="6">
        <f>IFERROR((('raw-PriceList'!R53/'raw-PriceList'!R54)-1),"")</f>
        <v>6.5869435995136172E-4</v>
      </c>
      <c r="Q53" s="6">
        <f>IFERROR((('raw-PriceList'!S53/'raw-PriceList'!S54)-1),"")</f>
        <v>0</v>
      </c>
      <c r="R53" s="6">
        <f>IFERROR((('raw-PriceList'!T53/'raw-PriceList'!T54)-1),"")</f>
        <v>-3.3144540108864806E-3</v>
      </c>
      <c r="S53" s="6">
        <f>IFERROR((('raw-PriceList'!U53/'raw-PriceList'!U54)-1),"")</f>
        <v>5.9996873349843494E-3</v>
      </c>
      <c r="T53" s="6">
        <f>IFERROR((('raw-PriceList'!V53/'raw-PriceList'!V54)-1),"")</f>
        <v>2.068590333717979E-2</v>
      </c>
      <c r="U53" s="6">
        <f>IFERROR((('raw-PriceList'!W53/'raw-PriceList'!W54)-1),"")</f>
        <v>2.2126918686078856E-2</v>
      </c>
      <c r="V53" s="6">
        <f>IFERROR((('raw-PriceList'!X53/'raw-PriceList'!X54)-1),"")</f>
        <v>1.0357676466681287E-3</v>
      </c>
      <c r="W53" s="6">
        <f>IFERROR((('raw-PriceList'!Y53/'raw-PriceList'!Y54)-1),"")</f>
        <v>3.2134056372494779E-2</v>
      </c>
      <c r="X53" s="6" t="str">
        <f>IFERROR((('raw-PriceList'!Z53/'raw-PriceList'!Z54)-1),"")</f>
        <v/>
      </c>
      <c r="Y53" s="6">
        <f>IFERROR((('raw-PriceList'!AA53/'raw-PriceList'!AA54)-1),"")</f>
        <v>5.7643887779714742E-3</v>
      </c>
      <c r="Z53" s="6">
        <f>IFERROR((('raw-PriceList'!AB53/'raw-PriceList'!AB54)-1),"")</f>
        <v>-1.1233109534073527E-2</v>
      </c>
      <c r="AA53" s="6">
        <f>IFERROR((('raw-PriceList'!AC53/'raw-PriceList'!AC54)-1),"")</f>
        <v>2.718606722300998E-2</v>
      </c>
      <c r="AB53" s="6">
        <f>IFERROR((('raw-PriceList'!AD53/'raw-PriceList'!AD54)-1),"")</f>
        <v>2.736802907535818E-2</v>
      </c>
      <c r="AC53" s="6">
        <f>IFERROR((('raw-PriceList'!AE53/'raw-PriceList'!AE54)-1),"")</f>
        <v>2.736802907535818E-2</v>
      </c>
      <c r="AD53" s="6">
        <f>IFERROR((('raw-PriceList'!AF53/'raw-PriceList'!AF54)-1),"")</f>
        <v>3.1250263694536207E-2</v>
      </c>
      <c r="AE53" s="6">
        <f>IFERROR((('raw-PriceList'!AG53/'raw-PriceList'!AG54)-1),"")</f>
        <v>8.8836838961052766E-3</v>
      </c>
      <c r="AF53" s="6">
        <f>IFERROR((('raw-PriceList'!AH53/'raw-PriceList'!AH54)-1),"")</f>
        <v>-3.7789124811866692E-2</v>
      </c>
      <c r="AG53" s="6">
        <f>IFERROR((('raw-PriceList'!AJ53/'raw-PriceList'!AJ54)-1),"")</f>
        <v>-1.8915313440674431E-2</v>
      </c>
      <c r="AH53" s="6">
        <f>IFERROR((('raw-PriceList'!AK53/'raw-PriceList'!AK54)-1),"")</f>
        <v>1.2636410575549206E-2</v>
      </c>
      <c r="AI53" s="6" t="str">
        <f>IFERROR((('raw-PriceList'!AM53/'raw-PriceList'!AM54)-1),"")</f>
        <v/>
      </c>
      <c r="AJ53" s="6">
        <f>IFERROR((('raw-PriceList'!AN53/'raw-PriceList'!AN54)-1),"")</f>
        <v>2.4745309728557929E-2</v>
      </c>
      <c r="AK53" s="6">
        <f>IFERROR((('raw-PriceList'!AO53/'raw-PriceList'!AO54)-1),"")</f>
        <v>-1.582289048871921E-3</v>
      </c>
      <c r="AL53" s="6">
        <f>IFERROR((('raw-PriceList'!AP53/'raw-PriceList'!AP54)-1),"")</f>
        <v>2.4689913777835359E-2</v>
      </c>
      <c r="AM53" s="6">
        <f>IFERROR((('raw-PriceList'!AQ53/'raw-PriceList'!AQ54)-1),"")</f>
        <v>3.0814944605100036E-2</v>
      </c>
      <c r="AN53" s="6">
        <f>IFERROR((('raw-PriceList'!AR53/'raw-PriceList'!AR54)-1),"")</f>
        <v>2.7539252223196531E-2</v>
      </c>
      <c r="AO53" s="6">
        <f>IFERROR((('raw-PriceList'!AS53/'raw-PriceList'!AS54)-1),"")</f>
        <v>-8.7275209054920033E-3</v>
      </c>
      <c r="AP53" s="6">
        <f>IFERROR((('raw-PriceList'!AT53/'raw-PriceList'!AT54)-1),"")</f>
        <v>-8.7275209054920033E-3</v>
      </c>
      <c r="AQ53" s="6">
        <f>IFERROR((('raw-PriceList'!AU53/'raw-PriceList'!AU54)-1),"")</f>
        <v>1.3319980165694467E-2</v>
      </c>
      <c r="AR53" s="6">
        <f>IFERROR((('raw-PriceList'!AV53/'raw-PriceList'!AV54)-1),"")</f>
        <v>-5.0957843805023995E-3</v>
      </c>
      <c r="AS53" s="6">
        <f>IFERROR((('raw-PriceList'!AW53/'raw-PriceList'!AW54)-1),"")</f>
        <v>3.0302072879746289E-2</v>
      </c>
    </row>
    <row r="54" spans="1:45" x14ac:dyDescent="0.2">
      <c r="A54" s="2">
        <v>41943</v>
      </c>
      <c r="B54" s="6">
        <f>IFERROR((('raw-PriceList'!B54/'raw-PriceList'!B55)-1),"")</f>
        <v>8.8870622337655636E-3</v>
      </c>
      <c r="C54" s="6">
        <f>IFERROR((('raw-PriceList'!C54/'raw-PriceList'!C55)-1),"")</f>
        <v>1.5960746927313529E-2</v>
      </c>
      <c r="D54" s="6">
        <f>IFERROR((('raw-PriceList'!D54/'raw-PriceList'!D55)-1),"")</f>
        <v>5.2066137994610795E-3</v>
      </c>
      <c r="E54" s="6">
        <f>IFERROR((('raw-PriceList'!F54/'raw-PriceList'!F55)-1),"")</f>
        <v>4.9775074695237453E-3</v>
      </c>
      <c r="F54" s="6">
        <f>IFERROR((('raw-PriceList'!G54/'raw-PriceList'!G55)-1),"")</f>
        <v>2.9986657055349752E-3</v>
      </c>
      <c r="G54" s="6">
        <f>IFERROR((('raw-PriceList'!H54/'raw-PriceList'!H55)-1),"")</f>
        <v>4.1807254053374709E-2</v>
      </c>
      <c r="H54" s="6">
        <f>IFERROR((('raw-PriceList'!J54/'raw-PriceList'!J55)-1),"")</f>
        <v>2.1475704894550418E-2</v>
      </c>
      <c r="I54" s="6">
        <f>IFERROR((('raw-PriceList'!K54/'raw-PriceList'!K55)-1),"")</f>
        <v>2.8398936113450679E-2</v>
      </c>
      <c r="J54" s="6">
        <f>IFERROR((('raw-PriceList'!L54/'raw-PriceList'!L55)-1),"")</f>
        <v>1.5832241340989484E-2</v>
      </c>
      <c r="K54" s="6">
        <f>IFERROR((('raw-PriceList'!M54/'raw-PriceList'!M55)-1),"")</f>
        <v>4.5228101356683759E-2</v>
      </c>
      <c r="L54" s="6">
        <f>IFERROR((('raw-PriceList'!N54/'raw-PriceList'!N55)-1),"")</f>
        <v>3.8894134380577539E-2</v>
      </c>
      <c r="M54" s="6">
        <f>IFERROR((('raw-PriceList'!O54/'raw-PriceList'!O55)-1),"")</f>
        <v>4.8505719329738239E-2</v>
      </c>
      <c r="N54" s="6">
        <f>IFERROR((('raw-PriceList'!P54/'raw-PriceList'!P55)-1),"")</f>
        <v>8.7031086778093236E-3</v>
      </c>
      <c r="O54" s="6">
        <f>IFERROR((('raw-PriceList'!Q54/'raw-PriceList'!Q55)-1),"")</f>
        <v>1.9200415366319667E-2</v>
      </c>
      <c r="P54" s="6">
        <f>IFERROR((('raw-PriceList'!R54/'raw-PriceList'!R55)-1),"")</f>
        <v>3.1938157910715859E-3</v>
      </c>
      <c r="Q54" s="6">
        <f>IFERROR((('raw-PriceList'!S54/'raw-PriceList'!S55)-1),"")</f>
        <v>-3.5747024770851343E-3</v>
      </c>
      <c r="R54" s="6">
        <f>IFERROR((('raw-PriceList'!T54/'raw-PriceList'!T55)-1),"")</f>
        <v>2.0295880387120047E-3</v>
      </c>
      <c r="S54" s="6">
        <f>IFERROR((('raw-PriceList'!U54/'raw-PriceList'!U55)-1),"")</f>
        <v>9.4079616302742419E-3</v>
      </c>
      <c r="T54" s="6">
        <f>IFERROR((('raw-PriceList'!V54/'raw-PriceList'!V55)-1),"")</f>
        <v>-1.8980685916099249E-2</v>
      </c>
      <c r="U54" s="6">
        <f>IFERROR((('raw-PriceList'!W54/'raw-PriceList'!W55)-1),"")</f>
        <v>2.4616254532585868E-2</v>
      </c>
      <c r="V54" s="6">
        <f>IFERROR((('raw-PriceList'!X54/'raw-PriceList'!X55)-1),"")</f>
        <v>2.0220500130327945E-3</v>
      </c>
      <c r="W54" s="6">
        <f>IFERROR((('raw-PriceList'!Y54/'raw-PriceList'!Y55)-1),"")</f>
        <v>2.6538111554495147E-2</v>
      </c>
      <c r="X54" s="6" t="str">
        <f>IFERROR((('raw-PriceList'!Z54/'raw-PriceList'!Z55)-1),"")</f>
        <v/>
      </c>
      <c r="Y54" s="6">
        <f>IFERROR((('raw-PriceList'!AA54/'raw-PriceList'!AA55)-1),"")</f>
        <v>7.0160902539382342E-3</v>
      </c>
      <c r="Z54" s="6">
        <f>IFERROR((('raw-PriceList'!AB54/'raw-PriceList'!AB55)-1),"")</f>
        <v>4.4242372375229211E-2</v>
      </c>
      <c r="AA54" s="6">
        <f>IFERROR((('raw-PriceList'!AC54/'raw-PriceList'!AC55)-1),"")</f>
        <v>3.554069447030761E-2</v>
      </c>
      <c r="AB54" s="6">
        <f>IFERROR((('raw-PriceList'!AD54/'raw-PriceList'!AD55)-1),"")</f>
        <v>2.4208270282311206E-2</v>
      </c>
      <c r="AC54" s="6">
        <f>IFERROR((('raw-PriceList'!AE54/'raw-PriceList'!AE55)-1),"")</f>
        <v>2.4208270282311206E-2</v>
      </c>
      <c r="AD54" s="6">
        <f>IFERROR((('raw-PriceList'!AF54/'raw-PriceList'!AF55)-1),"")</f>
        <v>3.3923260328846405E-2</v>
      </c>
      <c r="AE54" s="6">
        <f>IFERROR((('raw-PriceList'!AG54/'raw-PriceList'!AG55)-1),"")</f>
        <v>2.0853486755357364E-2</v>
      </c>
      <c r="AF54" s="6">
        <f>IFERROR((('raw-PriceList'!AH54/'raw-PriceList'!AH55)-1),"")</f>
        <v>3.0629408339669428E-2</v>
      </c>
      <c r="AG54" s="6">
        <f>IFERROR((('raw-PriceList'!AJ54/'raw-PriceList'!AJ55)-1),"")</f>
        <v>-1.4836690071958758E-2</v>
      </c>
      <c r="AH54" s="6">
        <f>IFERROR((('raw-PriceList'!AK54/'raw-PriceList'!AK55)-1),"")</f>
        <v>9.4100668620038519E-3</v>
      </c>
      <c r="AI54" s="6" t="str">
        <f>IFERROR((('raw-PriceList'!AM54/'raw-PriceList'!AM55)-1),"")</f>
        <v/>
      </c>
      <c r="AJ54" s="6">
        <f>IFERROR((('raw-PriceList'!AN54/'raw-PriceList'!AN55)-1),"")</f>
        <v>2.7451586992089494E-2</v>
      </c>
      <c r="AK54" s="6">
        <f>IFERROR((('raw-PriceList'!AO54/'raw-PriceList'!AO55)-1),"")</f>
        <v>8.1325877144644565E-4</v>
      </c>
      <c r="AL54" s="6">
        <f>IFERROR((('raw-PriceList'!AP54/'raw-PriceList'!AP55)-1),"")</f>
        <v>1.8004422225216477E-2</v>
      </c>
      <c r="AM54" s="6">
        <f>IFERROR((('raw-PriceList'!AQ54/'raw-PriceList'!AQ55)-1),"")</f>
        <v>2.9797746752964649E-2</v>
      </c>
      <c r="AN54" s="6">
        <f>IFERROR((('raw-PriceList'!AR54/'raw-PriceList'!AR55)-1),"")</f>
        <v>2.3546181016779855E-2</v>
      </c>
      <c r="AO54" s="6">
        <f>IFERROR((('raw-PriceList'!AS54/'raw-PriceList'!AS55)-1),"")</f>
        <v>1.2383755882433123E-2</v>
      </c>
      <c r="AP54" s="6">
        <f>IFERROR((('raw-PriceList'!AT54/'raw-PriceList'!AT55)-1),"")</f>
        <v>1.2383755882433123E-2</v>
      </c>
      <c r="AQ54" s="6">
        <f>IFERROR((('raw-PriceList'!AU54/'raw-PriceList'!AU55)-1),"")</f>
        <v>4.0672318896708415E-2</v>
      </c>
      <c r="AR54" s="6">
        <f>IFERROR((('raw-PriceList'!AV54/'raw-PriceList'!AV55)-1),"")</f>
        <v>-7.7824353434330362E-4</v>
      </c>
      <c r="AS54" s="6">
        <f>IFERROR((('raw-PriceList'!AW54/'raw-PriceList'!AW55)-1),"")</f>
        <v>2.4669596625473078E-2</v>
      </c>
    </row>
    <row r="55" spans="1:45" x14ac:dyDescent="0.2">
      <c r="A55" s="2">
        <v>41912</v>
      </c>
      <c r="B55" s="6">
        <f>IFERROR((('raw-PriceList'!B55/'raw-PriceList'!B56)-1),"")</f>
        <v>-1.2101453642360149E-2</v>
      </c>
      <c r="C55" s="6">
        <f>IFERROR((('raw-PriceList'!C55/'raw-PriceList'!C56)-1),"")</f>
        <v>-2.78966900665365E-2</v>
      </c>
      <c r="D55" s="6">
        <f>IFERROR((('raw-PriceList'!D55/'raw-PriceList'!D56)-1),"")</f>
        <v>-7.8692512271714143E-3</v>
      </c>
      <c r="E55" s="6">
        <f>IFERROR((('raw-PriceList'!F55/'raw-PriceList'!F56)-1),"")</f>
        <v>-2.5296436332229444E-3</v>
      </c>
      <c r="F55" s="6">
        <f>IFERROR((('raw-PriceList'!G55/'raw-PriceList'!G56)-1),"")</f>
        <v>-2.5207216775710029E-3</v>
      </c>
      <c r="G55" s="6">
        <f>IFERROR((('raw-PriceList'!H55/'raw-PriceList'!H56)-1),"")</f>
        <v>-3.7390675809478302E-2</v>
      </c>
      <c r="H55" s="6">
        <f>IFERROR((('raw-PriceList'!J55/'raw-PriceList'!J56)-1),"")</f>
        <v>-1.6868857960967598E-2</v>
      </c>
      <c r="I55" s="6">
        <f>IFERROR((('raw-PriceList'!K55/'raw-PriceList'!K56)-1),"")</f>
        <v>-1.7450154641851512E-2</v>
      </c>
      <c r="J55" s="6">
        <f>IFERROR((('raw-PriceList'!L55/'raw-PriceList'!L56)-1),"")</f>
        <v>-1.5605143526179255E-2</v>
      </c>
      <c r="K55" s="6">
        <f>IFERROR((('raw-PriceList'!M55/'raw-PriceList'!M56)-1),"")</f>
        <v>-5.3531801767152221E-2</v>
      </c>
      <c r="L55" s="6">
        <f>IFERROR((('raw-PriceList'!N55/'raw-PriceList'!N56)-1),"")</f>
        <v>-4.8223718418308192E-2</v>
      </c>
      <c r="M55" s="6">
        <f>IFERROR((('raw-PriceList'!O55/'raw-PriceList'!O56)-1),"")</f>
        <v>-5.5284344002082264E-2</v>
      </c>
      <c r="N55" s="6">
        <f>IFERROR((('raw-PriceList'!P55/'raw-PriceList'!P56)-1),"")</f>
        <v>-1.57859249933332E-2</v>
      </c>
      <c r="O55" s="6">
        <f>IFERROR((('raw-PriceList'!Q55/'raw-PriceList'!Q56)-1),"")</f>
        <v>-3.3121281899520016E-2</v>
      </c>
      <c r="P55" s="6">
        <f>IFERROR((('raw-PriceList'!R55/'raw-PriceList'!R56)-1),"")</f>
        <v>-4.5541711693870557E-3</v>
      </c>
      <c r="Q55" s="6">
        <f>IFERROR((('raw-PriceList'!S55/'raw-PriceList'!S56)-1),"")</f>
        <v>-4.6533343279379191E-2</v>
      </c>
      <c r="R55" s="6">
        <f>IFERROR((('raw-PriceList'!T55/'raw-PriceList'!T56)-1),"")</f>
        <v>-5.3762101920742045E-2</v>
      </c>
      <c r="S55" s="6">
        <f>IFERROR((('raw-PriceList'!U55/'raw-PriceList'!U56)-1),"")</f>
        <v>-7.6042886886809047E-3</v>
      </c>
      <c r="T55" s="6">
        <f>IFERROR((('raw-PriceList'!V55/'raw-PriceList'!V56)-1),"")</f>
        <v>-4.4310006144047565E-2</v>
      </c>
      <c r="U55" s="6">
        <f>IFERROR((('raw-PriceList'!W55/'raw-PriceList'!W56)-1),"")</f>
        <v>-2.1902558463408051E-2</v>
      </c>
      <c r="V55" s="6">
        <f>IFERROR((('raw-PriceList'!X55/'raw-PriceList'!X56)-1),"")</f>
        <v>-8.9704454162342628E-4</v>
      </c>
      <c r="W55" s="6">
        <f>IFERROR((('raw-PriceList'!Y55/'raw-PriceList'!Y56)-1),"")</f>
        <v>-1.4983535392377734E-2</v>
      </c>
      <c r="X55" s="6" t="str">
        <f>IFERROR((('raw-PriceList'!Z55/'raw-PriceList'!Z56)-1),"")</f>
        <v/>
      </c>
      <c r="Y55" s="6">
        <f>IFERROR((('raw-PriceList'!AA55/'raw-PriceList'!AA56)-1),"")</f>
        <v>-2.0214529518167712E-3</v>
      </c>
      <c r="Z55" s="6">
        <f>IFERROR((('raw-PriceList'!AB55/'raw-PriceList'!AB56)-1),"")</f>
        <v>-7.3932605480917513E-2</v>
      </c>
      <c r="AA55" s="6">
        <f>IFERROR((('raw-PriceList'!AC55/'raw-PriceList'!AC56)-1),"")</f>
        <v>-3.4650633495445615E-2</v>
      </c>
      <c r="AB55" s="6">
        <f>IFERROR((('raw-PriceList'!AD55/'raw-PriceList'!AD56)-1),"")</f>
        <v>-1.8553572984149169E-2</v>
      </c>
      <c r="AC55" s="6">
        <f>IFERROR((('raw-PriceList'!AE55/'raw-PriceList'!AE56)-1),"")</f>
        <v>-1.8553572984149169E-2</v>
      </c>
      <c r="AD55" s="6">
        <f>IFERROR((('raw-PriceList'!AF55/'raw-PriceList'!AF56)-1),"")</f>
        <v>-2.9538736568834545E-2</v>
      </c>
      <c r="AE55" s="6">
        <f>IFERROR((('raw-PriceList'!AG55/'raw-PriceList'!AG56)-1),"")</f>
        <v>-1.2652210670368813E-2</v>
      </c>
      <c r="AF55" s="6">
        <f>IFERROR((('raw-PriceList'!AH55/'raw-PriceList'!AH56)-1),"")</f>
        <v>-5.1581550617839866E-2</v>
      </c>
      <c r="AG55" s="6">
        <f>IFERROR((('raw-PriceList'!AJ55/'raw-PriceList'!AJ56)-1),"")</f>
        <v>-6.6291895790071997E-2</v>
      </c>
      <c r="AH55" s="6">
        <f>IFERROR((('raw-PriceList'!AK55/'raw-PriceList'!AK56)-1),"")</f>
        <v>-3.7893690907126687E-2</v>
      </c>
      <c r="AI55" s="6" t="str">
        <f>IFERROR((('raw-PriceList'!AM55/'raw-PriceList'!AM56)-1),"")</f>
        <v/>
      </c>
      <c r="AJ55" s="6">
        <f>IFERROR((('raw-PriceList'!AN55/'raw-PriceList'!AN56)-1),"")</f>
        <v>-2.5443000931822835E-2</v>
      </c>
      <c r="AK55" s="6">
        <f>IFERROR((('raw-PriceList'!AO55/'raw-PriceList'!AO56)-1),"")</f>
        <v>-1.0838261181777997E-2</v>
      </c>
      <c r="AL55" s="6">
        <f>IFERROR((('raw-PriceList'!AP55/'raw-PriceList'!AP56)-1),"")</f>
        <v>-1.8517623157097818E-2</v>
      </c>
      <c r="AM55" s="6">
        <f>IFERROR((('raw-PriceList'!AQ55/'raw-PriceList'!AQ56)-1),"")</f>
        <v>-2.1300728815608072E-2</v>
      </c>
      <c r="AN55" s="6">
        <f>IFERROR((('raw-PriceList'!AR55/'raw-PriceList'!AR56)-1),"")</f>
        <v>-1.9812300868194077E-2</v>
      </c>
      <c r="AO55" s="6">
        <f>IFERROR((('raw-PriceList'!AS55/'raw-PriceList'!AS56)-1),"")</f>
        <v>-2.5443358524810167E-2</v>
      </c>
      <c r="AP55" s="6">
        <f>IFERROR((('raw-PriceList'!AT55/'raw-PriceList'!AT56)-1),"")</f>
        <v>-2.5443358524810167E-2</v>
      </c>
      <c r="AQ55" s="6">
        <f>IFERROR((('raw-PriceList'!AU55/'raw-PriceList'!AU56)-1),"")</f>
        <v>-5.0532911899139332E-2</v>
      </c>
      <c r="AR55" s="6">
        <f>IFERROR((('raw-PriceList'!AV55/'raw-PriceList'!AV56)-1),"")</f>
        <v>-5.5064389705947736E-2</v>
      </c>
      <c r="AS55" s="6">
        <f>IFERROR((('raw-PriceList'!AW55/'raw-PriceList'!AW56)-1),"")</f>
        <v>-1.8459070444292958E-2</v>
      </c>
    </row>
    <row r="56" spans="1:45" x14ac:dyDescent="0.2">
      <c r="A56" s="2">
        <v>41882</v>
      </c>
      <c r="B56" s="6">
        <f>IFERROR((('raw-PriceList'!B56/'raw-PriceList'!B57)-1),"")</f>
        <v>1.2611913098091732E-2</v>
      </c>
      <c r="C56" s="6">
        <f>IFERROR((('raw-PriceList'!C56/'raw-PriceList'!C57)-1),"")</f>
        <v>3.6248879663713707E-2</v>
      </c>
      <c r="D56" s="6">
        <f>IFERROR((('raw-PriceList'!D56/'raw-PriceList'!D57)-1),"")</f>
        <v>9.2786891897604917E-3</v>
      </c>
      <c r="E56" s="6">
        <f>IFERROR((('raw-PriceList'!F56/'raw-PriceList'!F57)-1),"")</f>
        <v>1.2237008181903208E-2</v>
      </c>
      <c r="F56" s="6">
        <f>IFERROR((('raw-PriceList'!G56/'raw-PriceList'!G57)-1),"")</f>
        <v>2.5790536134664421E-3</v>
      </c>
      <c r="G56" s="6">
        <f>IFERROR((('raw-PriceList'!H56/'raw-PriceList'!H57)-1),"")</f>
        <v>6.9790959662735963E-2</v>
      </c>
      <c r="H56" s="6">
        <f>IFERROR((('raw-PriceList'!J56/'raw-PriceList'!J57)-1),"")</f>
        <v>3.8937909917402092E-2</v>
      </c>
      <c r="I56" s="6">
        <f>IFERROR((('raw-PriceList'!K56/'raw-PriceList'!K57)-1),"")</f>
        <v>4.4502398809303845E-2</v>
      </c>
      <c r="J56" s="6">
        <f>IFERROR((('raw-PriceList'!L56/'raw-PriceList'!L57)-1),"")</f>
        <v>3.3827203238330439E-2</v>
      </c>
      <c r="K56" s="6">
        <f>IFERROR((('raw-PriceList'!M56/'raw-PriceList'!M57)-1),"")</f>
        <v>5.0709148987950314E-2</v>
      </c>
      <c r="L56" s="6">
        <f>IFERROR((('raw-PriceList'!N56/'raw-PriceList'!N57)-1),"")</f>
        <v>4.7378960106672086E-2</v>
      </c>
      <c r="M56" s="6">
        <f>IFERROR((('raw-PriceList'!O56/'raw-PriceList'!O57)-1),"")</f>
        <v>5.1036719610588754E-2</v>
      </c>
      <c r="N56" s="6">
        <f>IFERROR((('raw-PriceList'!P56/'raw-PriceList'!P57)-1),"")</f>
        <v>1.2014905380515417E-2</v>
      </c>
      <c r="O56" s="6">
        <f>IFERROR((('raw-PriceList'!Q56/'raw-PriceList'!Q57)-1),"")</f>
        <v>2.8800150584955553E-2</v>
      </c>
      <c r="P56" s="6">
        <f>IFERROR((('raw-PriceList'!R56/'raw-PriceList'!R57)-1),"")</f>
        <v>1.4800308787010774E-3</v>
      </c>
      <c r="Q56" s="6">
        <f>IFERROR((('raw-PriceList'!S56/'raw-PriceList'!S57)-1),"")</f>
        <v>2.693386808248821E-3</v>
      </c>
      <c r="R56" s="6">
        <f>IFERROR((('raw-PriceList'!T56/'raw-PriceList'!T57)-1),"")</f>
        <v>1.0038810575047075E-2</v>
      </c>
      <c r="S56" s="6">
        <f>IFERROR((('raw-PriceList'!U56/'raw-PriceList'!U57)-1),"")</f>
        <v>1.0034663227701968E-2</v>
      </c>
      <c r="T56" s="6">
        <f>IFERROR((('raw-PriceList'!V56/'raw-PriceList'!V57)-1),"")</f>
        <v>7.2953710907910363E-3</v>
      </c>
      <c r="U56" s="6">
        <f>IFERROR((('raw-PriceList'!W56/'raw-PriceList'!W57)-1),"")</f>
        <v>4.036546856911527E-2</v>
      </c>
      <c r="V56" s="6">
        <f>IFERROR((('raw-PriceList'!X56/'raw-PriceList'!X57)-1),"")</f>
        <v>1.0698891941520738E-3</v>
      </c>
      <c r="W56" s="6">
        <f>IFERROR((('raw-PriceList'!Y56/'raw-PriceList'!Y57)-1),"")</f>
        <v>3.6471433943008114E-2</v>
      </c>
      <c r="X56" s="6" t="str">
        <f>IFERROR((('raw-PriceList'!Z56/'raw-PriceList'!Z57)-1),"")</f>
        <v/>
      </c>
      <c r="Y56" s="6">
        <f>IFERROR((('raw-PriceList'!AA56/'raw-PriceList'!AA57)-1),"")</f>
        <v>5.8700653969161465E-3</v>
      </c>
      <c r="Z56" s="6">
        <f>IFERROR((('raw-PriceList'!AB56/'raw-PriceList'!AB57)-1),"")</f>
        <v>2.5704288992938196E-3</v>
      </c>
      <c r="AA56" s="6">
        <f>IFERROR((('raw-PriceList'!AC56/'raw-PriceList'!AC57)-1),"")</f>
        <v>3.8588307425897916E-2</v>
      </c>
      <c r="AB56" s="6">
        <f>IFERROR((('raw-PriceList'!AD56/'raw-PriceList'!AD57)-1),"")</f>
        <v>4.0009999094587911E-2</v>
      </c>
      <c r="AC56" s="6">
        <f>IFERROR((('raw-PriceList'!AE56/'raw-PriceList'!AE57)-1),"")</f>
        <v>4.0009999094587911E-2</v>
      </c>
      <c r="AD56" s="6">
        <f>IFERROR((('raw-PriceList'!AF56/'raw-PriceList'!AF57)-1),"")</f>
        <v>5.5996159681875213E-2</v>
      </c>
      <c r="AE56" s="6">
        <f>IFERROR((('raw-PriceList'!AG56/'raw-PriceList'!AG57)-1),"")</f>
        <v>-6.4167647221105018E-3</v>
      </c>
      <c r="AF56" s="6">
        <f>IFERROR((('raw-PriceList'!AH56/'raw-PriceList'!AH57)-1),"")</f>
        <v>-4.451609760042996E-3</v>
      </c>
      <c r="AG56" s="6">
        <f>IFERROR((('raw-PriceList'!AJ56/'raw-PriceList'!AJ57)-1),"")</f>
        <v>1.463650615485923E-2</v>
      </c>
      <c r="AH56" s="6">
        <f>IFERROR((('raw-PriceList'!AK56/'raw-PriceList'!AK57)-1),"")</f>
        <v>2.6480432526925002E-2</v>
      </c>
      <c r="AI56" s="6" t="str">
        <f>IFERROR((('raw-PriceList'!AM56/'raw-PriceList'!AM57)-1),"")</f>
        <v/>
      </c>
      <c r="AJ56" s="6">
        <f>IFERROR((('raw-PriceList'!AN56/'raw-PriceList'!AN57)-1),"")</f>
        <v>4.1536577863387381E-2</v>
      </c>
      <c r="AK56" s="6">
        <f>IFERROR((('raw-PriceList'!AO56/'raw-PriceList'!AO57)-1),"")</f>
        <v>-7.8279343943010726E-4</v>
      </c>
      <c r="AL56" s="6">
        <f>IFERROR((('raw-PriceList'!AP56/'raw-PriceList'!AP57)-1),"")</f>
        <v>3.4400013403414587E-2</v>
      </c>
      <c r="AM56" s="6">
        <f>IFERROR((('raw-PriceList'!AQ56/'raw-PriceList'!AQ57)-1),"")</f>
        <v>4.5971230248193384E-2</v>
      </c>
      <c r="AN56" s="6">
        <f>IFERROR((('raw-PriceList'!AR56/'raw-PriceList'!AR57)-1),"")</f>
        <v>3.9737623417139378E-2</v>
      </c>
      <c r="AO56" s="6">
        <f>IFERROR((('raw-PriceList'!AS56/'raw-PriceList'!AS57)-1),"")</f>
        <v>7.3999671921409771E-3</v>
      </c>
      <c r="AP56" s="6">
        <f>IFERROR((('raw-PriceList'!AT56/'raw-PriceList'!AT57)-1),"")</f>
        <v>7.3999671921409771E-3</v>
      </c>
      <c r="AQ56" s="6">
        <f>IFERROR((('raw-PriceList'!AU56/'raw-PriceList'!AU57)-1),"")</f>
        <v>4.9215396785496912E-2</v>
      </c>
      <c r="AR56" s="6">
        <f>IFERROR((('raw-PriceList'!AV56/'raw-PriceList'!AV57)-1),"")</f>
        <v>1.1645343362184146E-2</v>
      </c>
      <c r="AS56" s="6">
        <f>IFERROR((('raw-PriceList'!AW56/'raw-PriceList'!AW57)-1),"")</f>
        <v>3.7546755944092736E-2</v>
      </c>
    </row>
    <row r="57" spans="1:45" x14ac:dyDescent="0.2">
      <c r="A57" s="2">
        <v>41851</v>
      </c>
      <c r="B57" s="6">
        <f>IFERROR((('raw-PriceList'!B57/'raw-PriceList'!B58)-1),"")</f>
        <v>-5.4805351031248506E-3</v>
      </c>
      <c r="C57" s="6">
        <f>IFERROR((('raw-PriceList'!C57/'raw-PriceList'!C58)-1),"")</f>
        <v>-3.5573047339843011E-3</v>
      </c>
      <c r="D57" s="6">
        <f>IFERROR((('raw-PriceList'!D57/'raw-PriceList'!D58)-1),"")</f>
        <v>-4.7668980643287284E-3</v>
      </c>
      <c r="E57" s="6">
        <f>IFERROR((('raw-PriceList'!F57/'raw-PriceList'!F58)-1),"")</f>
        <v>3.9333302468427256E-3</v>
      </c>
      <c r="F57" s="6">
        <f>IFERROR((('raw-PriceList'!G57/'raw-PriceList'!G58)-1),"")</f>
        <v>-3.4002432870461341E-3</v>
      </c>
      <c r="G57" s="6">
        <f>IFERROR((('raw-PriceList'!H57/'raw-PriceList'!H58)-1),"")</f>
        <v>1.4885729651174628E-2</v>
      </c>
      <c r="H57" s="6">
        <f>IFERROR((('raw-PriceList'!J57/'raw-PriceList'!J58)-1),"")</f>
        <v>-1.2021786575044047E-2</v>
      </c>
      <c r="I57" s="6">
        <f>IFERROR((('raw-PriceList'!K57/'raw-PriceList'!K58)-1),"")</f>
        <v>-1.2926269417796954E-2</v>
      </c>
      <c r="J57" s="6">
        <f>IFERROR((('raw-PriceList'!L57/'raw-PriceList'!L58)-1),"")</f>
        <v>-1.0830181200793154E-2</v>
      </c>
      <c r="K57" s="6">
        <f>IFERROR((('raw-PriceList'!M57/'raw-PriceList'!M58)-1),"")</f>
        <v>-5.0106162696948342E-2</v>
      </c>
      <c r="L57" s="6">
        <f>IFERROR((('raw-PriceList'!N57/'raw-PriceList'!N58)-1),"")</f>
        <v>-5.2393161406877664E-2</v>
      </c>
      <c r="M57" s="6">
        <f>IFERROR((('raw-PriceList'!O57/'raw-PriceList'!O58)-1),"")</f>
        <v>-4.7790288544548143E-2</v>
      </c>
      <c r="N57" s="6">
        <f>IFERROR((('raw-PriceList'!P57/'raw-PriceList'!P58)-1),"")</f>
        <v>-5.1859471241565425E-3</v>
      </c>
      <c r="O57" s="6">
        <f>IFERROR((('raw-PriceList'!Q57/'raw-PriceList'!Q58)-1),"")</f>
        <v>-2.8150764262334649E-3</v>
      </c>
      <c r="P57" s="6">
        <f>IFERROR((('raw-PriceList'!R57/'raw-PriceList'!R58)-1),"")</f>
        <v>-3.1116076477761823E-3</v>
      </c>
      <c r="Q57" s="6">
        <f>IFERROR((('raw-PriceList'!S57/'raw-PriceList'!S58)-1),"")</f>
        <v>-2.3693838108738263E-2</v>
      </c>
      <c r="R57" s="6">
        <f>IFERROR((('raw-PriceList'!T57/'raw-PriceList'!T58)-1),"")</f>
        <v>-1.4695035135478873E-2</v>
      </c>
      <c r="S57" s="6">
        <f>IFERROR((('raw-PriceList'!U57/'raw-PriceList'!U58)-1),"")</f>
        <v>-6.2662505728371398E-3</v>
      </c>
      <c r="T57" s="6">
        <f>IFERROR((('raw-PriceList'!V57/'raw-PriceList'!V58)-1),"")</f>
        <v>-4.3192350747108921E-2</v>
      </c>
      <c r="U57" s="6">
        <f>IFERROR((('raw-PriceList'!W57/'raw-PriceList'!W58)-1),"")</f>
        <v>2.4317446132529064E-3</v>
      </c>
      <c r="V57" s="6">
        <f>IFERROR((('raw-PriceList'!X57/'raw-PriceList'!X58)-1),"")</f>
        <v>-4.136987623170052E-4</v>
      </c>
      <c r="W57" s="6">
        <f>IFERROR((('raw-PriceList'!Y57/'raw-PriceList'!Y58)-1),"")</f>
        <v>-3.3094077093107188E-2</v>
      </c>
      <c r="X57" s="6" t="str">
        <f>IFERROR((('raw-PriceList'!Z57/'raw-PriceList'!Z58)-1),"")</f>
        <v/>
      </c>
      <c r="Y57" s="6">
        <f>IFERROR((('raw-PriceList'!AA57/'raw-PriceList'!AA58)-1),"")</f>
        <v>-4.7309604733430932E-3</v>
      </c>
      <c r="Z57" s="6">
        <f>IFERROR((('raw-PriceList'!AB57/'raw-PriceList'!AB58)-1),"")</f>
        <v>1.0283225827012021E-2</v>
      </c>
      <c r="AA57" s="6">
        <f>IFERROR((('raw-PriceList'!AC57/'raw-PriceList'!AC58)-1),"")</f>
        <v>-2.597003454013902E-2</v>
      </c>
      <c r="AB57" s="6">
        <f>IFERROR((('raw-PriceList'!AD57/'raw-PriceList'!AD58)-1),"")</f>
        <v>-1.3867583079651413E-2</v>
      </c>
      <c r="AC57" s="6">
        <f>IFERROR((('raw-PriceList'!AE57/'raw-PriceList'!AE58)-1),"")</f>
        <v>-1.3867583079651413E-2</v>
      </c>
      <c r="AD57" s="6">
        <f>IFERROR((('raw-PriceList'!AF57/'raw-PriceList'!AF58)-1),"")</f>
        <v>-2.5099974660011459E-2</v>
      </c>
      <c r="AE57" s="6">
        <f>IFERROR((('raw-PriceList'!AG57/'raw-PriceList'!AG58)-1),"")</f>
        <v>1.1682427598450618E-2</v>
      </c>
      <c r="AF57" s="6">
        <f>IFERROR((('raw-PriceList'!AH57/'raw-PriceList'!AH58)-1),"")</f>
        <v>9.1482303159931E-3</v>
      </c>
      <c r="AG57" s="6">
        <f>IFERROR((('raw-PriceList'!AJ57/'raw-PriceList'!AJ58)-1),"")</f>
        <v>-3.026114878984365E-2</v>
      </c>
      <c r="AH57" s="6">
        <f>IFERROR((('raw-PriceList'!AK57/'raw-PriceList'!AK58)-1),"")</f>
        <v>-1.7541017983556673E-2</v>
      </c>
      <c r="AI57" s="6" t="str">
        <f>IFERROR((('raw-PriceList'!AM57/'raw-PriceList'!AM58)-1),"")</f>
        <v/>
      </c>
      <c r="AJ57" s="6">
        <f>IFERROR((('raw-PriceList'!AN57/'raw-PriceList'!AN58)-1),"")</f>
        <v>-1.9976300104350253E-2</v>
      </c>
      <c r="AK57" s="6">
        <f>IFERROR((('raw-PriceList'!AO57/'raw-PriceList'!AO58)-1),"")</f>
        <v>-3.4147724472655128E-3</v>
      </c>
      <c r="AL57" s="6">
        <f>IFERROR((('raw-PriceList'!AP57/'raw-PriceList'!AP58)-1),"")</f>
        <v>-1.1975194258113109E-2</v>
      </c>
      <c r="AM57" s="6">
        <f>IFERROR((('raw-PriceList'!AQ57/'raw-PriceList'!AQ58)-1),"")</f>
        <v>-1.5565398353228899E-2</v>
      </c>
      <c r="AN57" s="6">
        <f>IFERROR((('raw-PriceList'!AR57/'raw-PriceList'!AR58)-1),"")</f>
        <v>-1.3875583255221646E-2</v>
      </c>
      <c r="AO57" s="6">
        <f>IFERROR((('raw-PriceList'!AS57/'raw-PriceList'!AS58)-1),"")</f>
        <v>-6.1230990054005341E-3</v>
      </c>
      <c r="AP57" s="6">
        <f>IFERROR((('raw-PriceList'!AT57/'raw-PriceList'!AT58)-1),"")</f>
        <v>-6.1230990054005341E-3</v>
      </c>
      <c r="AQ57" s="6">
        <f>IFERROR((('raw-PriceList'!AU57/'raw-PriceList'!AU58)-1),"")</f>
        <v>-4.3754697149672173E-2</v>
      </c>
      <c r="AR57" s="6">
        <f>IFERROR((('raw-PriceList'!AV57/'raw-PriceList'!AV58)-1),"")</f>
        <v>-1.7322904262344063E-2</v>
      </c>
      <c r="AS57" s="6">
        <f>IFERROR((('raw-PriceList'!AW57/'raw-PriceList'!AW58)-1),"")</f>
        <v>-1.6728784286951126E-2</v>
      </c>
    </row>
    <row r="58" spans="1:45" x14ac:dyDescent="0.2">
      <c r="A58" s="2">
        <v>41820</v>
      </c>
      <c r="B58" s="6">
        <f>IFERROR((('raw-PriceList'!B58/'raw-PriceList'!B59)-1),"")</f>
        <v>-2.5741060966990581E-3</v>
      </c>
      <c r="C58" s="6">
        <f>IFERROR((('raw-PriceList'!C58/'raw-PriceList'!C59)-1),"")</f>
        <v>-1.3297296168301997E-3</v>
      </c>
      <c r="D58" s="6">
        <f>IFERROR((('raw-PriceList'!D58/'raw-PriceList'!D59)-1),"")</f>
        <v>-1.4008222011310245E-3</v>
      </c>
      <c r="E58" s="6">
        <f>IFERROR((('raw-PriceList'!F58/'raw-PriceList'!F59)-1),"")</f>
        <v>4.7362926904970237E-3</v>
      </c>
      <c r="F58" s="6">
        <f>IFERROR((('raw-PriceList'!G58/'raw-PriceList'!G59)-1),"")</f>
        <v>-1.3661694626881937E-3</v>
      </c>
      <c r="G58" s="6">
        <f>IFERROR((('raw-PriceList'!H58/'raw-PriceList'!H59)-1),"")</f>
        <v>-1.1072451551710549E-2</v>
      </c>
      <c r="H58" s="6">
        <f>IFERROR((('raw-PriceList'!J58/'raw-PriceList'!J59)-1),"")</f>
        <v>1.4993867289323726E-2</v>
      </c>
      <c r="I58" s="6">
        <f>IFERROR((('raw-PriceList'!K58/'raw-PriceList'!K59)-1),"")</f>
        <v>1.8172598243010984E-2</v>
      </c>
      <c r="J58" s="6">
        <f>IFERROR((('raw-PriceList'!L58/'raw-PriceList'!L59)-1),"")</f>
        <v>1.2331090411552781E-2</v>
      </c>
      <c r="K58" s="6">
        <f>IFERROR((('raw-PriceList'!M58/'raw-PriceList'!M59)-1),"")</f>
        <v>4.9588414696998706E-2</v>
      </c>
      <c r="L58" s="6">
        <f>IFERROR((('raw-PriceList'!N58/'raw-PriceList'!N59)-1),"")</f>
        <v>5.8233843345770975E-2</v>
      </c>
      <c r="M58" s="6">
        <f>IFERROR((('raw-PriceList'!O58/'raw-PriceList'!O59)-1),"")</f>
        <v>4.3113449873969589E-2</v>
      </c>
      <c r="N58" s="6">
        <f>IFERROR((('raw-PriceList'!P58/'raw-PriceList'!P59)-1),"")</f>
        <v>-1.1316528743947618E-3</v>
      </c>
      <c r="O58" s="6">
        <f>IFERROR((('raw-PriceList'!Q58/'raw-PriceList'!Q59)-1),"")</f>
        <v>-2.8381343070520426E-3</v>
      </c>
      <c r="P58" s="6">
        <f>IFERROR((('raw-PriceList'!R58/'raw-PriceList'!R59)-1),"")</f>
        <v>-1.5019085382550479E-3</v>
      </c>
      <c r="Q58" s="6">
        <f>IFERROR((('raw-PriceList'!S58/'raw-PriceList'!S59)-1),"")</f>
        <v>-1.6685462620742442E-3</v>
      </c>
      <c r="R58" s="6">
        <f>IFERROR((('raw-PriceList'!T58/'raw-PriceList'!T59)-1),"")</f>
        <v>4.9814284720377522E-3</v>
      </c>
      <c r="S58" s="6">
        <f>IFERROR((('raw-PriceList'!U58/'raw-PriceList'!U59)-1),"")</f>
        <v>-2.6180625433325222E-3</v>
      </c>
      <c r="T58" s="6">
        <f>IFERROR((('raw-PriceList'!V58/'raw-PriceList'!V59)-1),"")</f>
        <v>-1.6909204385980203E-2</v>
      </c>
      <c r="U58" s="6">
        <f>IFERROR((('raw-PriceList'!W58/'raw-PriceList'!W59)-1),"")</f>
        <v>-3.7188717222369494E-3</v>
      </c>
      <c r="V58" s="6">
        <f>IFERROR((('raw-PriceList'!X58/'raw-PriceList'!X59)-1),"")</f>
        <v>-9.6660459806063859E-4</v>
      </c>
      <c r="W58" s="6">
        <f>IFERROR((('raw-PriceList'!Y58/'raw-PriceList'!Y59)-1),"")</f>
        <v>9.5794251205183478E-3</v>
      </c>
      <c r="X58" s="6" t="str">
        <f>IFERROR((('raw-PriceList'!Z58/'raw-PriceList'!Z59)-1),"")</f>
        <v/>
      </c>
      <c r="Y58" s="6">
        <f>IFERROR((('raw-PriceList'!AA58/'raw-PriceList'!AA59)-1),"")</f>
        <v>1.3724247292972169E-3</v>
      </c>
      <c r="Z58" s="6">
        <f>IFERROR((('raw-PriceList'!AB58/'raw-PriceList'!AB59)-1),"")</f>
        <v>3.1648046898693494E-3</v>
      </c>
      <c r="AA58" s="6">
        <f>IFERROR((('raw-PriceList'!AC58/'raw-PriceList'!AC59)-1),"")</f>
        <v>2.77964368071284E-2</v>
      </c>
      <c r="AB58" s="6">
        <f>IFERROR((('raw-PriceList'!AD58/'raw-PriceList'!AD59)-1),"")</f>
        <v>1.6219024226022061E-2</v>
      </c>
      <c r="AC58" s="6">
        <f>IFERROR((('raw-PriceList'!AE58/'raw-PriceList'!AE59)-1),"")</f>
        <v>1.6219024226022061E-2</v>
      </c>
      <c r="AD58" s="6">
        <f>IFERROR((('raw-PriceList'!AF58/'raw-PriceList'!AF59)-1),"")</f>
        <v>3.356539091304267E-2</v>
      </c>
      <c r="AE58" s="6">
        <f>IFERROR((('raw-PriceList'!AG58/'raw-PriceList'!AG59)-1),"")</f>
        <v>3.1027805169376865E-3</v>
      </c>
      <c r="AF58" s="6">
        <f>IFERROR((('raw-PriceList'!AH58/'raw-PriceList'!AH59)-1),"")</f>
        <v>2.129212504130984E-2</v>
      </c>
      <c r="AG58" s="6">
        <f>IFERROR((('raw-PriceList'!AJ58/'raw-PriceList'!AJ59)-1),"")</f>
        <v>1.6253662225433674E-2</v>
      </c>
      <c r="AH58" s="6">
        <f>IFERROR((('raw-PriceList'!AK58/'raw-PriceList'!AK59)-1),"")</f>
        <v>1.4511004908241976E-2</v>
      </c>
      <c r="AI58" s="6" t="str">
        <f>IFERROR((('raw-PriceList'!AM58/'raw-PriceList'!AM59)-1),"")</f>
        <v/>
      </c>
      <c r="AJ58" s="6">
        <f>IFERROR((('raw-PriceList'!AN58/'raw-PriceList'!AN59)-1),"")</f>
        <v>2.2030588432359499E-2</v>
      </c>
      <c r="AK58" s="6">
        <f>IFERROR((('raw-PriceList'!AO58/'raw-PriceList'!AO59)-1),"")</f>
        <v>2.938550379180116E-3</v>
      </c>
      <c r="AL58" s="6">
        <f>IFERROR((('raw-PriceList'!AP58/'raw-PriceList'!AP59)-1),"")</f>
        <v>1.3531659952484176E-2</v>
      </c>
      <c r="AM58" s="6">
        <f>IFERROR((('raw-PriceList'!AQ58/'raw-PriceList'!AQ59)-1),"")</f>
        <v>2.1072928854538819E-2</v>
      </c>
      <c r="AN58" s="6">
        <f>IFERROR((('raw-PriceList'!AR58/'raw-PriceList'!AR59)-1),"")</f>
        <v>1.704182338685567E-2</v>
      </c>
      <c r="AO58" s="6">
        <f>IFERROR((('raw-PriceList'!AS58/'raw-PriceList'!AS59)-1),"")</f>
        <v>-2.269027533141732E-3</v>
      </c>
      <c r="AP58" s="6">
        <f>IFERROR((('raw-PriceList'!AT58/'raw-PriceList'!AT59)-1),"")</f>
        <v>-2.269027533141732E-3</v>
      </c>
      <c r="AQ58" s="6">
        <f>IFERROR((('raw-PriceList'!AU58/'raw-PriceList'!AU59)-1),"")</f>
        <v>4.4418825145507101E-2</v>
      </c>
      <c r="AR58" s="6">
        <f>IFERROR((('raw-PriceList'!AV58/'raw-PriceList'!AV59)-1),"")</f>
        <v>7.6011966372555584E-3</v>
      </c>
      <c r="AS58" s="6">
        <f>IFERROR((('raw-PriceList'!AW58/'raw-PriceList'!AW59)-1),"")</f>
        <v>1.3018085893675035E-2</v>
      </c>
    </row>
    <row r="59" spans="1:45" x14ac:dyDescent="0.2">
      <c r="A59" s="2">
        <v>41790</v>
      </c>
      <c r="B59" s="6">
        <f>IFERROR((('raw-PriceList'!B59/'raw-PriceList'!B60)-1),"")</f>
        <v>1.1852750100427301E-2</v>
      </c>
      <c r="C59" s="6">
        <f>IFERROR((('raw-PriceList'!C59/'raw-PriceList'!C60)-1),"")</f>
        <v>1.7316725780759157E-2</v>
      </c>
      <c r="D59" s="6">
        <f>IFERROR((('raw-PriceList'!D59/'raw-PriceList'!D60)-1),"")</f>
        <v>8.3468556943520067E-3</v>
      </c>
      <c r="E59" s="6">
        <f>IFERROR((('raw-PriceList'!F59/'raw-PriceList'!F60)-1),"")</f>
        <v>6.1573550216336148E-3</v>
      </c>
      <c r="F59" s="6">
        <f>IFERROR((('raw-PriceList'!G59/'raw-PriceList'!G60)-1),"")</f>
        <v>3.1787002642267304E-3</v>
      </c>
      <c r="G59" s="6">
        <f>IFERROR((('raw-PriceList'!H59/'raw-PriceList'!H60)-1),"")</f>
        <v>4.112213434912082E-2</v>
      </c>
      <c r="H59" s="6">
        <f>IFERROR((('raw-PriceList'!J59/'raw-PriceList'!J60)-1),"")</f>
        <v>2.4250091748163172E-2</v>
      </c>
      <c r="I59" s="6">
        <f>IFERROR((('raw-PriceList'!K59/'raw-PriceList'!K60)-1),"")</f>
        <v>3.5836576431344858E-2</v>
      </c>
      <c r="J59" s="6">
        <f>IFERROR((('raw-PriceList'!L59/'raw-PriceList'!L60)-1),"")</f>
        <v>1.5323122386220245E-2</v>
      </c>
      <c r="K59" s="6">
        <f>IFERROR((('raw-PriceList'!M59/'raw-PriceList'!M60)-1),"")</f>
        <v>1.2354101050136679E-2</v>
      </c>
      <c r="L59" s="6">
        <f>IFERROR((('raw-PriceList'!N59/'raw-PriceList'!N60)-1),"")</f>
        <v>6.7579626538618598E-3</v>
      </c>
      <c r="M59" s="6">
        <f>IFERROR((('raw-PriceList'!O59/'raw-PriceList'!O60)-1),"")</f>
        <v>1.6385318399337434E-2</v>
      </c>
      <c r="N59" s="6">
        <f>IFERROR((('raw-PriceList'!P59/'raw-PriceList'!P60)-1),"")</f>
        <v>1.1588209428222473E-2</v>
      </c>
      <c r="O59" s="6">
        <f>IFERROR((('raw-PriceList'!Q59/'raw-PriceList'!Q60)-1),"")</f>
        <v>1.5002429659043637E-2</v>
      </c>
      <c r="P59" s="6">
        <f>IFERROR((('raw-PriceList'!R59/'raw-PriceList'!R60)-1),"")</f>
        <v>3.7667322160794825E-3</v>
      </c>
      <c r="Q59" s="6">
        <f>IFERROR((('raw-PriceList'!S59/'raw-PriceList'!S60)-1),"")</f>
        <v>1.7685249131947467E-2</v>
      </c>
      <c r="R59" s="6">
        <f>IFERROR((('raw-PriceList'!T59/'raw-PriceList'!T60)-1),"")</f>
        <v>1.9209568545717426E-2</v>
      </c>
      <c r="S59" s="6">
        <f>IFERROR((('raw-PriceList'!U59/'raw-PriceList'!U60)-1),"")</f>
        <v>9.1547924700876582E-3</v>
      </c>
      <c r="T59" s="6">
        <f>IFERROR((('raw-PriceList'!V59/'raw-PriceList'!V60)-1),"")</f>
        <v>7.8244018077568978E-3</v>
      </c>
      <c r="U59" s="6">
        <f>IFERROR((('raw-PriceList'!W59/'raw-PriceList'!W60)-1),"")</f>
        <v>2.4150822911655379E-2</v>
      </c>
      <c r="V59" s="6">
        <f>IFERROR((('raw-PriceList'!X59/'raw-PriceList'!X60)-1),"")</f>
        <v>1.103072535430405E-3</v>
      </c>
      <c r="W59" s="6">
        <f>IFERROR((('raw-PriceList'!Y59/'raw-PriceList'!Y60)-1),"")</f>
        <v>1.6075278531434645E-2</v>
      </c>
      <c r="X59" s="6" t="str">
        <f>IFERROR((('raw-PriceList'!Z59/'raw-PriceList'!Z60)-1),"")</f>
        <v/>
      </c>
      <c r="Y59" s="6">
        <f>IFERROR((('raw-PriceList'!AA59/'raw-PriceList'!AA60)-1),"")</f>
        <v>9.6181039610578889E-3</v>
      </c>
      <c r="Z59" s="6">
        <f>IFERROR((('raw-PriceList'!AB59/'raw-PriceList'!AB60)-1),"")</f>
        <v>4.6660249356279548E-2</v>
      </c>
      <c r="AA59" s="6">
        <f>IFERROR((('raw-PriceList'!AC59/'raw-PriceList'!AC60)-1),"")</f>
        <v>1.7077628656354982E-2</v>
      </c>
      <c r="AB59" s="6">
        <f>IFERROR((('raw-PriceList'!AD59/'raw-PriceList'!AD60)-1),"")</f>
        <v>2.2872861639967823E-2</v>
      </c>
      <c r="AC59" s="6">
        <f>IFERROR((('raw-PriceList'!AE59/'raw-PriceList'!AE60)-1),"")</f>
        <v>2.2872861639967823E-2</v>
      </c>
      <c r="AD59" s="6">
        <f>IFERROR((('raw-PriceList'!AF59/'raw-PriceList'!AF60)-1),"")</f>
        <v>2.9137095740760177E-2</v>
      </c>
      <c r="AE59" s="6">
        <f>IFERROR((('raw-PriceList'!AG59/'raw-PriceList'!AG60)-1),"")</f>
        <v>3.8745035140484774E-2</v>
      </c>
      <c r="AF59" s="6">
        <f>IFERROR((('raw-PriceList'!AH59/'raw-PriceList'!AH60)-1),"")</f>
        <v>3.2164518221558192E-2</v>
      </c>
      <c r="AG59" s="6">
        <f>IFERROR((('raw-PriceList'!AJ59/'raw-PriceList'!AJ60)-1),"")</f>
        <v>1.3217196610859405E-2</v>
      </c>
      <c r="AH59" s="6">
        <f>IFERROR((('raw-PriceList'!AK59/'raw-PriceList'!AK60)-1),"")</f>
        <v>2.0481762352864807E-2</v>
      </c>
      <c r="AI59" s="6" t="str">
        <f>IFERROR((('raw-PriceList'!AM59/'raw-PriceList'!AM60)-1),"")</f>
        <v/>
      </c>
      <c r="AJ59" s="6">
        <f>IFERROR((('raw-PriceList'!AN59/'raw-PriceList'!AN60)-1),"")</f>
        <v>2.0998909267412769E-2</v>
      </c>
      <c r="AK59" s="6">
        <f>IFERROR((('raw-PriceList'!AO59/'raw-PriceList'!AO60)-1),"")</f>
        <v>7.3045961569586648E-3</v>
      </c>
      <c r="AL59" s="6">
        <f>IFERROR((('raw-PriceList'!AP59/'raw-PriceList'!AP60)-1),"")</f>
        <v>1.3799372235378193E-2</v>
      </c>
      <c r="AM59" s="6">
        <f>IFERROR((('raw-PriceList'!AQ59/'raw-PriceList'!AQ60)-1),"")</f>
        <v>3.5727797092913516E-2</v>
      </c>
      <c r="AN59" s="6">
        <f>IFERROR((('raw-PriceList'!AR59/'raw-PriceList'!AR60)-1),"")</f>
        <v>2.3606579826381147E-2</v>
      </c>
      <c r="AO59" s="6">
        <f>IFERROR((('raw-PriceList'!AS59/'raw-PriceList'!AS60)-1),"")</f>
        <v>2.9984480688705961E-2</v>
      </c>
      <c r="AP59" s="6">
        <f>IFERROR((('raw-PriceList'!AT59/'raw-PriceList'!AT60)-1),"")</f>
        <v>2.9984480688705961E-2</v>
      </c>
      <c r="AQ59" s="6">
        <f>IFERROR((('raw-PriceList'!AU59/'raw-PriceList'!AU60)-1),"")</f>
        <v>1.5077200282358483E-2</v>
      </c>
      <c r="AR59" s="6">
        <f>IFERROR((('raw-PriceList'!AV59/'raw-PriceList'!AV60)-1),"")</f>
        <v>1.9341980302164608E-2</v>
      </c>
      <c r="AS59" s="6">
        <f>IFERROR((('raw-PriceList'!AW59/'raw-PriceList'!AW60)-1),"")</f>
        <v>1.5760638015624995E-2</v>
      </c>
    </row>
    <row r="60" spans="1:45" x14ac:dyDescent="0.2">
      <c r="A60" s="2">
        <v>41759</v>
      </c>
      <c r="B60" s="6">
        <f>IFERROR((('raw-PriceList'!B60/'raw-PriceList'!B61)-1),"")</f>
        <v>7.0929177992249404E-3</v>
      </c>
      <c r="C60" s="6">
        <f>IFERROR((('raw-PriceList'!C60/'raw-PriceList'!C61)-1),"")</f>
        <v>2.0202233341462428E-2</v>
      </c>
      <c r="D60" s="6">
        <f>IFERROR((('raw-PriceList'!D60/'raw-PriceList'!D61)-1),"")</f>
        <v>5.6649453286525819E-3</v>
      </c>
      <c r="E60" s="6">
        <f>IFERROR((('raw-PriceList'!F60/'raw-PriceList'!F61)-1),"")</f>
        <v>4.8359257133201439E-3</v>
      </c>
      <c r="F60" s="6">
        <f>IFERROR((('raw-PriceList'!G60/'raw-PriceList'!G61)-1),"")</f>
        <v>1.3226309230436328E-3</v>
      </c>
      <c r="G60" s="6">
        <f>IFERROR((('raw-PriceList'!H60/'raw-PriceList'!H61)-1),"")</f>
        <v>2.9364116276262564E-2</v>
      </c>
      <c r="H60" s="6">
        <f>IFERROR((('raw-PriceList'!J60/'raw-PriceList'!J61)-1),"")</f>
        <v>7.9569604971327923E-3</v>
      </c>
      <c r="I60" s="6">
        <f>IFERROR((('raw-PriceList'!K60/'raw-PriceList'!K61)-1),"")</f>
        <v>5.5223039921856731E-3</v>
      </c>
      <c r="J60" s="6">
        <f>IFERROR((('raw-PriceList'!L60/'raw-PriceList'!L61)-1),"")</f>
        <v>9.3120619451305675E-3</v>
      </c>
      <c r="K60" s="6">
        <f>IFERROR((('raw-PriceList'!M60/'raw-PriceList'!M61)-1),"")</f>
        <v>-2.4299225280586145E-2</v>
      </c>
      <c r="L60" s="6">
        <f>IFERROR((('raw-PriceList'!N60/'raw-PriceList'!N61)-1),"")</f>
        <v>-3.7425043648731227E-2</v>
      </c>
      <c r="M60" s="6">
        <f>IFERROR((('raw-PriceList'!O60/'raw-PriceList'!O61)-1),"")</f>
        <v>-1.1330936681491655E-2</v>
      </c>
      <c r="N60" s="6">
        <f>IFERROR((('raw-PriceList'!P60/'raw-PriceList'!P61)-1),"")</f>
        <v>8.0777438423471626E-3</v>
      </c>
      <c r="O60" s="6">
        <f>IFERROR((('raw-PriceList'!Q60/'raw-PriceList'!Q61)-1),"")</f>
        <v>2.1916525903562745E-2</v>
      </c>
      <c r="P60" s="6">
        <f>IFERROR((('raw-PriceList'!R60/'raw-PriceList'!R61)-1),"")</f>
        <v>2.6129068194518101E-3</v>
      </c>
      <c r="Q60" s="6">
        <f>IFERROR((('raw-PriceList'!S60/'raw-PriceList'!S61)-1),"")</f>
        <v>1.572120396203136E-2</v>
      </c>
      <c r="R60" s="6">
        <f>IFERROR((('raw-PriceList'!T60/'raw-PriceList'!T61)-1),"")</f>
        <v>1.469330187059148E-2</v>
      </c>
      <c r="S60" s="6">
        <f>IFERROR((('raw-PriceList'!U60/'raw-PriceList'!U61)-1),"")</f>
        <v>4.5420257046016044E-3</v>
      </c>
      <c r="T60" s="6">
        <f>IFERROR((('raw-PriceList'!V60/'raw-PriceList'!V61)-1),"")</f>
        <v>2.6404912646033063E-2</v>
      </c>
      <c r="U60" s="6">
        <f>IFERROR((('raw-PriceList'!W60/'raw-PriceList'!W61)-1),"")</f>
        <v>1.6196016566509375E-2</v>
      </c>
      <c r="V60" s="6">
        <f>IFERROR((('raw-PriceList'!X60/'raw-PriceList'!X61)-1),"")</f>
        <v>1.1718989412980996E-3</v>
      </c>
      <c r="W60" s="6">
        <f>IFERROR((('raw-PriceList'!Y60/'raw-PriceList'!Y61)-1),"")</f>
        <v>1.0106014385245388E-2</v>
      </c>
      <c r="X60" s="6" t="str">
        <f>IFERROR((('raw-PriceList'!Z60/'raw-PriceList'!Z61)-1),"")</f>
        <v/>
      </c>
      <c r="Y60" s="6">
        <f>IFERROR((('raw-PriceList'!AA60/'raw-PriceList'!AA61)-1),"")</f>
        <v>6.2769640041722141E-3</v>
      </c>
      <c r="Z60" s="6">
        <f>IFERROR((('raw-PriceList'!AB60/'raw-PriceList'!AB61)-1),"")</f>
        <v>2.2555495425980565E-2</v>
      </c>
      <c r="AA60" s="6">
        <f>IFERROR((('raw-PriceList'!AC60/'raw-PriceList'!AC61)-1),"")</f>
        <v>4.0821081797299819E-3</v>
      </c>
      <c r="AB60" s="6">
        <f>IFERROR((('raw-PriceList'!AD60/'raw-PriceList'!AD61)-1),"")</f>
        <v>7.3576755919564363E-3</v>
      </c>
      <c r="AC60" s="6">
        <f>IFERROR((('raw-PriceList'!AE60/'raw-PriceList'!AE61)-1),"")</f>
        <v>7.3576755919564363E-3</v>
      </c>
      <c r="AD60" s="6">
        <f>IFERROR((('raw-PriceList'!AF60/'raw-PriceList'!AF61)-1),"")</f>
        <v>-2.1718609898397023E-2</v>
      </c>
      <c r="AE60" s="6">
        <f>IFERROR((('raw-PriceList'!AG60/'raw-PriceList'!AG61)-1),"")</f>
        <v>-8.1087159178844237E-3</v>
      </c>
      <c r="AF60" s="6">
        <f>IFERROR((('raw-PriceList'!AH60/'raw-PriceList'!AH61)-1),"")</f>
        <v>-6.1781473005717569E-4</v>
      </c>
      <c r="AG60" s="6">
        <f>IFERROR((('raw-PriceList'!AJ60/'raw-PriceList'!AJ61)-1),"")</f>
        <v>1.0469997233284234E-2</v>
      </c>
      <c r="AH60" s="6">
        <f>IFERROR((('raw-PriceList'!AK60/'raw-PriceList'!AK61)-1),"")</f>
        <v>7.3606537678982953E-3</v>
      </c>
      <c r="AI60" s="6" t="str">
        <f>IFERROR((('raw-PriceList'!AM60/'raw-PriceList'!AM61)-1),"")</f>
        <v/>
      </c>
      <c r="AJ60" s="6">
        <f>IFERROR((('raw-PriceList'!AN60/'raw-PriceList'!AN61)-1),"")</f>
        <v>6.3271327705760605E-4</v>
      </c>
      <c r="AK60" s="6">
        <f>IFERROR((('raw-PriceList'!AO60/'raw-PriceList'!AO61)-1),"")</f>
        <v>5.6539010640288545E-3</v>
      </c>
      <c r="AL60" s="6">
        <f>IFERROR((('raw-PriceList'!AP60/'raw-PriceList'!AP61)-1),"")</f>
        <v>8.6007662081810654E-3</v>
      </c>
      <c r="AM60" s="6">
        <f>IFERROR((('raw-PriceList'!AQ60/'raw-PriceList'!AQ61)-1),"")</f>
        <v>4.3336145030070661E-4</v>
      </c>
      <c r="AN60" s="6">
        <f>IFERROR((('raw-PriceList'!AR60/'raw-PriceList'!AR61)-1),"")</f>
        <v>5.1560660068523667E-3</v>
      </c>
      <c r="AO60" s="6">
        <f>IFERROR((('raw-PriceList'!AS60/'raw-PriceList'!AS61)-1),"")</f>
        <v>4.0607376003185536E-3</v>
      </c>
      <c r="AP60" s="6">
        <f>IFERROR((('raw-PriceList'!AT60/'raw-PriceList'!AT61)-1),"")</f>
        <v>4.0607376003185536E-3</v>
      </c>
      <c r="AQ60" s="6">
        <f>IFERROR((('raw-PriceList'!AU60/'raw-PriceList'!AU61)-1),"")</f>
        <v>-2.6141079765883424E-2</v>
      </c>
      <c r="AR60" s="6">
        <f>IFERROR((('raw-PriceList'!AV60/'raw-PriceList'!AV61)-1),"")</f>
        <v>1.2630437572917597E-2</v>
      </c>
      <c r="AS60" s="6">
        <f>IFERROR((('raw-PriceList'!AW60/'raw-PriceList'!AW61)-1),"")</f>
        <v>2.1087179935644684E-2</v>
      </c>
    </row>
    <row r="61" spans="1:45" x14ac:dyDescent="0.2">
      <c r="A61" s="2">
        <v>41729</v>
      </c>
      <c r="B61" s="6">
        <f>IFERROR((('raw-PriceList'!B61/'raw-PriceList'!B62)-1),"")</f>
        <v>-6.948647108359296E-3</v>
      </c>
      <c r="C61" s="6">
        <f>IFERROR((('raw-PriceList'!C61/'raw-PriceList'!C62)-1),"")</f>
        <v>5.6499762869133274E-3</v>
      </c>
      <c r="D61" s="6">
        <f>IFERROR((('raw-PriceList'!D61/'raw-PriceList'!D62)-1),"")</f>
        <v>-3.8265952480133203E-3</v>
      </c>
      <c r="E61" s="6">
        <f>IFERROR((('raw-PriceList'!F61/'raw-PriceList'!F62)-1),"")</f>
        <v>1.9920389719725318E-3</v>
      </c>
      <c r="F61" s="6">
        <f>IFERROR((('raw-PriceList'!G61/'raw-PriceList'!G62)-1),"")</f>
        <v>-3.8336493214620182E-3</v>
      </c>
      <c r="G61" s="6">
        <f>IFERROR((('raw-PriceList'!H61/'raw-PriceList'!H62)-1),"")</f>
        <v>1.1262272736993317E-2</v>
      </c>
      <c r="H61" s="6">
        <f>IFERROR((('raw-PriceList'!J61/'raw-PriceList'!J62)-1),"")</f>
        <v>4.8969122033934998E-3</v>
      </c>
      <c r="I61" s="6">
        <f>IFERROR((('raw-PriceList'!K61/'raw-PriceList'!K62)-1),"")</f>
        <v>-1.7751469656715257E-2</v>
      </c>
      <c r="J61" s="6">
        <f>IFERROR((('raw-PriceList'!L61/'raw-PriceList'!L62)-1),"")</f>
        <v>2.2529084847048519E-2</v>
      </c>
      <c r="K61" s="6">
        <f>IFERROR((('raw-PriceList'!M61/'raw-PriceList'!M62)-1),"")</f>
        <v>-1.9892306043388652E-3</v>
      </c>
      <c r="L61" s="6">
        <f>IFERROR((('raw-PriceList'!N61/'raw-PriceList'!N62)-1),"")</f>
        <v>-2.2918502839357147E-2</v>
      </c>
      <c r="M61" s="6">
        <f>IFERROR((('raw-PriceList'!O61/'raw-PriceList'!O62)-1),"")</f>
        <v>1.2895750152301266E-2</v>
      </c>
      <c r="N61" s="6">
        <f>IFERROR((('raw-PriceList'!P61/'raw-PriceList'!P62)-1),"")</f>
        <v>-2.5736808271927814E-3</v>
      </c>
      <c r="O61" s="6">
        <f>IFERROR((('raw-PriceList'!Q61/'raw-PriceList'!Q62)-1),"")</f>
        <v>4.5775373931038477E-3</v>
      </c>
      <c r="P61" s="6">
        <f>IFERROR((('raw-PriceList'!R61/'raw-PriceList'!R62)-1),"")</f>
        <v>-4.5275513372867726E-3</v>
      </c>
      <c r="Q61" s="6">
        <f>IFERROR((('raw-PriceList'!S61/'raw-PriceList'!S62)-1),"")</f>
        <v>-1.4079143640997382E-2</v>
      </c>
      <c r="R61" s="6">
        <f>IFERROR((('raw-PriceList'!T61/'raw-PriceList'!T62)-1),"")</f>
        <v>-3.3565236684046651E-3</v>
      </c>
      <c r="S61" s="6">
        <f>IFERROR((('raw-PriceList'!U61/'raw-PriceList'!U62)-1),"")</f>
        <v>-8.1441924446225E-3</v>
      </c>
      <c r="T61" s="6">
        <f>IFERROR((('raw-PriceList'!V61/'raw-PriceList'!V62)-1),"")</f>
        <v>-2.1201763683891706E-2</v>
      </c>
      <c r="U61" s="6">
        <f>IFERROR((('raw-PriceList'!W61/'raw-PriceList'!W62)-1),"")</f>
        <v>4.5213633943244069E-3</v>
      </c>
      <c r="V61" s="6">
        <f>IFERROR((('raw-PriceList'!X61/'raw-PriceList'!X62)-1),"")</f>
        <v>-1.7650792817647254E-3</v>
      </c>
      <c r="W61" s="6">
        <f>IFERROR((('raw-PriceList'!Y61/'raw-PriceList'!Y62)-1),"")</f>
        <v>3.4438980353281856E-3</v>
      </c>
      <c r="X61" s="6" t="str">
        <f>IFERROR((('raw-PriceList'!Z61/'raw-PriceList'!Z62)-1),"")</f>
        <v/>
      </c>
      <c r="Y61" s="6">
        <f>IFERROR((('raw-PriceList'!AA61/'raw-PriceList'!AA62)-1),"")</f>
        <v>-5.0824916692763233E-3</v>
      </c>
      <c r="Z61" s="6">
        <f>IFERROR((('raw-PriceList'!AB61/'raw-PriceList'!AB62)-1),"")</f>
        <v>8.1653148552942589E-3</v>
      </c>
      <c r="AA61" s="6">
        <f>IFERROR((('raw-PriceList'!AC61/'raw-PriceList'!AC62)-1),"")</f>
        <v>1.1214096633195059E-2</v>
      </c>
      <c r="AB61" s="6">
        <f>IFERROR((('raw-PriceList'!AD61/'raw-PriceList'!AD62)-1),"")</f>
        <v>4.1399345460679804E-3</v>
      </c>
      <c r="AC61" s="6">
        <f>IFERROR((('raw-PriceList'!AE61/'raw-PriceList'!AE62)-1),"")</f>
        <v>4.1399345460679804E-3</v>
      </c>
      <c r="AD61" s="6">
        <f>IFERROR((('raw-PriceList'!AF61/'raw-PriceList'!AF62)-1),"")</f>
        <v>-1.666203018456025E-2</v>
      </c>
      <c r="AE61" s="6">
        <f>IFERROR((('raw-PriceList'!AG61/'raw-PriceList'!AG62)-1),"")</f>
        <v>5.3313034826806494E-2</v>
      </c>
      <c r="AF61" s="6">
        <f>IFERROR((('raw-PriceList'!AH61/'raw-PriceList'!AH62)-1),"")</f>
        <v>-5.7513385430558728E-3</v>
      </c>
      <c r="AG61" s="6">
        <f>IFERROR((('raw-PriceList'!AJ61/'raw-PriceList'!AJ62)-1),"")</f>
        <v>-5.7700643411586761E-3</v>
      </c>
      <c r="AH61" s="6">
        <f>IFERROR((('raw-PriceList'!AK61/'raw-PriceList'!AK62)-1),"")</f>
        <v>-8.4140439686974933E-4</v>
      </c>
      <c r="AI61" s="6" t="str">
        <f>IFERROR((('raw-PriceList'!AM61/'raw-PriceList'!AM62)-1),"")</f>
        <v/>
      </c>
      <c r="AJ61" s="6">
        <f>IFERROR((('raw-PriceList'!AN61/'raw-PriceList'!AN62)-1),"")</f>
        <v>7.118085893007553E-4</v>
      </c>
      <c r="AK61" s="6">
        <f>IFERROR((('raw-PriceList'!AO61/'raw-PriceList'!AO62)-1),"")</f>
        <v>-4.413633546521023E-3</v>
      </c>
      <c r="AL61" s="6">
        <f>IFERROR((('raw-PriceList'!AP61/'raw-PriceList'!AP62)-1),"")</f>
        <v>2.1147119937394709E-2</v>
      </c>
      <c r="AM61" s="6">
        <f>IFERROR((('raw-PriceList'!AQ61/'raw-PriceList'!AQ62)-1),"")</f>
        <v>-1.8815357562224189E-2</v>
      </c>
      <c r="AN61" s="6">
        <f>IFERROR((('raw-PriceList'!AR61/'raw-PriceList'!AR62)-1),"")</f>
        <v>2.6452907960687888E-3</v>
      </c>
      <c r="AO61" s="6">
        <f>IFERROR((('raw-PriceList'!AS61/'raw-PriceList'!AS62)-1),"")</f>
        <v>5.3101909995589835E-3</v>
      </c>
      <c r="AP61" s="6">
        <f>IFERROR((('raw-PriceList'!AT61/'raw-PriceList'!AT62)-1),"")</f>
        <v>5.3101909995589835E-3</v>
      </c>
      <c r="AQ61" s="6">
        <f>IFERROR((('raw-PriceList'!AU61/'raw-PriceList'!AU62)-1),"")</f>
        <v>-7.3427015338596302E-3</v>
      </c>
      <c r="AR61" s="6">
        <f>IFERROR((('raw-PriceList'!AV61/'raw-PriceList'!AV62)-1),"")</f>
        <v>-2.3189705475641365E-3</v>
      </c>
      <c r="AS61" s="6">
        <f>IFERROR((('raw-PriceList'!AW61/'raw-PriceList'!AW62)-1),"")</f>
        <v>1.8223932419187516E-2</v>
      </c>
    </row>
    <row r="62" spans="1:45" x14ac:dyDescent="0.2">
      <c r="A62" s="2">
        <v>41698</v>
      </c>
      <c r="B62" s="6">
        <f>IFERROR((('raw-PriceList'!B62/'raw-PriceList'!B63)-1),"")</f>
        <v>4.874649975844747E-3</v>
      </c>
      <c r="C62" s="6">
        <f>IFERROR((('raw-PriceList'!C62/'raw-PriceList'!C63)-1),"")</f>
        <v>6.2497907032452726E-3</v>
      </c>
      <c r="D62" s="6">
        <f>IFERROR((('raw-PriceList'!D62/'raw-PriceList'!D63)-1),"")</f>
        <v>2.5294292319504308E-3</v>
      </c>
      <c r="E62" s="6">
        <f>IFERROR((('raw-PriceList'!F62/'raw-PriceList'!F63)-1),"")</f>
        <v>3.4321221601052443E-3</v>
      </c>
      <c r="F62" s="6">
        <f>IFERROR((('raw-PriceList'!G62/'raw-PriceList'!G63)-1),"")</f>
        <v>6.3611204732239024E-4</v>
      </c>
      <c r="G62" s="6">
        <f>IFERROR((('raw-PriceList'!H62/'raw-PriceList'!H63)-1),"")</f>
        <v>3.4615530732795552E-3</v>
      </c>
      <c r="H62" s="6">
        <f>IFERROR((('raw-PriceList'!J62/'raw-PriceList'!J63)-1),"")</f>
        <v>4.4345814222039204E-2</v>
      </c>
      <c r="I62" s="6">
        <f>IFERROR((('raw-PriceList'!K62/'raw-PriceList'!K63)-1),"")</f>
        <v>5.2561690178736908E-2</v>
      </c>
      <c r="J62" s="6">
        <f>IFERROR((('raw-PriceList'!L62/'raw-PriceList'!L63)-1),"")</f>
        <v>3.7013785770816598E-2</v>
      </c>
      <c r="K62" s="6">
        <f>IFERROR((('raw-PriceList'!M62/'raw-PriceList'!M63)-1),"")</f>
        <v>5.0767540133633604E-2</v>
      </c>
      <c r="L62" s="6">
        <f>IFERROR((('raw-PriceList'!N62/'raw-PriceList'!N63)-1),"")</f>
        <v>5.16582318480443E-2</v>
      </c>
      <c r="M62" s="6">
        <f>IFERROR((('raw-PriceList'!O62/'raw-PriceList'!O63)-1),"")</f>
        <v>4.964820194334596E-2</v>
      </c>
      <c r="N62" s="6">
        <f>IFERROR((('raw-PriceList'!P62/'raw-PriceList'!P63)-1),"")</f>
        <v>9.7242973159994417E-3</v>
      </c>
      <c r="O62" s="6">
        <f>IFERROR((('raw-PriceList'!Q62/'raw-PriceList'!Q63)-1),"")</f>
        <v>9.7422846938692853E-3</v>
      </c>
      <c r="P62" s="6">
        <f>IFERROR((('raw-PriceList'!R62/'raw-PriceList'!R63)-1),"")</f>
        <v>2.4054641965742807E-3</v>
      </c>
      <c r="Q62" s="6">
        <f>IFERROR((('raw-PriceList'!S62/'raw-PriceList'!S63)-1),"")</f>
        <v>5.9498769628114179E-2</v>
      </c>
      <c r="R62" s="6">
        <f>IFERROR((('raw-PriceList'!T62/'raw-PriceList'!T63)-1),"")</f>
        <v>5.6256704811687763E-2</v>
      </c>
      <c r="S62" s="6">
        <f>IFERROR((('raw-PriceList'!U62/'raw-PriceList'!U63)-1),"")</f>
        <v>1.7275247941246352E-3</v>
      </c>
      <c r="T62" s="6">
        <f>IFERROR((('raw-PriceList'!V62/'raw-PriceList'!V63)-1),"")</f>
        <v>7.342535949874418E-2</v>
      </c>
      <c r="U62" s="6">
        <f>IFERROR((('raw-PriceList'!W62/'raw-PriceList'!W63)-1),"")</f>
        <v>2.0865766754771808E-3</v>
      </c>
      <c r="V62" s="6">
        <f>IFERROR((('raw-PriceList'!X62/'raw-PriceList'!X63)-1),"")</f>
        <v>3.0632956959797397E-4</v>
      </c>
      <c r="W62" s="6">
        <f>IFERROR((('raw-PriceList'!Y62/'raw-PriceList'!Y63)-1),"")</f>
        <v>4.8986962499380837E-2</v>
      </c>
      <c r="X62" s="6" t="str">
        <f>IFERROR((('raw-PriceList'!Z62/'raw-PriceList'!Z63)-1),"")</f>
        <v/>
      </c>
      <c r="Y62" s="6">
        <f>IFERROR((('raw-PriceList'!AA62/'raw-PriceList'!AA63)-1),"")</f>
        <v>1.6444158354838034E-3</v>
      </c>
      <c r="Z62" s="6">
        <f>IFERROR((('raw-PriceList'!AB62/'raw-PriceList'!AB63)-1),"")</f>
        <v>3.9795098526580031E-2</v>
      </c>
      <c r="AA62" s="6">
        <f>IFERROR((('raw-PriceList'!AC62/'raw-PriceList'!AC63)-1),"")</f>
        <v>5.3890447421524934E-2</v>
      </c>
      <c r="AB62" s="6">
        <f>IFERROR((('raw-PriceList'!AD62/'raw-PriceList'!AD63)-1),"")</f>
        <v>4.5751647204660628E-2</v>
      </c>
      <c r="AC62" s="6">
        <f>IFERROR((('raw-PriceList'!AE62/'raw-PriceList'!AE63)-1),"")</f>
        <v>4.5751647204660628E-2</v>
      </c>
      <c r="AD62" s="6">
        <f>IFERROR((('raw-PriceList'!AF62/'raw-PriceList'!AF63)-1),"")</f>
        <v>6.6132630220060218E-2</v>
      </c>
      <c r="AE62" s="6">
        <f>IFERROR((('raw-PriceList'!AG62/'raw-PriceList'!AG63)-1),"")</f>
        <v>-6.3900380138643964E-3</v>
      </c>
      <c r="AF62" s="6">
        <f>IFERROR((('raw-PriceList'!AH62/'raw-PriceList'!AH63)-1),"")</f>
        <v>4.0297672340534163E-2</v>
      </c>
      <c r="AG62" s="6">
        <f>IFERROR((('raw-PriceList'!AJ62/'raw-PriceList'!AJ63)-1),"")</f>
        <v>7.1775623308481862E-2</v>
      </c>
      <c r="AH62" s="6">
        <f>IFERROR((('raw-PriceList'!AK62/'raw-PriceList'!AK63)-1),"")</f>
        <v>5.2146651832707391E-2</v>
      </c>
      <c r="AI62" s="6" t="str">
        <f>IFERROR((('raw-PriceList'!AM62/'raw-PriceList'!AM63)-1),"")</f>
        <v/>
      </c>
      <c r="AJ62" s="6">
        <f>IFERROR((('raw-PriceList'!AN62/'raw-PriceList'!AN63)-1),"")</f>
        <v>4.8663478607647415E-2</v>
      </c>
      <c r="AK62" s="6">
        <f>IFERROR((('raw-PriceList'!AO62/'raw-PriceList'!AO63)-1),"")</f>
        <v>2.8654449160816498E-3</v>
      </c>
      <c r="AL62" s="6">
        <f>IFERROR((('raw-PriceList'!AP62/'raw-PriceList'!AP63)-1),"")</f>
        <v>3.9740028767887736E-2</v>
      </c>
      <c r="AM62" s="6">
        <f>IFERROR((('raw-PriceList'!AQ62/'raw-PriceList'!AQ63)-1),"")</f>
        <v>5.6100134906989396E-2</v>
      </c>
      <c r="AN62" s="6">
        <f>IFERROR((('raw-PriceList'!AR62/'raw-PriceList'!AR63)-1),"")</f>
        <v>4.6470812750692092E-2</v>
      </c>
      <c r="AO62" s="6">
        <f>IFERROR((('raw-PriceList'!AS62/'raw-PriceList'!AS63)-1),"")</f>
        <v>2.506452395201042E-2</v>
      </c>
      <c r="AP62" s="6">
        <f>IFERROR((('raw-PriceList'!AT62/'raw-PriceList'!AT63)-1),"")</f>
        <v>2.506452395201042E-2</v>
      </c>
      <c r="AQ62" s="6">
        <f>IFERROR((('raw-PriceList'!AU62/'raw-PriceList'!AU63)-1),"")</f>
        <v>5.5086724963957501E-2</v>
      </c>
      <c r="AR62" s="6">
        <f>IFERROR((('raw-PriceList'!AV62/'raw-PriceList'!AV63)-1),"")</f>
        <v>5.5879829729319042E-2</v>
      </c>
      <c r="AS62" s="6">
        <f>IFERROR((('raw-PriceList'!AW62/'raw-PriceList'!AW63)-1),"")</f>
        <v>3.6119878008687545E-2</v>
      </c>
    </row>
    <row r="63" spans="1:45" x14ac:dyDescent="0.2">
      <c r="A63" s="2">
        <v>41670</v>
      </c>
      <c r="B63" s="6">
        <f>IFERROR((('raw-PriceList'!B63/'raw-PriceList'!B64)-1),"")</f>
        <v>2.2088622554540249E-2</v>
      </c>
      <c r="C63" s="6">
        <f>IFERROR((('raw-PriceList'!C63/'raw-PriceList'!C64)-1),"")</f>
        <v>4.9622354210697495E-2</v>
      </c>
      <c r="D63" s="6">
        <f>IFERROR((('raw-PriceList'!D63/'raw-PriceList'!D64)-1),"")</f>
        <v>1.5598448999967651E-2</v>
      </c>
      <c r="E63" s="6">
        <f>IFERROR((('raw-PriceList'!F63/'raw-PriceList'!F64)-1),"")</f>
        <v>1.4500176160380907E-2</v>
      </c>
      <c r="F63" s="6">
        <f>IFERROR((('raw-PriceList'!G63/'raw-PriceList'!G64)-1),"")</f>
        <v>5.1691207865860456E-3</v>
      </c>
      <c r="G63" s="6">
        <f>IFERROR((('raw-PriceList'!H63/'raw-PriceList'!H64)-1),"")</f>
        <v>9.711354151365259E-2</v>
      </c>
      <c r="H63" s="6">
        <f>IFERROR((('raw-PriceList'!J63/'raw-PriceList'!J64)-1),"")</f>
        <v>-3.6291688126181776E-2</v>
      </c>
      <c r="I63" s="6">
        <f>IFERROR((('raw-PriceList'!K63/'raw-PriceList'!K64)-1),"")</f>
        <v>-3.3807227705505372E-2</v>
      </c>
      <c r="J63" s="6">
        <f>IFERROR((('raw-PriceList'!L63/'raw-PriceList'!L64)-1),"")</f>
        <v>-3.68754255028092E-2</v>
      </c>
      <c r="K63" s="6">
        <f>IFERROR((('raw-PriceList'!M63/'raw-PriceList'!M64)-1),"")</f>
        <v>-2.0442340779528667E-2</v>
      </c>
      <c r="L63" s="6">
        <f>IFERROR((('raw-PriceList'!N63/'raw-PriceList'!N64)-1),"")</f>
        <v>-1.1415258125162975E-2</v>
      </c>
      <c r="M63" s="6">
        <f>IFERROR((('raw-PriceList'!O63/'raw-PriceList'!O64)-1),"")</f>
        <v>-2.7837139026097524E-2</v>
      </c>
      <c r="N63" s="6">
        <f>IFERROR((('raw-PriceList'!P63/'raw-PriceList'!P64)-1),"")</f>
        <v>2.0320585713062833E-2</v>
      </c>
      <c r="O63" s="6">
        <f>IFERROR((('raw-PriceList'!Q63/'raw-PriceList'!Q64)-1),"")</f>
        <v>3.6487675780562778E-2</v>
      </c>
      <c r="P63" s="6">
        <f>IFERROR((('raw-PriceList'!R63/'raw-PriceList'!R64)-1),"")</f>
        <v>4.6222159161557475E-3</v>
      </c>
      <c r="Q63" s="6">
        <f>IFERROR((('raw-PriceList'!S63/'raw-PriceList'!S64)-1),"")</f>
        <v>-5.2080829078198887E-2</v>
      </c>
      <c r="R63" s="6">
        <f>IFERROR((('raw-PriceList'!T63/'raw-PriceList'!T64)-1),"")</f>
        <v>-5.7910912263140601E-2</v>
      </c>
      <c r="S63" s="6">
        <f>IFERROR((('raw-PriceList'!U63/'raw-PriceList'!U64)-1),"")</f>
        <v>1.7083943171978477E-2</v>
      </c>
      <c r="T63" s="6">
        <f>IFERROR((('raw-PriceList'!V63/'raw-PriceList'!V64)-1),"")</f>
        <v>-4.5763445468545272E-2</v>
      </c>
      <c r="U63" s="6">
        <f>IFERROR((('raw-PriceList'!W63/'raw-PriceList'!W64)-1),"")</f>
        <v>6.1845090851716744E-2</v>
      </c>
      <c r="V63" s="6">
        <f>IFERROR((('raw-PriceList'!X63/'raw-PriceList'!X64)-1),"")</f>
        <v>1.142944437098059E-3</v>
      </c>
      <c r="W63" s="6">
        <f>IFERROR((('raw-PriceList'!Y63/'raw-PriceList'!Y64)-1),"")</f>
        <v>-5.0150526270462237E-2</v>
      </c>
      <c r="X63" s="6" t="str">
        <f>IFERROR((('raw-PriceList'!Z63/'raw-PriceList'!Z64)-1),"")</f>
        <v/>
      </c>
      <c r="Y63" s="6">
        <f>IFERROR((('raw-PriceList'!AA63/'raw-PriceList'!AA64)-1),"")</f>
        <v>1.7130529085743307E-2</v>
      </c>
      <c r="Z63" s="6">
        <f>IFERROR((('raw-PriceList'!AB63/'raw-PriceList'!AB64)-1),"")</f>
        <v>-5.3279109790193457E-2</v>
      </c>
      <c r="AA63" s="6">
        <f>IFERROR((('raw-PriceList'!AC63/'raw-PriceList'!AC64)-1),"")</f>
        <v>-2.5783263553642799E-2</v>
      </c>
      <c r="AB63" s="6">
        <f>IFERROR((('raw-PriceList'!AD63/'raw-PriceList'!AD64)-1),"")</f>
        <v>-3.5270956230556538E-2</v>
      </c>
      <c r="AC63" s="6">
        <f>IFERROR((('raw-PriceList'!AE63/'raw-PriceList'!AE64)-1),"")</f>
        <v>-3.5270956230556538E-2</v>
      </c>
      <c r="AD63" s="6">
        <f>IFERROR((('raw-PriceList'!AF63/'raw-PriceList'!AF64)-1),"")</f>
        <v>-2.1180805208991016E-2</v>
      </c>
      <c r="AE63" s="6">
        <f>IFERROR((('raw-PriceList'!AG63/'raw-PriceList'!AG64)-1),"")</f>
        <v>-2.7971640123857777E-2</v>
      </c>
      <c r="AF63" s="6">
        <f>IFERROR((('raw-PriceList'!AH63/'raw-PriceList'!AH64)-1),"")</f>
        <v>-6.8217810476174923E-2</v>
      </c>
      <c r="AG63" s="6">
        <f>IFERROR((('raw-PriceList'!AJ63/'raw-PriceList'!AJ64)-1),"")</f>
        <v>-2.5965109981517909E-2</v>
      </c>
      <c r="AH63" s="6">
        <f>IFERROR((('raw-PriceList'!AK63/'raw-PriceList'!AK64)-1),"")</f>
        <v>-4.4428410223241399E-2</v>
      </c>
      <c r="AI63" s="6" t="str">
        <f>IFERROR((('raw-PriceList'!AM63/'raw-PriceList'!AM64)-1),"")</f>
        <v/>
      </c>
      <c r="AJ63" s="6">
        <f>IFERROR((('raw-PriceList'!AN63/'raw-PriceList'!AN64)-1),"")</f>
        <v>-3.1694618237872452E-2</v>
      </c>
      <c r="AK63" s="6">
        <f>IFERROR((('raw-PriceList'!AO63/'raw-PriceList'!AO64)-1),"")</f>
        <v>1.5847966552642312E-3</v>
      </c>
      <c r="AL63" s="6">
        <f>IFERROR((('raw-PriceList'!AP63/'raw-PriceList'!AP64)-1),"")</f>
        <v>-3.6942444696425603E-2</v>
      </c>
      <c r="AM63" s="6">
        <f>IFERROR((('raw-PriceList'!AQ63/'raw-PriceList'!AQ64)-1),"")</f>
        <v>-3.0520605801703904E-2</v>
      </c>
      <c r="AN63" s="6">
        <f>IFERROR((('raw-PriceList'!AR63/'raw-PriceList'!AR64)-1),"")</f>
        <v>-3.3231039772788185E-2</v>
      </c>
      <c r="AO63" s="6">
        <f>IFERROR((('raw-PriceList'!AS63/'raw-PriceList'!AS64)-1),"")</f>
        <v>-8.4808600082102448E-3</v>
      </c>
      <c r="AP63" s="6">
        <f>IFERROR((('raw-PriceList'!AT63/'raw-PriceList'!AT64)-1),"")</f>
        <v>-8.4808600082102448E-3</v>
      </c>
      <c r="AQ63" s="6">
        <f>IFERROR((('raw-PriceList'!AU63/'raw-PriceList'!AU64)-1),"")</f>
        <v>-1.884807991957349E-2</v>
      </c>
      <c r="AR63" s="6">
        <f>IFERROR((('raw-PriceList'!AV63/'raw-PriceList'!AV64)-1),"")</f>
        <v>-5.4034999702188613E-2</v>
      </c>
      <c r="AS63" s="6">
        <f>IFERROR((('raw-PriceList'!AW63/'raw-PriceList'!AW64)-1),"")</f>
        <v>-3.9938272852988788E-2</v>
      </c>
    </row>
    <row r="64" spans="1:45" x14ac:dyDescent="0.2">
      <c r="A64" s="2">
        <v>41639</v>
      </c>
      <c r="B64" s="6">
        <f>IFERROR((('raw-PriceList'!B64/'raw-PriceList'!B65)-1),"")</f>
        <v>-2.6605448839387202E-2</v>
      </c>
      <c r="C64" s="6">
        <f>IFERROR((('raw-PriceList'!C64/'raw-PriceList'!C65)-1),"")</f>
        <v>-1.7785426802847892E-2</v>
      </c>
      <c r="D64" s="6">
        <f>IFERROR((('raw-PriceList'!D64/'raw-PriceList'!D65)-1),"")</f>
        <v>-1.3625636874528446E-2</v>
      </c>
      <c r="E64" s="6">
        <f>IFERROR((('raw-PriceList'!F64/'raw-PriceList'!F65)-1),"")</f>
        <v>-9.0957932305822942E-3</v>
      </c>
      <c r="F64" s="6">
        <f>IFERROR((('raw-PriceList'!G64/'raw-PriceList'!G65)-1),"")</f>
        <v>-9.490315756499057E-3</v>
      </c>
      <c r="G64" s="6">
        <f>IFERROR((('raw-PriceList'!H64/'raw-PriceList'!H65)-1),"")</f>
        <v>-4.4017506506356496E-2</v>
      </c>
      <c r="H64" s="6">
        <f>IFERROR((('raw-PriceList'!J64/'raw-PriceList'!J65)-1),"")</f>
        <v>2.022337426132137E-2</v>
      </c>
      <c r="I64" s="6">
        <f>IFERROR((('raw-PriceList'!K64/'raw-PriceList'!K65)-1),"")</f>
        <v>2.9254833830572702E-2</v>
      </c>
      <c r="J64" s="6">
        <f>IFERROR((('raw-PriceList'!L64/'raw-PriceList'!L65)-1),"")</f>
        <v>1.3417801320667611E-2</v>
      </c>
      <c r="K64" s="6">
        <f>IFERROR((('raw-PriceList'!M64/'raw-PriceList'!M65)-1),"")</f>
        <v>1.2264836808706381E-2</v>
      </c>
      <c r="L64" s="6">
        <f>IFERROR((('raw-PriceList'!N64/'raw-PriceList'!N65)-1),"")</f>
        <v>1.8368215081387085E-2</v>
      </c>
      <c r="M64" s="6">
        <f>IFERROR((('raw-PriceList'!O64/'raw-PriceList'!O65)-1),"")</f>
        <v>8.6944414747482934E-3</v>
      </c>
      <c r="N64" s="6">
        <f>IFERROR((('raw-PriceList'!P64/'raw-PriceList'!P65)-1),"")</f>
        <v>-1.4533565667014581E-2</v>
      </c>
      <c r="O64" s="6">
        <f>IFERROR((('raw-PriceList'!Q64/'raw-PriceList'!Q65)-1),"")</f>
        <v>4.54068228126836E-3</v>
      </c>
      <c r="P64" s="6">
        <f>IFERROR((('raw-PriceList'!R64/'raw-PriceList'!R65)-1),"")</f>
        <v>-5.0696726131055359E-3</v>
      </c>
      <c r="Q64" s="6">
        <f>IFERROR((('raw-PriceList'!S64/'raw-PriceList'!S65)-1),"")</f>
        <v>1.3612579196348618E-2</v>
      </c>
      <c r="R64" s="6">
        <f>IFERROR((('raw-PriceList'!T64/'raw-PriceList'!T65)-1),"")</f>
        <v>6.7132087228651827E-3</v>
      </c>
      <c r="S64" s="6">
        <f>IFERROR((('raw-PriceList'!U64/'raw-PriceList'!U65)-1),"")</f>
        <v>-1.8487487656570822E-2</v>
      </c>
      <c r="T64" s="6">
        <f>IFERROR((('raw-PriceList'!V64/'raw-PriceList'!V65)-1),"")</f>
        <v>2.5064053918782081E-2</v>
      </c>
      <c r="U64" s="6">
        <f>IFERROR((('raw-PriceList'!W64/'raw-PriceList'!W65)-1),"")</f>
        <v>-2.2385350636069945E-2</v>
      </c>
      <c r="V64" s="6">
        <f>IFERROR((('raw-PriceList'!X64/'raw-PriceList'!X65)-1),"")</f>
        <v>-1.0685399809035045E-3</v>
      </c>
      <c r="W64" s="6">
        <f>IFERROR((('raw-PriceList'!Y64/'raw-PriceList'!Y65)-1),"")</f>
        <v>1.4207429303539021E-2</v>
      </c>
      <c r="X64" s="6" t="str">
        <f>IFERROR((('raw-PriceList'!Z64/'raw-PriceList'!Z65)-1),"")</f>
        <v/>
      </c>
      <c r="Y64" s="6">
        <f>IFERROR((('raw-PriceList'!AA64/'raw-PriceList'!AA65)-1),"")</f>
        <v>-6.2883994103408725E-3</v>
      </c>
      <c r="Z64" s="6">
        <f>IFERROR((('raw-PriceList'!AB64/'raw-PriceList'!AB65)-1),"")</f>
        <v>-3.2287435675313447E-2</v>
      </c>
      <c r="AA64" s="6">
        <f>IFERROR((('raw-PriceList'!AC64/'raw-PriceList'!AC65)-1),"")</f>
        <v>1.2826310338515112E-2</v>
      </c>
      <c r="AB64" s="6">
        <f>IFERROR((('raw-PriceList'!AD64/'raw-PriceList'!AD65)-1),"")</f>
        <v>2.0943522331023257E-2</v>
      </c>
      <c r="AC64" s="6">
        <f>IFERROR((('raw-PriceList'!AE64/'raw-PriceList'!AE65)-1),"")</f>
        <v>2.0943522331023257E-2</v>
      </c>
      <c r="AD64" s="6">
        <f>IFERROR((('raw-PriceList'!AF64/'raw-PriceList'!AF65)-1),"")</f>
        <v>2.5433678382350555E-2</v>
      </c>
      <c r="AE64" s="6">
        <f>IFERROR((('raw-PriceList'!AG64/'raw-PriceList'!AG65)-1),"")</f>
        <v>-1.6341853112151417E-2</v>
      </c>
      <c r="AF64" s="6">
        <f>IFERROR((('raw-PriceList'!AH64/'raw-PriceList'!AH65)-1),"")</f>
        <v>-6.9502627893971436E-3</v>
      </c>
      <c r="AG64" s="6">
        <f>IFERROR((('raw-PriceList'!AJ64/'raw-PriceList'!AJ65)-1),"")</f>
        <v>5.5831894544899896E-3</v>
      </c>
      <c r="AH64" s="6">
        <f>IFERROR((('raw-PriceList'!AK64/'raw-PriceList'!AK65)-1),"")</f>
        <v>1.5439620975579382E-2</v>
      </c>
      <c r="AI64" s="6" t="str">
        <f>IFERROR((('raw-PriceList'!AM64/'raw-PriceList'!AM65)-1),"")</f>
        <v/>
      </c>
      <c r="AJ64" s="6">
        <f>IFERROR((('raw-PriceList'!AN64/'raw-PriceList'!AN65)-1),"")</f>
        <v>2.1962155251834314E-2</v>
      </c>
      <c r="AK64" s="6">
        <f>IFERROR((('raw-PriceList'!AO64/'raw-PriceList'!AO65)-1),"")</f>
        <v>-4.4111159233272135E-3</v>
      </c>
      <c r="AL64" s="6">
        <f>IFERROR((('raw-PriceList'!AP64/'raw-PriceList'!AP65)-1),"")</f>
        <v>1.432789549167568E-2</v>
      </c>
      <c r="AM64" s="6">
        <f>IFERROR((('raw-PriceList'!AQ64/'raw-PriceList'!AQ65)-1),"")</f>
        <v>3.030506027351465E-2</v>
      </c>
      <c r="AN64" s="6">
        <f>IFERROR((('raw-PriceList'!AR64/'raw-PriceList'!AR65)-1),"")</f>
        <v>2.1165737665612916E-2</v>
      </c>
      <c r="AO64" s="6">
        <f>IFERROR((('raw-PriceList'!AS64/'raw-PriceList'!AS65)-1),"")</f>
        <v>-4.4797959939418819E-3</v>
      </c>
      <c r="AP64" s="6">
        <f>IFERROR((('raw-PriceList'!AT64/'raw-PriceList'!AT65)-1),"")</f>
        <v>-4.4797959939418819E-3</v>
      </c>
      <c r="AQ64" s="6">
        <f>IFERROR((('raw-PriceList'!AU64/'raw-PriceList'!AU65)-1),"")</f>
        <v>1.8464823804984709E-2</v>
      </c>
      <c r="AR64" s="6">
        <f>IFERROR((('raw-PriceList'!AV64/'raw-PriceList'!AV65)-1),"")</f>
        <v>6.1917232906298914E-3</v>
      </c>
      <c r="AS64" s="6">
        <f>IFERROR((('raw-PriceList'!AW64/'raw-PriceList'!AW65)-1),"")</f>
        <v>1.1530450726062291E-2</v>
      </c>
    </row>
    <row r="65" spans="1:45" x14ac:dyDescent="0.2">
      <c r="A65" s="2">
        <v>41608</v>
      </c>
      <c r="B65" s="6">
        <f>IFERROR((('raw-PriceList'!B65/'raw-PriceList'!B66)-1),"")</f>
        <v>-1.0397746064367386E-2</v>
      </c>
      <c r="C65" s="6">
        <f>IFERROR((('raw-PriceList'!C65/'raw-PriceList'!C66)-1),"")</f>
        <v>-2.5130354294664259E-2</v>
      </c>
      <c r="D65" s="6">
        <f>IFERROR((('raw-PriceList'!D65/'raw-PriceList'!D66)-1),"")</f>
        <v>-7.4158668311838927E-3</v>
      </c>
      <c r="E65" s="6">
        <f>IFERROR((('raw-PriceList'!F65/'raw-PriceList'!F66)-1),"")</f>
        <v>-2.7426454478459705E-3</v>
      </c>
      <c r="F65" s="6">
        <f>IFERROR((('raw-PriceList'!G65/'raw-PriceList'!G66)-1),"")</f>
        <v>1.649587262360086E-4</v>
      </c>
      <c r="G65" s="6">
        <f>IFERROR((('raw-PriceList'!H65/'raw-PriceList'!H66)-1),"")</f>
        <v>-4.3691998991573389E-2</v>
      </c>
      <c r="H65" s="6">
        <f>IFERROR((('raw-PriceList'!J65/'raw-PriceList'!J66)-1),"")</f>
        <v>2.9579804988750347E-2</v>
      </c>
      <c r="I65" s="6">
        <f>IFERROR((('raw-PriceList'!K65/'raw-PriceList'!K66)-1),"")</f>
        <v>2.5759354643235755E-2</v>
      </c>
      <c r="J65" s="6">
        <f>IFERROR((('raw-PriceList'!L65/'raw-PriceList'!L66)-1),"")</f>
        <v>3.2566867960923007E-2</v>
      </c>
      <c r="K65" s="6">
        <f>IFERROR((('raw-PriceList'!M65/'raw-PriceList'!M66)-1),"")</f>
        <v>2.7067800411576304E-2</v>
      </c>
      <c r="L65" s="6">
        <f>IFERROR((('raw-PriceList'!N65/'raw-PriceList'!N66)-1),"")</f>
        <v>2.359087352875644E-2</v>
      </c>
      <c r="M65" s="6">
        <f>IFERROR((('raw-PriceList'!O65/'raw-PriceList'!O66)-1),"")</f>
        <v>2.9332969360139405E-2</v>
      </c>
      <c r="N65" s="6">
        <f>IFERROR((('raw-PriceList'!P65/'raw-PriceList'!P66)-1),"")</f>
        <v>-3.7856830902475158E-3</v>
      </c>
      <c r="O65" s="6">
        <f>IFERROR((('raw-PriceList'!Q65/'raw-PriceList'!Q66)-1),"")</f>
        <v>-1.3260232952523765E-2</v>
      </c>
      <c r="P65" s="6">
        <f>IFERROR((('raw-PriceList'!R65/'raw-PriceList'!R66)-1),"")</f>
        <v>1.24274120766521E-3</v>
      </c>
      <c r="Q65" s="6">
        <f>IFERROR((('raw-PriceList'!S65/'raw-PriceList'!S66)-1),"")</f>
        <v>6.5874798226301934E-3</v>
      </c>
      <c r="R65" s="6">
        <f>IFERROR((('raw-PriceList'!T65/'raw-PriceList'!T66)-1),"")</f>
        <v>3.3883874107378809E-3</v>
      </c>
      <c r="S65" s="6">
        <f>IFERROR((('raw-PriceList'!U65/'raw-PriceList'!U66)-1),"")</f>
        <v>-3.1089494412622765E-3</v>
      </c>
      <c r="T65" s="6">
        <f>IFERROR((('raw-PriceList'!V65/'raw-PriceList'!V66)-1),"")</f>
        <v>1.0252075917246417E-2</v>
      </c>
      <c r="U65" s="6">
        <f>IFERROR((('raw-PriceList'!W65/'raw-PriceList'!W66)-1),"")</f>
        <v>-2.6770871064002444E-2</v>
      </c>
      <c r="V65" s="6">
        <f>IFERROR((('raw-PriceList'!X65/'raw-PriceList'!X66)-1),"")</f>
        <v>2.7278837481659046E-4</v>
      </c>
      <c r="W65" s="6">
        <f>IFERROR((('raw-PriceList'!Y65/'raw-PriceList'!Y66)-1),"")</f>
        <v>2.3141992599427841E-2</v>
      </c>
      <c r="X65" s="6" t="str">
        <f>IFERROR((('raw-PriceList'!Z65/'raw-PriceList'!Z66)-1),"")</f>
        <v/>
      </c>
      <c r="Y65" s="6">
        <f>IFERROR((('raw-PriceList'!AA65/'raw-PriceList'!AA66)-1),"")</f>
        <v>-7.1139333363366974E-3</v>
      </c>
      <c r="Z65" s="6">
        <f>IFERROR((('raw-PriceList'!AB65/'raw-PriceList'!AB66)-1),"")</f>
        <v>-2.6823458071212003E-2</v>
      </c>
      <c r="AA65" s="6">
        <f>IFERROR((('raw-PriceList'!AC65/'raw-PriceList'!AC66)-1),"")</f>
        <v>2.8962997255727263E-2</v>
      </c>
      <c r="AB65" s="6">
        <f>IFERROR((('raw-PriceList'!AD65/'raw-PriceList'!AD66)-1),"")</f>
        <v>2.985701711418498E-2</v>
      </c>
      <c r="AC65" s="6">
        <f>IFERROR((('raw-PriceList'!AE65/'raw-PriceList'!AE66)-1),"")</f>
        <v>2.985701711418498E-2</v>
      </c>
      <c r="AD65" s="6">
        <f>IFERROR((('raw-PriceList'!AF65/'raw-PriceList'!AF66)-1),"")</f>
        <v>1.1277700888715048E-2</v>
      </c>
      <c r="AE65" s="6">
        <f>IFERROR((('raw-PriceList'!AG65/'raw-PriceList'!AG66)-1),"")</f>
        <v>-1.6887506821363973E-2</v>
      </c>
      <c r="AF65" s="6">
        <f>IFERROR((('raw-PriceList'!AH65/'raw-PriceList'!AH66)-1),"")</f>
        <v>3.5651756237942145E-4</v>
      </c>
      <c r="AG65" s="6">
        <f>IFERROR((('raw-PriceList'!AJ65/'raw-PriceList'!AJ66)-1),"")</f>
        <v>-5.1826291495460364E-3</v>
      </c>
      <c r="AH65" s="6">
        <f>IFERROR((('raw-PriceList'!AK65/'raw-PriceList'!AK66)-1),"")</f>
        <v>1.5374983271647436E-2</v>
      </c>
      <c r="AI65" s="6" t="str">
        <f>IFERROR((('raw-PriceList'!AM65/'raw-PriceList'!AM66)-1),"")</f>
        <v/>
      </c>
      <c r="AJ65" s="6">
        <f>IFERROR((('raw-PriceList'!AN65/'raw-PriceList'!AN66)-1),"")</f>
        <v>2.7018075149940479E-2</v>
      </c>
      <c r="AK65" s="6">
        <f>IFERROR((('raw-PriceList'!AO65/'raw-PriceList'!AO66)-1),"")</f>
        <v>1.7076640608970628E-4</v>
      </c>
      <c r="AL65" s="6">
        <f>IFERROR((('raw-PriceList'!AP65/'raw-PriceList'!AP66)-1),"")</f>
        <v>3.1802778057496983E-2</v>
      </c>
      <c r="AM65" s="6">
        <f>IFERROR((('raw-PriceList'!AQ65/'raw-PriceList'!AQ66)-1),"")</f>
        <v>2.3848297776943861E-2</v>
      </c>
      <c r="AN65" s="6">
        <f>IFERROR((('raw-PriceList'!AR65/'raw-PriceList'!AR66)-1),"")</f>
        <v>2.8093011301360438E-2</v>
      </c>
      <c r="AO65" s="6">
        <f>IFERROR((('raw-PriceList'!AS65/'raw-PriceList'!AS66)-1),"")</f>
        <v>-2.1740797853280758E-2</v>
      </c>
      <c r="AP65" s="6">
        <f>IFERROR((('raw-PriceList'!AT65/'raw-PriceList'!AT66)-1),"")</f>
        <v>-2.1740797853280758E-2</v>
      </c>
      <c r="AQ65" s="6">
        <f>IFERROR((('raw-PriceList'!AU65/'raw-PriceList'!AU66)-1),"")</f>
        <v>2.5366130482202376E-2</v>
      </c>
      <c r="AR65" s="6">
        <f>IFERROR((('raw-PriceList'!AV65/'raw-PriceList'!AV66)-1),"")</f>
        <v>1.3745384543770722E-3</v>
      </c>
      <c r="AS65" s="6">
        <f>IFERROR((('raw-PriceList'!AW65/'raw-PriceList'!AW66)-1),"")</f>
        <v>2.3089705989560505E-2</v>
      </c>
    </row>
    <row r="66" spans="1:45" x14ac:dyDescent="0.2">
      <c r="A66" s="2">
        <v>41578</v>
      </c>
      <c r="B66" s="6">
        <f>IFERROR((('raw-PriceList'!B66/'raw-PriceList'!B67)-1),"")</f>
        <v>8.1031804020281761E-3</v>
      </c>
      <c r="C66" s="6">
        <f>IFERROR((('raw-PriceList'!C66/'raw-PriceList'!C67)-1),"")</f>
        <v>1.5348335731597551E-2</v>
      </c>
      <c r="D66" s="6">
        <f>IFERROR((('raw-PriceList'!D66/'raw-PriceList'!D67)-1),"")</f>
        <v>4.2508261332641073E-3</v>
      </c>
      <c r="E66" s="6">
        <f>IFERROR((('raw-PriceList'!F66/'raw-PriceList'!F67)-1),"")</f>
        <v>7.6437789481584861E-3</v>
      </c>
      <c r="F66" s="6">
        <f>IFERROR((('raw-PriceList'!G66/'raw-PriceList'!G67)-1),"")</f>
        <v>1.163375172735126E-3</v>
      </c>
      <c r="G66" s="6">
        <f>IFERROR((('raw-PriceList'!H66/'raw-PriceList'!H67)-1),"")</f>
        <v>1.8926719195182073E-2</v>
      </c>
      <c r="H66" s="6">
        <f>IFERROR((('raw-PriceList'!J66/'raw-PriceList'!J67)-1),"")</f>
        <v>4.7020866627222047E-2</v>
      </c>
      <c r="I66" s="6">
        <f>IFERROR((('raw-PriceList'!K66/'raw-PriceList'!K67)-1),"")</f>
        <v>4.8593670716317483E-2</v>
      </c>
      <c r="J66" s="6">
        <f>IFERROR((('raw-PriceList'!L66/'raw-PriceList'!L67)-1),"")</f>
        <v>4.4922930991711851E-2</v>
      </c>
      <c r="K66" s="6">
        <f>IFERROR((('raw-PriceList'!M66/'raw-PriceList'!M67)-1),"")</f>
        <v>3.1893907742791994E-2</v>
      </c>
      <c r="L66" s="6">
        <f>IFERROR((('raw-PriceList'!N66/'raw-PriceList'!N67)-1),"")</f>
        <v>2.5011511768216366E-2</v>
      </c>
      <c r="M66" s="6">
        <f>IFERROR((('raw-PriceList'!O66/'raw-PriceList'!O67)-1),"")</f>
        <v>3.9238138636081832E-2</v>
      </c>
      <c r="N66" s="6">
        <f>IFERROR((('raw-PriceList'!P66/'raw-PriceList'!P67)-1),"")</f>
        <v>9.7884415427802463E-3</v>
      </c>
      <c r="O66" s="6">
        <f>IFERROR((('raw-PriceList'!Q66/'raw-PriceList'!Q67)-1),"")</f>
        <v>2.1265895722499151E-2</v>
      </c>
      <c r="P66" s="6">
        <f>IFERROR((('raw-PriceList'!R66/'raw-PriceList'!R67)-1),"")</f>
        <v>6.1083247783622063E-3</v>
      </c>
      <c r="Q66" s="6">
        <f>IFERROR((('raw-PriceList'!S66/'raw-PriceList'!S67)-1),"")</f>
        <v>3.2094296275915646E-2</v>
      </c>
      <c r="R66" s="6">
        <f>IFERROR((('raw-PriceList'!T66/'raw-PriceList'!T67)-1),"")</f>
        <v>3.3422652461207791E-2</v>
      </c>
      <c r="S66" s="6">
        <f>IFERROR((('raw-PriceList'!U66/'raw-PriceList'!U67)-1),"")</f>
        <v>4.8348479478541595E-3</v>
      </c>
      <c r="T66" s="6">
        <f>IFERROR((('raw-PriceList'!V66/'raw-PriceList'!V67)-1),"")</f>
        <v>4.1822460687430008E-2</v>
      </c>
      <c r="U66" s="6">
        <f>IFERROR((('raw-PriceList'!W66/'raw-PriceList'!W67)-1),"")</f>
        <v>7.9075405743644911E-3</v>
      </c>
      <c r="V66" s="6">
        <f>IFERROR((('raw-PriceList'!X66/'raw-PriceList'!X67)-1),"")</f>
        <v>4.9641914788645103E-4</v>
      </c>
      <c r="W66" s="6">
        <f>IFERROR((('raw-PriceList'!Y66/'raw-PriceList'!Y67)-1),"")</f>
        <v>4.1682762500482973E-2</v>
      </c>
      <c r="X66" s="6" t="str">
        <f>IFERROR((('raw-PriceList'!Z66/'raw-PriceList'!Z67)-1),"")</f>
        <v/>
      </c>
      <c r="Y66" s="6">
        <f>IFERROR((('raw-PriceList'!AA66/'raw-PriceList'!AA67)-1),"")</f>
        <v>5.2210841383064643E-3</v>
      </c>
      <c r="Z66" s="6">
        <f>IFERROR((('raw-PriceList'!AB66/'raw-PriceList'!AB67)-1),"")</f>
        <v>1.9918790993913804E-2</v>
      </c>
      <c r="AA66" s="6">
        <f>IFERROR((('raw-PriceList'!AC66/'raw-PriceList'!AC67)-1),"")</f>
        <v>4.5393658470037401E-2</v>
      </c>
      <c r="AB66" s="6">
        <f>IFERROR((('raw-PriceList'!AD66/'raw-PriceList'!AD67)-1),"")</f>
        <v>1.0896690677087104</v>
      </c>
      <c r="AC66" s="6">
        <f>IFERROR((('raw-PriceList'!AE66/'raw-PriceList'!AE67)-1),"")</f>
        <v>1.0896690677087104</v>
      </c>
      <c r="AD66" s="6">
        <f>IFERROR((('raw-PriceList'!AF66/'raw-PriceList'!AF67)-1),"")</f>
        <v>2.1363512658231665E-2</v>
      </c>
      <c r="AE66" s="6">
        <f>IFERROR((('raw-PriceList'!AG66/'raw-PriceList'!AG67)-1),"")</f>
        <v>7.107307640261018E-2</v>
      </c>
      <c r="AF66" s="6">
        <f>IFERROR((('raw-PriceList'!AH66/'raw-PriceList'!AH67)-1),"")</f>
        <v>1.5958346195797501E-2</v>
      </c>
      <c r="AG66" s="6">
        <f>IFERROR((('raw-PriceList'!AJ66/'raw-PriceList'!AJ67)-1),"")</f>
        <v>3.5843684101807494E-2</v>
      </c>
      <c r="AH66" s="6">
        <f>IFERROR((('raw-PriceList'!AK66/'raw-PriceList'!AK67)-1),"")</f>
        <v>3.7152912796140303E-2</v>
      </c>
      <c r="AI66" s="6" t="str">
        <f>IFERROR((('raw-PriceList'!AM66/'raw-PriceList'!AM67)-1),"")</f>
        <v/>
      </c>
      <c r="AJ66" s="6">
        <f>IFERROR((('raw-PriceList'!AN66/'raw-PriceList'!AN67)-1),"")</f>
        <v>4.2655529438018647E-2</v>
      </c>
      <c r="AK66" s="6">
        <f>IFERROR((('raw-PriceList'!AO66/'raw-PriceList'!AO67)-1),"")</f>
        <v>2.4597428561021761E-3</v>
      </c>
      <c r="AL66" s="6">
        <f>IFERROR((('raw-PriceList'!AP66/'raw-PriceList'!AP67)-1),"")</f>
        <v>4.585104064470058E-2</v>
      </c>
      <c r="AM66" s="6">
        <f>IFERROR((('raw-PriceList'!AQ66/'raw-PriceList'!AQ67)-1),"")</f>
        <v>4.2532936063793159E-2</v>
      </c>
      <c r="AN66" s="6">
        <f>IFERROR((('raw-PriceList'!AR66/'raw-PriceList'!AR67)-1),"")</f>
        <v>4.4361889100837049E-2</v>
      </c>
      <c r="AO66" s="6">
        <f>IFERROR((('raw-PriceList'!AS66/'raw-PriceList'!AS67)-1),"")</f>
        <v>1.2031474955356503E-2</v>
      </c>
      <c r="AP66" s="6">
        <f>IFERROR((('raw-PriceList'!AT66/'raw-PriceList'!AT67)-1),"")</f>
        <v>1.2031474955356503E-2</v>
      </c>
      <c r="AQ66" s="6">
        <f>IFERROR((('raw-PriceList'!AU66/'raw-PriceList'!AU67)-1),"")</f>
        <v>2.6850647624555357E-2</v>
      </c>
      <c r="AR66" s="6">
        <f>IFERROR((('raw-PriceList'!AV66/'raw-PriceList'!AV67)-1),"")</f>
        <v>3.6674592356083391E-2</v>
      </c>
      <c r="AS66" s="6">
        <f>IFERROR((('raw-PriceList'!AW66/'raw-PriceList'!AW67)-1),"")</f>
        <v>4.7420619356091098E-2</v>
      </c>
    </row>
    <row r="67" spans="1:45" x14ac:dyDescent="0.2">
      <c r="A67" s="2">
        <v>41547</v>
      </c>
      <c r="B67" s="6">
        <f>IFERROR((('raw-PriceList'!B67/'raw-PriceList'!B68)-1),"")</f>
        <v>1.1921389291161155E-2</v>
      </c>
      <c r="C67" s="6">
        <f>IFERROR((('raw-PriceList'!C67/'raw-PriceList'!C68)-1),"")</f>
        <v>2.0023498947463469E-3</v>
      </c>
      <c r="D67" s="6">
        <f>IFERROR((('raw-PriceList'!D67/'raw-PriceList'!D68)-1),"")</f>
        <v>9.0330636006652476E-3</v>
      </c>
      <c r="E67" s="6">
        <f>IFERROR((('raw-PriceList'!F67/'raw-PriceList'!F68)-1),"")</f>
        <v>5.3096080986252403E-3</v>
      </c>
      <c r="F67" s="6">
        <f>IFERROR((('raw-PriceList'!G67/'raw-PriceList'!G68)-1),"")</f>
        <v>4.1188599906556433E-3</v>
      </c>
      <c r="G67" s="6">
        <f>IFERROR((('raw-PriceList'!H67/'raw-PriceList'!H68)-1),"")</f>
        <v>-1.0307856538065985E-2</v>
      </c>
      <c r="H67" s="6">
        <f>IFERROR((('raw-PriceList'!J67/'raw-PriceList'!J68)-1),"")</f>
        <v>2.6631975137936248E-2</v>
      </c>
      <c r="I67" s="6">
        <f>IFERROR((('raw-PriceList'!K67/'raw-PriceList'!K68)-1),"")</f>
        <v>4.4642000917486158E-2</v>
      </c>
      <c r="J67" s="6">
        <f>IFERROR((('raw-PriceList'!L67/'raw-PriceList'!L68)-1),"")</f>
        <v>1.3040937533099761E-2</v>
      </c>
      <c r="K67" s="6">
        <f>IFERROR((('raw-PriceList'!M67/'raw-PriceList'!M68)-1),"")</f>
        <v>5.8449098039620839E-2</v>
      </c>
      <c r="L67" s="6">
        <f>IFERROR((('raw-PriceList'!N67/'raw-PriceList'!N68)-1),"")</f>
        <v>6.152642521215812E-2</v>
      </c>
      <c r="M67" s="6">
        <f>IFERROR((('raw-PriceList'!O67/'raw-PriceList'!O68)-1),"")</f>
        <v>5.2953389955104235E-2</v>
      </c>
      <c r="N67" s="6">
        <f>IFERROR((('raw-PriceList'!P67/'raw-PriceList'!P68)-1),"")</f>
        <v>8.9665640628684429E-3</v>
      </c>
      <c r="O67" s="6">
        <f>IFERROR((('raw-PriceList'!Q67/'raw-PriceList'!Q68)-1),"")</f>
        <v>-2.6163214369744336E-3</v>
      </c>
      <c r="P67" s="6">
        <f>IFERROR((('raw-PriceList'!R67/'raw-PriceList'!R68)-1),"")</f>
        <v>3.7924599465157804E-3</v>
      </c>
      <c r="Q67" s="6">
        <f>IFERROR((('raw-PriceList'!S67/'raw-PriceList'!S68)-1),"")</f>
        <v>7.4024807900364475E-2</v>
      </c>
      <c r="R67" s="6">
        <f>IFERROR((('raw-PriceList'!T67/'raw-PriceList'!T68)-1),"")</f>
        <v>7.0897846052683233E-2</v>
      </c>
      <c r="S67" s="6">
        <f>IFERROR((('raw-PriceList'!U67/'raw-PriceList'!U68)-1),"")</f>
        <v>1.0530646764306706E-2</v>
      </c>
      <c r="T67" s="6">
        <f>IFERROR((('raw-PriceList'!V67/'raw-PriceList'!V68)-1),"")</f>
        <v>6.7779003810279015E-2</v>
      </c>
      <c r="U67" s="6">
        <f>IFERROR((('raw-PriceList'!W67/'raw-PriceList'!W68)-1),"")</f>
        <v>-1.6369490739085446E-3</v>
      </c>
      <c r="V67" s="6">
        <f>IFERROR((('raw-PriceList'!X67/'raw-PriceList'!X68)-1),"")</f>
        <v>1.9063758375459372E-3</v>
      </c>
      <c r="W67" s="6">
        <f>IFERROR((('raw-PriceList'!Y67/'raw-PriceList'!Y68)-1),"")</f>
        <v>3.4437197892104754E-2</v>
      </c>
      <c r="X67" s="6" t="str">
        <f>IFERROR((('raw-PriceList'!Z67/'raw-PriceList'!Z68)-1),"")</f>
        <v/>
      </c>
      <c r="Y67" s="6">
        <f>IFERROR((('raw-PriceList'!AA67/'raw-PriceList'!AA68)-1),"")</f>
        <v>1.1738892669863166E-2</v>
      </c>
      <c r="Z67" s="6">
        <f>IFERROR((('raw-PriceList'!AB67/'raw-PriceList'!AB68)-1),"")</f>
        <v>8.0425546667194814E-2</v>
      </c>
      <c r="AA67" s="6">
        <f>IFERROR((('raw-PriceList'!AC67/'raw-PriceList'!AC68)-1),"")</f>
        <v>3.9906893004918675E-2</v>
      </c>
      <c r="AB67" s="6">
        <f>IFERROR((('raw-PriceList'!AD67/'raw-PriceList'!AD68)-1),"")</f>
        <v>2.8653450952830228E-2</v>
      </c>
      <c r="AC67" s="6">
        <f>IFERROR((('raw-PriceList'!AE67/'raw-PriceList'!AE68)-1),"")</f>
        <v>2.8653450952830228E-2</v>
      </c>
      <c r="AD67" s="6">
        <f>IFERROR((('raw-PriceList'!AF67/'raw-PriceList'!AF68)-1),"")</f>
        <v>5.2100020027119553E-2</v>
      </c>
      <c r="AE67" s="6">
        <f>IFERROR((('raw-PriceList'!AG67/'raw-PriceList'!AG68)-1),"")</f>
        <v>2.9566949403265319E-2</v>
      </c>
      <c r="AF67" s="6">
        <f>IFERROR((('raw-PriceList'!AH67/'raw-PriceList'!AH68)-1),"")</f>
        <v>8.4030513391996742E-2</v>
      </c>
      <c r="AG67" s="6">
        <f>IFERROR((('raw-PriceList'!AJ67/'raw-PriceList'!AJ68)-1),"")</f>
        <v>6.9181155241448966E-2</v>
      </c>
      <c r="AH67" s="6">
        <f>IFERROR((('raw-PriceList'!AK67/'raw-PriceList'!AK68)-1),"")</f>
        <v>5.1282279360456817E-2</v>
      </c>
      <c r="AI67" s="6" t="str">
        <f>IFERROR((('raw-PriceList'!AM67/'raw-PriceList'!AM68)-1),"")</f>
        <v/>
      </c>
      <c r="AJ67" s="6">
        <f>IFERROR((('raw-PriceList'!AN67/'raw-PriceList'!AN68)-1),"")</f>
        <v>3.397055952474326E-2</v>
      </c>
      <c r="AK67" s="6">
        <f>IFERROR((('raw-PriceList'!AO67/'raw-PriceList'!AO68)-1),"")</f>
        <v>3.8431382107875223E-3</v>
      </c>
      <c r="AL67" s="6">
        <f>IFERROR((('raw-PriceList'!AP67/'raw-PriceList'!AP68)-1),"")</f>
        <v>1.6915290803323435E-2</v>
      </c>
      <c r="AM67" s="6">
        <f>IFERROR((('raw-PriceList'!AQ67/'raw-PriceList'!AQ68)-1),"")</f>
        <v>4.4871318321891174E-2</v>
      </c>
      <c r="AN67" s="6">
        <f>IFERROR((('raw-PriceList'!AR67/'raw-PriceList'!AR68)-1),"")</f>
        <v>2.9407454603800787E-2</v>
      </c>
      <c r="AO67" s="6">
        <f>IFERROR((('raw-PriceList'!AS67/'raw-PriceList'!AS68)-1),"")</f>
        <v>2.3691875941565632E-2</v>
      </c>
      <c r="AP67" s="6">
        <f>IFERROR((('raw-PriceList'!AT67/'raw-PriceList'!AT68)-1),"")</f>
        <v>2.3691875941565632E-2</v>
      </c>
      <c r="AQ67" s="6">
        <f>IFERROR((('raw-PriceList'!AU67/'raw-PriceList'!AU68)-1),"")</f>
        <v>6.1968630461002983E-2</v>
      </c>
      <c r="AR67" s="6">
        <f>IFERROR((('raw-PriceList'!AV67/'raw-PriceList'!AV68)-1),"")</f>
        <v>7.0196232248636248E-2</v>
      </c>
      <c r="AS67" s="6">
        <f>IFERROR((('raw-PriceList'!AW67/'raw-PriceList'!AW68)-1),"")</f>
        <v>1.5963725761156011E-2</v>
      </c>
    </row>
    <row r="68" spans="1:45" x14ac:dyDescent="0.2">
      <c r="A68" s="2">
        <v>41517</v>
      </c>
      <c r="B68" s="6">
        <f>IFERROR((('raw-PriceList'!B68/'raw-PriceList'!B69)-1),"")</f>
        <v>-6.3391315249974323E-3</v>
      </c>
      <c r="C68" s="6">
        <f>IFERROR((('raw-PriceList'!C68/'raw-PriceList'!C69)-1),"")</f>
        <v>-5.8450247072358019E-3</v>
      </c>
      <c r="D68" s="6">
        <f>IFERROR((('raw-PriceList'!D68/'raw-PriceList'!D69)-1),"")</f>
        <v>-4.1239136633107742E-3</v>
      </c>
      <c r="E68" s="6">
        <f>IFERROR((('raw-PriceList'!F68/'raw-PriceList'!F69)-1),"")</f>
        <v>1.4272915768380745E-3</v>
      </c>
      <c r="F68" s="6">
        <f>IFERROR((('raw-PriceList'!G68/'raw-PriceList'!G69)-1),"")</f>
        <v>-7.6005106845988823E-4</v>
      </c>
      <c r="G68" s="6">
        <f>IFERROR((('raw-PriceList'!H68/'raw-PriceList'!H69)-1),"")</f>
        <v>-1.1391053727654588E-2</v>
      </c>
      <c r="H68" s="6">
        <f>IFERROR((('raw-PriceList'!J68/'raw-PriceList'!J69)-1),"")</f>
        <v>-3.0287140186365025E-2</v>
      </c>
      <c r="I68" s="6">
        <f>IFERROR((('raw-PriceList'!K68/'raw-PriceList'!K69)-1),"")</f>
        <v>-1.6321640555055361E-2</v>
      </c>
      <c r="J68" s="6">
        <f>IFERROR((('raw-PriceList'!L68/'raw-PriceList'!L69)-1),"")</f>
        <v>-3.7791742498354597E-2</v>
      </c>
      <c r="K68" s="6">
        <f>IFERROR((('raw-PriceList'!M68/'raw-PriceList'!M69)-1),"")</f>
        <v>-3.2359301205539315E-2</v>
      </c>
      <c r="L68" s="6">
        <f>IFERROR((('raw-PriceList'!N68/'raw-PriceList'!N69)-1),"")</f>
        <v>-1.9406295720335587E-2</v>
      </c>
      <c r="M68" s="6">
        <f>IFERROR((('raw-PriceList'!O68/'raw-PriceList'!O69)-1),"")</f>
        <v>-4.1697598732414298E-2</v>
      </c>
      <c r="N68" s="6">
        <f>IFERROR((('raw-PriceList'!P68/'raw-PriceList'!P69)-1),"")</f>
        <v>-1.2310682079687441E-2</v>
      </c>
      <c r="O68" s="6">
        <f>IFERROR((('raw-PriceList'!Q68/'raw-PriceList'!Q69)-1),"")</f>
        <v>-1.478398496515454E-2</v>
      </c>
      <c r="P68" s="6">
        <f>IFERROR((('raw-PriceList'!R68/'raw-PriceList'!R69)-1),"")</f>
        <v>-3.0685320149880235E-3</v>
      </c>
      <c r="Q68" s="6">
        <f>IFERROR((('raw-PriceList'!S68/'raw-PriceList'!S69)-1),"")</f>
        <v>-1.6005017705622571E-2</v>
      </c>
      <c r="R68" s="6">
        <f>IFERROR((('raw-PriceList'!T68/'raw-PriceList'!T69)-1),"")</f>
        <v>-1.9910232470343514E-2</v>
      </c>
      <c r="S68" s="6">
        <f>IFERROR((('raw-PriceList'!U68/'raw-PriceList'!U69)-1),"")</f>
        <v>-8.0307604826984624E-3</v>
      </c>
      <c r="T68" s="6">
        <f>IFERROR((('raw-PriceList'!V68/'raw-PriceList'!V69)-1),"")</f>
        <v>-1.4621916909580146E-2</v>
      </c>
      <c r="U68" s="6">
        <f>IFERROR((('raw-PriceList'!W68/'raw-PriceList'!W69)-1),"")</f>
        <v>-7.4924002028888825E-3</v>
      </c>
      <c r="V68" s="6">
        <f>IFERROR((('raw-PriceList'!X68/'raw-PriceList'!X69)-1),"")</f>
        <v>-1.2549168849665948E-3</v>
      </c>
      <c r="W68" s="6">
        <f>IFERROR((('raw-PriceList'!Y68/'raw-PriceList'!Y69)-1),"")</f>
        <v>-3.5647984802360977E-2</v>
      </c>
      <c r="X68" s="6" t="str">
        <f>IFERROR((('raw-PriceList'!Z68/'raw-PriceList'!Z69)-1),"")</f>
        <v/>
      </c>
      <c r="Y68" s="6">
        <f>IFERROR((('raw-PriceList'!AA68/'raw-PriceList'!AA69)-1),"")</f>
        <v>-4.417218125570832E-3</v>
      </c>
      <c r="Z68" s="6">
        <f>IFERROR((('raw-PriceList'!AB68/'raw-PriceList'!AB69)-1),"")</f>
        <v>-2.8162993824263682E-2</v>
      </c>
      <c r="AA68" s="6">
        <f>IFERROR((('raw-PriceList'!AC68/'raw-PriceList'!AC69)-1),"")</f>
        <v>-2.9257010800353256E-2</v>
      </c>
      <c r="AB68" s="6">
        <f>IFERROR((('raw-PriceList'!AD68/'raw-PriceList'!AD69)-1),"")</f>
        <v>-3.0679733372879769E-2</v>
      </c>
      <c r="AC68" s="6">
        <f>IFERROR((('raw-PriceList'!AE68/'raw-PriceList'!AE69)-1),"")</f>
        <v>-3.0679733372879769E-2</v>
      </c>
      <c r="AD68" s="6">
        <f>IFERROR((('raw-PriceList'!AF68/'raw-PriceList'!AF69)-1),"")</f>
        <v>-2.0792072145181306E-2</v>
      </c>
      <c r="AE68" s="6">
        <f>IFERROR((('raw-PriceList'!AG68/'raw-PriceList'!AG69)-1),"")</f>
        <v>-4.6326134342239977E-2</v>
      </c>
      <c r="AF68" s="6">
        <f>IFERROR((('raw-PriceList'!AH68/'raw-PriceList'!AH69)-1),"")</f>
        <v>-1.475030825056467E-2</v>
      </c>
      <c r="AG68" s="6">
        <f>IFERROR((('raw-PriceList'!AJ68/'raw-PriceList'!AJ69)-1),"")</f>
        <v>-9.9879071043124101E-3</v>
      </c>
      <c r="AH68" s="6">
        <f>IFERROR((('raw-PriceList'!AK68/'raw-PriceList'!AK69)-1),"")</f>
        <v>-2.4561555729497364E-2</v>
      </c>
      <c r="AI68" s="6" t="str">
        <f>IFERROR((('raw-PriceList'!AM68/'raw-PriceList'!AM69)-1),"")</f>
        <v/>
      </c>
      <c r="AJ68" s="6">
        <f>IFERROR((('raw-PriceList'!AN68/'raw-PriceList'!AN69)-1),"")</f>
        <v>-3.0323159078108008E-2</v>
      </c>
      <c r="AK68" s="6">
        <f>IFERROR((('raw-PriceList'!AO68/'raw-PriceList'!AO69)-1),"")</f>
        <v>-4.6374876491027672E-3</v>
      </c>
      <c r="AL68" s="6">
        <f>IFERROR((('raw-PriceList'!AP68/'raw-PriceList'!AP69)-1),"")</f>
        <v>-3.680703827100551E-2</v>
      </c>
      <c r="AM68" s="6">
        <f>IFERROR((('raw-PriceList'!AQ68/'raw-PriceList'!AQ69)-1),"")</f>
        <v>-1.8583533671035046E-2</v>
      </c>
      <c r="AN68" s="6">
        <f>IFERROR((('raw-PriceList'!AR68/'raw-PriceList'!AR69)-1),"")</f>
        <v>-2.8526412494852105E-2</v>
      </c>
      <c r="AO68" s="6">
        <f>IFERROR((('raw-PriceList'!AS68/'raw-PriceList'!AS69)-1),"")</f>
        <v>-1.0377028154035073E-2</v>
      </c>
      <c r="AP68" s="6">
        <f>IFERROR((('raw-PriceList'!AT68/'raw-PriceList'!AT69)-1),"")</f>
        <v>-1.0377028154035073E-2</v>
      </c>
      <c r="AQ68" s="6">
        <f>IFERROR((('raw-PriceList'!AU68/'raw-PriceList'!AU69)-1),"")</f>
        <v>-2.9108769704397353E-2</v>
      </c>
      <c r="AR68" s="6">
        <f>IFERROR((('raw-PriceList'!AV68/'raw-PriceList'!AV69)-1),"")</f>
        <v>-1.9477462313734262E-2</v>
      </c>
      <c r="AS68" s="6">
        <f>IFERROR((('raw-PriceList'!AW68/'raw-PriceList'!AW69)-1),"")</f>
        <v>-3.9076980080037016E-2</v>
      </c>
    </row>
    <row r="69" spans="1:45" x14ac:dyDescent="0.2">
      <c r="A69" s="2">
        <v>41486</v>
      </c>
      <c r="B69" s="6">
        <f>IFERROR((('raw-PriceList'!B69/'raw-PriceList'!B70)-1),"")</f>
        <v>-5.2932653767017168E-3</v>
      </c>
      <c r="C69" s="6">
        <f>IFERROR((('raw-PriceList'!C69/'raw-PriceList'!C70)-1),"")</f>
        <v>-2.1386779756945362E-2</v>
      </c>
      <c r="D69" s="6">
        <f>IFERROR((('raw-PriceList'!D69/'raw-PriceList'!D70)-1),"")</f>
        <v>-4.7722415211913782E-3</v>
      </c>
      <c r="E69" s="6">
        <f>IFERROR((('raw-PriceList'!F69/'raw-PriceList'!F70)-1),"")</f>
        <v>-5.5001340270860455E-3</v>
      </c>
      <c r="F69" s="6">
        <f>IFERROR((('raw-PriceList'!G69/'raw-PriceList'!G70)-1),"")</f>
        <v>4.1723725418041369E-4</v>
      </c>
      <c r="G69" s="6">
        <f>IFERROR((('raw-PriceList'!H69/'raw-PriceList'!H70)-1),"")</f>
        <v>-3.6132040247672248E-2</v>
      </c>
      <c r="H69" s="6">
        <f>IFERROR((('raw-PriceList'!J69/'raw-PriceList'!J70)-1),"")</f>
        <v>5.5566900257744356E-2</v>
      </c>
      <c r="I69" s="6">
        <f>IFERROR((('raw-PriceList'!K69/'raw-PriceList'!K70)-1),"")</f>
        <v>5.4618023437898344E-2</v>
      </c>
      <c r="J69" s="6">
        <f>IFERROR((('raw-PriceList'!L69/'raw-PriceList'!L70)-1),"")</f>
        <v>5.2631568212902824E-2</v>
      </c>
      <c r="K69" s="6">
        <f>IFERROR((('raw-PriceList'!M69/'raw-PriceList'!M70)-1),"")</f>
        <v>6.7873051593332567E-2</v>
      </c>
      <c r="L69" s="6">
        <f>IFERROR((('raw-PriceList'!N69/'raw-PriceList'!N70)-1),"")</f>
        <v>6.7940288463817389E-2</v>
      </c>
      <c r="M69" s="6">
        <f>IFERROR((('raw-PriceList'!O69/'raw-PriceList'!O70)-1),"")</f>
        <v>6.8464520837124176E-2</v>
      </c>
      <c r="N69" s="6">
        <f>IFERROR((('raw-PriceList'!P69/'raw-PriceList'!P70)-1),"")</f>
        <v>5.724303528653607E-3</v>
      </c>
      <c r="O69" s="6">
        <f>IFERROR((('raw-PriceList'!Q69/'raw-PriceList'!Q70)-1),"")</f>
        <v>1.6452208100263821E-3</v>
      </c>
      <c r="P69" s="6">
        <f>IFERROR((('raw-PriceList'!R69/'raw-PriceList'!R70)-1),"")</f>
        <v>4.139703179469878E-3</v>
      </c>
      <c r="Q69" s="6">
        <f>IFERROR((('raw-PriceList'!S69/'raw-PriceList'!S70)-1),"")</f>
        <v>5.1968710069848711E-2</v>
      </c>
      <c r="R69" s="6">
        <f>IFERROR((('raw-PriceList'!T69/'raw-PriceList'!T70)-1),"")</f>
        <v>4.7052888112889102E-2</v>
      </c>
      <c r="S69" s="6">
        <f>IFERROR((('raw-PriceList'!U69/'raw-PriceList'!U70)-1),"")</f>
        <v>-1.5524142460791035E-3</v>
      </c>
      <c r="T69" s="6">
        <f>IFERROR((('raw-PriceList'!V69/'raw-PriceList'!V70)-1),"")</f>
        <v>7.6181439446982191E-2</v>
      </c>
      <c r="U69" s="6">
        <f>IFERROR((('raw-PriceList'!W69/'raw-PriceList'!W70)-1),"")</f>
        <v>-2.2909940738099932E-2</v>
      </c>
      <c r="V69" s="6">
        <f>IFERROR((('raw-PriceList'!X69/'raw-PriceList'!X70)-1),"")</f>
        <v>4.2692294098456429E-4</v>
      </c>
      <c r="W69" s="6">
        <f>IFERROR((('raw-PriceList'!Y69/'raw-PriceList'!Y70)-1),"")</f>
        <v>5.403520919754401E-2</v>
      </c>
      <c r="X69" s="6" t="str">
        <f>IFERROR((('raw-PriceList'!Z69/'raw-PriceList'!Z70)-1),"")</f>
        <v/>
      </c>
      <c r="Y69" s="6">
        <f>IFERROR((('raw-PriceList'!AA69/'raw-PriceList'!AA70)-1),"")</f>
        <v>-4.1779996129243102E-4</v>
      </c>
      <c r="Z69" s="6">
        <f>IFERROR((('raw-PriceList'!AB69/'raw-PriceList'!AB70)-1),"")</f>
        <v>1.2005363943330183E-2</v>
      </c>
      <c r="AA69" s="6">
        <f>IFERROR((('raw-PriceList'!AC69/'raw-PriceList'!AC70)-1),"")</f>
        <v>5.6367998233858296E-2</v>
      </c>
      <c r="AB69" s="6">
        <f>IFERROR((('raw-PriceList'!AD69/'raw-PriceList'!AD70)-1),"")</f>
        <v>5.2651706747778748E-2</v>
      </c>
      <c r="AC69" s="6">
        <f>IFERROR((('raw-PriceList'!AE69/'raw-PriceList'!AE70)-1),"")</f>
        <v>5.2651706747778748E-2</v>
      </c>
      <c r="AD69" s="6">
        <f>IFERROR((('raw-PriceList'!AF69/'raw-PriceList'!AF70)-1),"")</f>
        <v>5.8638758466337482E-2</v>
      </c>
      <c r="AE69" s="6">
        <f>IFERROR((('raw-PriceList'!AG69/'raw-PriceList'!AG70)-1),"")</f>
        <v>4.2476532806421829E-2</v>
      </c>
      <c r="AF69" s="6">
        <f>IFERROR((('raw-PriceList'!AH69/'raw-PriceList'!AH70)-1),"")</f>
        <v>1.8625285422683602E-2</v>
      </c>
      <c r="AG69" s="6">
        <f>IFERROR((('raw-PriceList'!AJ69/'raw-PriceList'!AJ70)-1),"")</f>
        <v>5.1792508539157289E-2</v>
      </c>
      <c r="AH69" s="6">
        <f>IFERROR((('raw-PriceList'!AK69/'raw-PriceList'!AK70)-1),"")</f>
        <v>5.1614099357116805E-2</v>
      </c>
      <c r="AI69" s="6" t="str">
        <f>IFERROR((('raw-PriceList'!AM69/'raw-PriceList'!AM70)-1),"")</f>
        <v/>
      </c>
      <c r="AJ69" s="6">
        <f>IFERROR((('raw-PriceList'!AN69/'raw-PriceList'!AN70)-1),"")</f>
        <v>5.748413930317442E-2</v>
      </c>
      <c r="AK69" s="6">
        <f>IFERROR((('raw-PriceList'!AO69/'raw-PriceList'!AO70)-1),"")</f>
        <v>6.9724639894130913E-3</v>
      </c>
      <c r="AL69" s="6">
        <f>IFERROR((('raw-PriceList'!AP69/'raw-PriceList'!AP70)-1),"")</f>
        <v>5.3843002342807145E-2</v>
      </c>
      <c r="AM69" s="6">
        <f>IFERROR((('raw-PriceList'!AQ69/'raw-PriceList'!AQ70)-1),"")</f>
        <v>5.5773720548685457E-2</v>
      </c>
      <c r="AN69" s="6">
        <f>IFERROR((('raw-PriceList'!AR69/'raw-PriceList'!AR70)-1),"")</f>
        <v>5.3487145166842387E-2</v>
      </c>
      <c r="AO69" s="6">
        <f>IFERROR((('raw-PriceList'!AS69/'raw-PriceList'!AS70)-1),"")</f>
        <v>-1.1036341213836121E-2</v>
      </c>
      <c r="AP69" s="6">
        <f>IFERROR((('raw-PriceList'!AT69/'raw-PriceList'!AT70)-1),"")</f>
        <v>-1.1036341213836121E-2</v>
      </c>
      <c r="AQ69" s="6">
        <f>IFERROR((('raw-PriceList'!AU69/'raw-PriceList'!AU70)-1),"")</f>
        <v>7.1138386313810642E-2</v>
      </c>
      <c r="AR69" s="6">
        <f>IFERROR((('raw-PriceList'!AV69/'raw-PriceList'!AV70)-1),"")</f>
        <v>4.6163013243126771E-2</v>
      </c>
      <c r="AS69" s="6">
        <f>IFERROR((('raw-PriceList'!AW69/'raw-PriceList'!AW70)-1),"")</f>
        <v>4.4700603401999439E-2</v>
      </c>
    </row>
    <row r="70" spans="1:45" x14ac:dyDescent="0.2">
      <c r="A70" s="2">
        <v>41455</v>
      </c>
      <c r="B70" s="6">
        <f>IFERROR((('raw-PriceList'!B70/'raw-PriceList'!B71)-1),"")</f>
        <v>-2.2541599640133914E-2</v>
      </c>
      <c r="C70" s="6">
        <f>IFERROR((('raw-PriceList'!C70/'raw-PriceList'!C71)-1),"")</f>
        <v>-3.217807906629111E-2</v>
      </c>
      <c r="D70" s="6">
        <f>IFERROR((('raw-PriceList'!D70/'raw-PriceList'!D71)-1),"")</f>
        <v>-1.2023631957027603E-2</v>
      </c>
      <c r="E70" s="6" t="str">
        <f>IFERROR((('raw-PriceList'!F70/'raw-PriceList'!F71)-1),"")</f>
        <v/>
      </c>
      <c r="F70" s="6">
        <f>IFERROR((('raw-PriceList'!G70/'raw-PriceList'!G71)-1),"")</f>
        <v>-3.4974994368380807E-3</v>
      </c>
      <c r="G70" s="6">
        <f>IFERROR((('raw-PriceList'!H70/'raw-PriceList'!H71)-1),"")</f>
        <v>-5.3988694258258585E-2</v>
      </c>
      <c r="H70" s="6">
        <f>IFERROR((('raw-PriceList'!J70/'raw-PriceList'!J71)-1),"")</f>
        <v>-2.2370904032673056E-2</v>
      </c>
      <c r="I70" s="6">
        <f>IFERROR((('raw-PriceList'!K70/'raw-PriceList'!K71)-1),"")</f>
        <v>-2.7568470466354245E-2</v>
      </c>
      <c r="J70" s="6">
        <f>IFERROR((('raw-PriceList'!L70/'raw-PriceList'!L71)-1),"")</f>
        <v>-1.4381492497469117E-2</v>
      </c>
      <c r="K70" s="6">
        <f>IFERROR((('raw-PriceList'!M70/'raw-PriceList'!M71)-1),"")</f>
        <v>-1.0587534465235415E-2</v>
      </c>
      <c r="L70" s="6">
        <f>IFERROR((('raw-PriceList'!N70/'raw-PriceList'!N71)-1),"")</f>
        <v>-9.0990271130565459E-3</v>
      </c>
      <c r="M70" s="6">
        <f>IFERROR((('raw-PriceList'!O70/'raw-PriceList'!O71)-1),"")</f>
        <v>-1.2721124897201896E-2</v>
      </c>
      <c r="N70" s="6">
        <f>IFERROR((('raw-PriceList'!P70/'raw-PriceList'!P71)-1),"")</f>
        <v>-2.9967156119961036E-2</v>
      </c>
      <c r="O70" s="6">
        <f>IFERROR((('raw-PriceList'!Q70/'raw-PriceList'!Q71)-1),"")</f>
        <v>-4.4009015000861296E-2</v>
      </c>
      <c r="P70" s="6">
        <f>IFERROR((('raw-PriceList'!R70/'raw-PriceList'!R71)-1),"")</f>
        <v>-9.1454083275912534E-3</v>
      </c>
      <c r="Q70" s="6">
        <f>IFERROR((('raw-PriceList'!S70/'raw-PriceList'!S71)-1),"")</f>
        <v>-4.2611718780673713E-2</v>
      </c>
      <c r="R70" s="6">
        <f>IFERROR((('raw-PriceList'!T70/'raw-PriceList'!T71)-1),"")</f>
        <v>-4.9225144042495339E-2</v>
      </c>
      <c r="S70" s="6">
        <f>IFERROR((('raw-PriceList'!U70/'raw-PriceList'!U71)-1),"")</f>
        <v>-1.4943815808328487E-2</v>
      </c>
      <c r="T70" s="6">
        <f>IFERROR((('raw-PriceList'!V70/'raw-PriceList'!V71)-1),"")</f>
        <v>-6.2900658966330458E-2</v>
      </c>
      <c r="U70" s="6">
        <f>IFERROR((('raw-PriceList'!W70/'raw-PriceList'!W71)-1),"")</f>
        <v>-3.4393313936185499E-2</v>
      </c>
      <c r="V70" s="6">
        <f>IFERROR((('raw-PriceList'!X70/'raw-PriceList'!X71)-1),"")</f>
        <v>-4.0109749480099488E-5</v>
      </c>
      <c r="W70" s="6">
        <f>IFERROR((('raw-PriceList'!Y70/'raw-PriceList'!Y71)-1),"")</f>
        <v>-2.0213329457719365E-2</v>
      </c>
      <c r="X70" s="6" t="str">
        <f>IFERROR((('raw-PriceList'!Z70/'raw-PriceList'!Z71)-1),"")</f>
        <v/>
      </c>
      <c r="Y70" s="6">
        <f>IFERROR((('raw-PriceList'!AA70/'raw-PriceList'!AA71)-1),"")</f>
        <v>-9.6081614426952733E-3</v>
      </c>
      <c r="Z70" s="6">
        <f>IFERROR((('raw-PriceList'!AB70/'raw-PriceList'!AB71)-1),"")</f>
        <v>-3.285916617580642E-2</v>
      </c>
      <c r="AA70" s="6">
        <f>IFERROR((('raw-PriceList'!AC70/'raw-PriceList'!AC71)-1),"")</f>
        <v>-1.3484212390890815E-2</v>
      </c>
      <c r="AB70" s="6">
        <f>IFERROR((('raw-PriceList'!AD70/'raw-PriceList'!AD71)-1),"")</f>
        <v>-1.9966090955820137E-2</v>
      </c>
      <c r="AC70" s="6">
        <f>IFERROR((('raw-PriceList'!AE70/'raw-PriceList'!AE71)-1),"")</f>
        <v>-1.9966090955820137E-2</v>
      </c>
      <c r="AD70" s="6">
        <f>IFERROR((('raw-PriceList'!AF70/'raw-PriceList'!AF71)-1),"")</f>
        <v>-1.1423943248871526E-2</v>
      </c>
      <c r="AE70" s="6">
        <f>IFERROR((('raw-PriceList'!AG70/'raw-PriceList'!AG71)-1),"")</f>
        <v>2.1105037605212873E-2</v>
      </c>
      <c r="AF70" s="6">
        <f>IFERROR((('raw-PriceList'!AH70/'raw-PriceList'!AH71)-1),"")</f>
        <v>-1.1342484742781211E-2</v>
      </c>
      <c r="AG70" s="6">
        <f>IFERROR((('raw-PriceList'!AJ70/'raw-PriceList'!AJ71)-1),"")</f>
        <v>-5.4409965770957913E-2</v>
      </c>
      <c r="AH70" s="6">
        <f>IFERROR((('raw-PriceList'!AK70/'raw-PriceList'!AK71)-1),"")</f>
        <v>-3.4948586009886484E-2</v>
      </c>
      <c r="AI70" s="6" t="str">
        <f>IFERROR((('raw-PriceList'!AM70/'raw-PriceList'!AM71)-1),"")</f>
        <v/>
      </c>
      <c r="AJ70" s="6">
        <f>IFERROR((('raw-PriceList'!AN70/'raw-PriceList'!AN71)-1),"")</f>
        <v>-1.909489735647274E-2</v>
      </c>
      <c r="AK70" s="6">
        <f>IFERROR((('raw-PriceList'!AO70/'raw-PriceList'!AO71)-1),"")</f>
        <v>-9.928830981290715E-3</v>
      </c>
      <c r="AL70" s="6">
        <f>IFERROR((('raw-PriceList'!AP70/'raw-PriceList'!AP71)-1),"")</f>
        <v>-1.5948025046669367E-2</v>
      </c>
      <c r="AM70" s="6">
        <f>IFERROR((('raw-PriceList'!AQ70/'raw-PriceList'!AQ71)-1),"")</f>
        <v>-2.4619442148017812E-2</v>
      </c>
      <c r="AN70" s="6">
        <f>IFERROR((('raw-PriceList'!AR70/'raw-PriceList'!AR71)-1),"")</f>
        <v>-1.8202810491685484E-2</v>
      </c>
      <c r="AO70" s="6" t="str">
        <f>IFERROR((('raw-PriceList'!AS70/'raw-PriceList'!AS71)-1),"")</f>
        <v/>
      </c>
      <c r="AP70" s="6" t="str">
        <f>IFERROR((('raw-PriceList'!AT70/'raw-PriceList'!AT71)-1),"")</f>
        <v/>
      </c>
      <c r="AQ70" s="6">
        <f>IFERROR((('raw-PriceList'!AU70/'raw-PriceList'!AU71)-1),"")</f>
        <v>-1.1190163248232854E-2</v>
      </c>
      <c r="AR70" s="6">
        <f>IFERROR((('raw-PriceList'!AV70/'raw-PriceList'!AV71)-1),"")</f>
        <v>-4.8533689799697965E-2</v>
      </c>
      <c r="AS70" s="6">
        <f>IFERROR((('raw-PriceList'!AW70/'raw-PriceList'!AW71)-1),"")</f>
        <v>-8.8046461551393174E-3</v>
      </c>
    </row>
    <row r="71" spans="1:45" x14ac:dyDescent="0.2">
      <c r="A71" s="2">
        <v>41425</v>
      </c>
      <c r="B71" s="6">
        <f>IFERROR((('raw-PriceList'!B71/'raw-PriceList'!B72)-1),"")</f>
        <v>-3.0050172288661359E-2</v>
      </c>
      <c r="C71" s="6">
        <f>IFERROR((('raw-PriceList'!C71/'raw-PriceList'!C72)-1),"")</f>
        <v>-6.0521887547403397E-2</v>
      </c>
      <c r="D71" s="6">
        <f>IFERROR((('raw-PriceList'!D71/'raw-PriceList'!D72)-1),"")</f>
        <v>-2.1202687802514997E-2</v>
      </c>
      <c r="E71" s="6" t="str">
        <f>IFERROR((('raw-PriceList'!F71/'raw-PriceList'!F72)-1),"")</f>
        <v/>
      </c>
      <c r="F71" s="6">
        <f>IFERROR((('raw-PriceList'!G71/'raw-PriceList'!G72)-1),"")</f>
        <v>-6.2933719180787717E-3</v>
      </c>
      <c r="G71" s="6">
        <f>IFERROR((('raw-PriceList'!H71/'raw-PriceList'!H72)-1),"")</f>
        <v>-9.789400228409928E-2</v>
      </c>
      <c r="H71" s="6">
        <f>IFERROR((('raw-PriceList'!J71/'raw-PriceList'!J72)-1),"")</f>
        <v>2.3189857866782848E-2</v>
      </c>
      <c r="I71" s="6">
        <f>IFERROR((('raw-PriceList'!K71/'raw-PriceList'!K72)-1),"")</f>
        <v>1.6599953428099168E-2</v>
      </c>
      <c r="J71" s="6">
        <f>IFERROR((('raw-PriceList'!L71/'raw-PriceList'!L72)-1),"")</f>
        <v>2.6527036421719385E-2</v>
      </c>
      <c r="K71" s="6">
        <f>IFERROR((('raw-PriceList'!M71/'raw-PriceList'!M72)-1),"")</f>
        <v>3.5995251402117345E-2</v>
      </c>
      <c r="L71" s="6">
        <f>IFERROR((('raw-PriceList'!N71/'raw-PriceList'!N72)-1),"")</f>
        <v>4.3871866785020197E-2</v>
      </c>
      <c r="M71" s="6">
        <f>IFERROR((('raw-PriceList'!O71/'raw-PriceList'!O72)-1),"")</f>
        <v>3.111332739396544E-2</v>
      </c>
      <c r="N71" s="6">
        <f>IFERROR((('raw-PriceList'!P71/'raw-PriceList'!P72)-1),"")</f>
        <v>-3.293877787927324E-2</v>
      </c>
      <c r="O71" s="6">
        <f>IFERROR((('raw-PriceList'!Q71/'raw-PriceList'!Q72)-1),"")</f>
        <v>-6.15162814945025E-2</v>
      </c>
      <c r="P71" s="6">
        <f>IFERROR((('raw-PriceList'!R71/'raw-PriceList'!R72)-1),"")</f>
        <v>-7.8192363614161264E-3</v>
      </c>
      <c r="Q71" s="6">
        <f>IFERROR((('raw-PriceList'!S71/'raw-PriceList'!S72)-1),"")</f>
        <v>-2.9974300140550914E-2</v>
      </c>
      <c r="R71" s="6">
        <f>IFERROR((('raw-PriceList'!T71/'raw-PriceList'!T72)-1),"")</f>
        <v>-3.2999444049184867E-2</v>
      </c>
      <c r="S71" s="6">
        <f>IFERROR((('raw-PriceList'!U71/'raw-PriceList'!U72)-1),"")</f>
        <v>-1.8446940382785271E-2</v>
      </c>
      <c r="T71" s="6">
        <f>IFERROR((('raw-PriceList'!V71/'raw-PriceList'!V72)-1),"")</f>
        <v>1.431216606162522E-4</v>
      </c>
      <c r="U71" s="6">
        <f>IFERROR((('raw-PriceList'!W71/'raw-PriceList'!W72)-1),"")</f>
        <v>-6.3128087873192018E-2</v>
      </c>
      <c r="V71" s="6">
        <f>IFERROR((('raw-PriceList'!X71/'raw-PriceList'!X72)-1),"")</f>
        <v>-1.2043061456227244E-3</v>
      </c>
      <c r="W71" s="6">
        <f>IFERROR((('raw-PriceList'!Y71/'raw-PriceList'!Y72)-1),"")</f>
        <v>1.151006460732229E-2</v>
      </c>
      <c r="X71" s="6" t="str">
        <f>IFERROR((('raw-PriceList'!Z71/'raw-PriceList'!Z72)-1),"")</f>
        <v/>
      </c>
      <c r="Y71" s="6">
        <f>IFERROR((('raw-PriceList'!AA71/'raw-PriceList'!AA72)-1),"")</f>
        <v>-1.4933100975315639E-2</v>
      </c>
      <c r="Z71" s="6">
        <f>IFERROR((('raw-PriceList'!AB71/'raw-PriceList'!AB72)-1),"")</f>
        <v>-9.9940297397563382E-2</v>
      </c>
      <c r="AA71" s="6">
        <f>IFERROR((('raw-PriceList'!AC71/'raw-PriceList'!AC72)-1),"")</f>
        <v>1.867843552644799E-2</v>
      </c>
      <c r="AB71" s="6">
        <f>IFERROR((('raw-PriceList'!AD71/'raw-PriceList'!AD72)-1),"")</f>
        <v>2.3374175924927076E-2</v>
      </c>
      <c r="AC71" s="6">
        <f>IFERROR((('raw-PriceList'!AE71/'raw-PriceList'!AE72)-1),"")</f>
        <v>2.3374175924927076E-2</v>
      </c>
      <c r="AD71" s="6">
        <f>IFERROR((('raw-PriceList'!AF71/'raw-PriceList'!AF72)-1),"")</f>
        <v>1.8706727794018274E-2</v>
      </c>
      <c r="AE71" s="6">
        <f>IFERROR((('raw-PriceList'!AG71/'raw-PriceList'!AG72)-1),"")</f>
        <v>-3.727796925286353E-2</v>
      </c>
      <c r="AF71" s="6">
        <f>IFERROR((('raw-PriceList'!AH71/'raw-PriceList'!AH72)-1),"")</f>
        <v>-7.704086861142434E-2</v>
      </c>
      <c r="AG71" s="6">
        <f>IFERROR((('raw-PriceList'!AJ71/'raw-PriceList'!AJ72)-1),"")</f>
        <v>-2.5001784956131479E-2</v>
      </c>
      <c r="AH71" s="6">
        <f>IFERROR((('raw-PriceList'!AK71/'raw-PriceList'!AK72)-1),"")</f>
        <v>-5.6222979752723612E-3</v>
      </c>
      <c r="AI71" s="6" t="str">
        <f>IFERROR((('raw-PriceList'!AM71/'raw-PriceList'!AM72)-1),"")</f>
        <v/>
      </c>
      <c r="AJ71" s="6">
        <f>IFERROR((('raw-PriceList'!AN71/'raw-PriceList'!AN72)-1),"")</f>
        <v>2.4615855949172261E-2</v>
      </c>
      <c r="AK71" s="6">
        <f>IFERROR((('raw-PriceList'!AO71/'raw-PriceList'!AO72)-1),"")</f>
        <v>-9.3713220890514481E-3</v>
      </c>
      <c r="AL71" s="6">
        <f>IFERROR((('raw-PriceList'!AP71/'raw-PriceList'!AP72)-1),"")</f>
        <v>2.5834074138662677E-2</v>
      </c>
      <c r="AM71" s="6">
        <f>IFERROR((('raw-PriceList'!AQ71/'raw-PriceList'!AQ72)-1),"")</f>
        <v>1.7324917721527999E-2</v>
      </c>
      <c r="AN71" s="6">
        <f>IFERROR((('raw-PriceList'!AR71/'raw-PriceList'!AR72)-1),"")</f>
        <v>2.1903585246817903E-2</v>
      </c>
      <c r="AO71" s="6" t="str">
        <f>IFERROR((('raw-PriceList'!AS71/'raw-PriceList'!AS72)-1),"")</f>
        <v/>
      </c>
      <c r="AP71" s="6" t="str">
        <f>IFERROR((('raw-PriceList'!AT71/'raw-PriceList'!AT72)-1),"")</f>
        <v/>
      </c>
      <c r="AQ71" s="6">
        <f>IFERROR((('raw-PriceList'!AU71/'raw-PriceList'!AU72)-1),"")</f>
        <v>2.7942187253003681E-2</v>
      </c>
      <c r="AR71" s="6">
        <f>IFERROR((('raw-PriceList'!AV71/'raw-PriceList'!AV72)-1),"")</f>
        <v>-3.2927432309264981E-2</v>
      </c>
      <c r="AS71" s="6">
        <f>IFERROR((('raw-PriceList'!AW71/'raw-PriceList'!AW72)-1),"")</f>
        <v>7.2666306889219712E-3</v>
      </c>
    </row>
    <row r="72" spans="1:45" x14ac:dyDescent="0.2">
      <c r="A72" s="2">
        <v>41394</v>
      </c>
      <c r="B72" s="6">
        <f>IFERROR((('raw-PriceList'!B72/'raw-PriceList'!B73)-1),"")</f>
        <v>7.8053542551466126E-3</v>
      </c>
      <c r="C72" s="6">
        <f>IFERROR((('raw-PriceList'!C72/'raw-PriceList'!C73)-1),"")</f>
        <v>3.3894698662504608E-2</v>
      </c>
      <c r="D72" s="6">
        <f>IFERROR((('raw-PriceList'!D72/'raw-PriceList'!D73)-1),"")</f>
        <v>6.4995444065789609E-3</v>
      </c>
      <c r="E72" s="6" t="str">
        <f>IFERROR((('raw-PriceList'!F72/'raw-PriceList'!F73)-1),"")</f>
        <v/>
      </c>
      <c r="F72" s="6">
        <f>IFERROR((('raw-PriceList'!G72/'raw-PriceList'!G73)-1),"")</f>
        <v>1.0460829606877553E-3</v>
      </c>
      <c r="G72" s="6">
        <f>IFERROR((('raw-PriceList'!H72/'raw-PriceList'!H73)-1),"")</f>
        <v>7.3290739463528265E-2</v>
      </c>
      <c r="H72" s="6">
        <f>IFERROR((('raw-PriceList'!J72/'raw-PriceList'!J73)-1),"")</f>
        <v>2.0434021950814341E-2</v>
      </c>
      <c r="I72" s="6">
        <f>IFERROR((('raw-PriceList'!K72/'raw-PriceList'!K73)-1),"")</f>
        <v>1.764930107375573E-2</v>
      </c>
      <c r="J72" s="6">
        <f>IFERROR((('raw-PriceList'!L72/'raw-PriceList'!L73)-1),"")</f>
        <v>2.2149209443439233E-2</v>
      </c>
      <c r="K72" s="6">
        <f>IFERROR((('raw-PriceList'!M72/'raw-PriceList'!M73)-1),"")</f>
        <v>2.9664198508223549E-3</v>
      </c>
      <c r="L72" s="6">
        <f>IFERROR((('raw-PriceList'!N72/'raw-PriceList'!N73)-1),"")</f>
        <v>-3.8585682704068702E-3</v>
      </c>
      <c r="M72" s="6">
        <f>IFERROR((('raw-PriceList'!O72/'raw-PriceList'!O73)-1),"")</f>
        <v>8.3687356209916075E-4</v>
      </c>
      <c r="N72" s="6">
        <f>IFERROR((('raw-PriceList'!P72/'raw-PriceList'!P73)-1),"")</f>
        <v>1.5542529814666306E-2</v>
      </c>
      <c r="O72" s="6">
        <f>IFERROR((('raw-PriceList'!Q72/'raw-PriceList'!Q73)-1),"")</f>
        <v>4.10224628906668E-2</v>
      </c>
      <c r="P72" s="6">
        <f>IFERROR((('raw-PriceList'!R72/'raw-PriceList'!R73)-1),"")</f>
        <v>3.018285472447424E-3</v>
      </c>
      <c r="Q72" s="6">
        <f>IFERROR((('raw-PriceList'!S72/'raw-PriceList'!S73)-1),"")</f>
        <v>5.2261101284293732E-2</v>
      </c>
      <c r="R72" s="6">
        <f>IFERROR((('raw-PriceList'!T72/'raw-PriceList'!T73)-1),"")</f>
        <v>3.7458062974238482E-2</v>
      </c>
      <c r="S72" s="6">
        <f>IFERROR((('raw-PriceList'!U72/'raw-PriceList'!U73)-1),"")</f>
        <v>6.670684021107709E-3</v>
      </c>
      <c r="T72" s="6">
        <f>IFERROR((('raw-PriceList'!V72/'raw-PriceList'!V73)-1),"")</f>
        <v>4.5318519929783863E-2</v>
      </c>
      <c r="U72" s="6">
        <f>IFERROR((('raw-PriceList'!W72/'raw-PriceList'!W73)-1),"")</f>
        <v>3.6711609200999806E-2</v>
      </c>
      <c r="V72" s="6">
        <f>IFERROR((('raw-PriceList'!X72/'raw-PriceList'!X73)-1),"")</f>
        <v>4.8113290454643298E-4</v>
      </c>
      <c r="W72" s="6">
        <f>IFERROR((('raw-PriceList'!Y72/'raw-PriceList'!Y73)-1),"")</f>
        <v>1.6707759263489885E-2</v>
      </c>
      <c r="X72" s="6" t="str">
        <f>IFERROR((('raw-PriceList'!Z72/'raw-PriceList'!Z73)-1),"")</f>
        <v/>
      </c>
      <c r="Y72" s="6">
        <f>IFERROR((('raw-PriceList'!AA72/'raw-PriceList'!AA73)-1),"")</f>
        <v>4.513498207545652E-3</v>
      </c>
      <c r="Z72" s="6">
        <f>IFERROR((('raw-PriceList'!AB72/'raw-PriceList'!AB73)-1),"")</f>
        <v>6.8636560878740926E-2</v>
      </c>
      <c r="AA72" s="6">
        <f>IFERROR((('raw-PriceList'!AC72/'raw-PriceList'!AC73)-1),"")</f>
        <v>1.6995280386927547E-2</v>
      </c>
      <c r="AB72" s="6">
        <f>IFERROR((('raw-PriceList'!AD72/'raw-PriceList'!AD73)-1),"")</f>
        <v>2.070867048392655E-2</v>
      </c>
      <c r="AC72" s="6">
        <f>IFERROR((('raw-PriceList'!AE72/'raw-PriceList'!AE73)-1),"")</f>
        <v>2.070867048392655E-2</v>
      </c>
      <c r="AD72" s="6">
        <f>IFERROR((('raw-PriceList'!AF72/'raw-PriceList'!AF73)-1),"")</f>
        <v>7.1194076100369319E-3</v>
      </c>
      <c r="AE72" s="6">
        <f>IFERROR((('raw-PriceList'!AG72/'raw-PriceList'!AG73)-1),"")</f>
        <v>8.2544490416826211E-2</v>
      </c>
      <c r="AF72" s="6">
        <f>IFERROR((('raw-PriceList'!AH72/'raw-PriceList'!AH73)-1),"")</f>
        <v>5.4382251032864426E-2</v>
      </c>
      <c r="AG72" s="6">
        <f>IFERROR((('raw-PriceList'!AJ72/'raw-PriceList'!AJ73)-1),"")</f>
        <v>2.4694889892067362E-2</v>
      </c>
      <c r="AH72" s="6">
        <f>IFERROR((('raw-PriceList'!AK72/'raw-PriceList'!AK73)-1),"")</f>
        <v>2.6725646383367163E-2</v>
      </c>
      <c r="AI72" s="6" t="str">
        <f>IFERROR((('raw-PriceList'!AM72/'raw-PriceList'!AM73)-1),"")</f>
        <v/>
      </c>
      <c r="AJ72" s="6">
        <f>IFERROR((('raw-PriceList'!AN72/'raw-PriceList'!AN73)-1),"")</f>
        <v>1.5984397271745943E-2</v>
      </c>
      <c r="AK72" s="6">
        <f>IFERROR((('raw-PriceList'!AO72/'raw-PriceList'!AO73)-1),"")</f>
        <v>-5.2072325190022362E-3</v>
      </c>
      <c r="AL72" s="6">
        <f>IFERROR((('raw-PriceList'!AP72/'raw-PriceList'!AP73)-1),"")</f>
        <v>2.2059456367879093E-2</v>
      </c>
      <c r="AM72" s="6">
        <f>IFERROR((('raw-PriceList'!AQ72/'raw-PriceList'!AQ73)-1),"")</f>
        <v>1.6126826506728476E-2</v>
      </c>
      <c r="AN72" s="6">
        <f>IFERROR((('raw-PriceList'!AR72/'raw-PriceList'!AR73)-1),"")</f>
        <v>1.9909686182064013E-2</v>
      </c>
      <c r="AO72" s="6" t="str">
        <f>IFERROR((('raw-PriceList'!AS72/'raw-PriceList'!AS73)-1),"")</f>
        <v/>
      </c>
      <c r="AP72" s="6" t="str">
        <f>IFERROR((('raw-PriceList'!AT72/'raw-PriceList'!AT73)-1),"")</f>
        <v/>
      </c>
      <c r="AQ72" s="6">
        <f>IFERROR((('raw-PriceList'!AU72/'raw-PriceList'!AU73)-1),"")</f>
        <v>6.561510202251597E-3</v>
      </c>
      <c r="AR72" s="6">
        <f>IFERROR((('raw-PriceList'!AV72/'raw-PriceList'!AV73)-1),"")</f>
        <v>3.4999663316439333E-2</v>
      </c>
      <c r="AS72" s="6">
        <f>IFERROR((('raw-PriceList'!AW72/'raw-PriceList'!AW73)-1),"")</f>
        <v>3.0140188962080483E-2</v>
      </c>
    </row>
    <row r="73" spans="1:45" x14ac:dyDescent="0.2">
      <c r="A73" s="2">
        <v>41364</v>
      </c>
      <c r="B73" s="6">
        <f>IFERROR((('raw-PriceList'!B73/'raw-PriceList'!B74)-1),"")</f>
        <v>1.2375411362153255E-3</v>
      </c>
      <c r="C73" s="6">
        <f>IFERROR((('raw-PriceList'!C73/'raw-PriceList'!C74)-1),"")</f>
        <v>-8.8634524344997079E-3</v>
      </c>
      <c r="D73" s="6">
        <f>IFERROR((('raw-PriceList'!D73/'raw-PriceList'!D74)-1),"")</f>
        <v>-9.7145826241196165E-4</v>
      </c>
      <c r="E73" s="6" t="str">
        <f>IFERROR((('raw-PriceList'!F73/'raw-PriceList'!F74)-1),"")</f>
        <v/>
      </c>
      <c r="F73" s="6">
        <f>IFERROR((('raw-PriceList'!G73/'raw-PriceList'!G74)-1),"")</f>
        <v>-8.7913123528482462E-4</v>
      </c>
      <c r="G73" s="6">
        <f>IFERROR((('raw-PriceList'!H73/'raw-PriceList'!H74)-1),"")</f>
        <v>-1.3986350233074596E-2</v>
      </c>
      <c r="H73" s="6">
        <f>IFERROR((('raw-PriceList'!J73/'raw-PriceList'!J74)-1),"")</f>
        <v>3.321595125221477E-2</v>
      </c>
      <c r="I73" s="6">
        <f>IFERROR((('raw-PriceList'!K73/'raw-PriceList'!K74)-1),"")</f>
        <v>3.3408451237466386E-2</v>
      </c>
      <c r="J73" s="6">
        <f>IFERROR((('raw-PriceList'!L73/'raw-PriceList'!L74)-1),"")</f>
        <v>3.3114835475056781E-2</v>
      </c>
      <c r="K73" s="6">
        <f>IFERROR((('raw-PriceList'!M73/'raw-PriceList'!M74)-1),"")</f>
        <v>4.6292954699269862E-2</v>
      </c>
      <c r="L73" s="6">
        <f>IFERROR((('raw-PriceList'!N73/'raw-PriceList'!N74)-1),"")</f>
        <v>4.8458878757000168E-2</v>
      </c>
      <c r="M73" s="6">
        <f>IFERROR((('raw-PriceList'!O73/'raw-PriceList'!O74)-1),"")</f>
        <v>4.5297674632251095E-2</v>
      </c>
      <c r="N73" s="6">
        <f>IFERROR((('raw-PriceList'!P73/'raw-PriceList'!P74)-1),"")</f>
        <v>1.1463202649690807E-3</v>
      </c>
      <c r="O73" s="6">
        <f>IFERROR((('raw-PriceList'!Q73/'raw-PriceList'!Q74)-1),"")</f>
        <v>-1.4696510966562548E-2</v>
      </c>
      <c r="P73" s="6">
        <f>IFERROR((('raw-PriceList'!R73/'raw-PriceList'!R74)-1),"")</f>
        <v>3.3682003288504347E-4</v>
      </c>
      <c r="Q73" s="6">
        <f>IFERROR((('raw-PriceList'!S73/'raw-PriceList'!S74)-1),"")</f>
        <v>7.5616379557108537E-3</v>
      </c>
      <c r="R73" s="6">
        <f>IFERROR((('raw-PriceList'!T73/'raw-PriceList'!T74)-1),"")</f>
        <v>3.447477268250676E-3</v>
      </c>
      <c r="S73" s="6">
        <f>IFERROR((('raw-PriceList'!U73/'raw-PriceList'!U74)-1),"")</f>
        <v>7.1488826734023014E-4</v>
      </c>
      <c r="T73" s="6">
        <f>IFERROR((('raw-PriceList'!V73/'raw-PriceList'!V74)-1),"")</f>
        <v>-1.3921589073472296E-3</v>
      </c>
      <c r="U73" s="6">
        <f>IFERROR((('raw-PriceList'!W73/'raw-PriceList'!W74)-1),"")</f>
        <v>-3.2841695381514713E-3</v>
      </c>
      <c r="V73" s="6">
        <f>IFERROR((('raw-PriceList'!X73/'raw-PriceList'!X74)-1),"")</f>
        <v>1.1334430418674657E-5</v>
      </c>
      <c r="W73" s="6">
        <f>IFERROR((('raw-PriceList'!Y73/'raw-PriceList'!Y74)-1),"")</f>
        <v>2.924538277588784E-2</v>
      </c>
      <c r="X73" s="6" t="str">
        <f>IFERROR((('raw-PriceList'!Z73/'raw-PriceList'!Z74)-1),"")</f>
        <v/>
      </c>
      <c r="Y73" s="6">
        <f>IFERROR((('raw-PriceList'!AA73/'raw-PriceList'!AA74)-1),"")</f>
        <v>-4.650373745515024E-4</v>
      </c>
      <c r="Z73" s="6">
        <f>IFERROR((('raw-PriceList'!AB73/'raw-PriceList'!AB74)-1),"")</f>
        <v>2.7019761442313994E-2</v>
      </c>
      <c r="AA73" s="6">
        <f>IFERROR((('raw-PriceList'!AC73/'raw-PriceList'!AC74)-1),"")</f>
        <v>4.9700860275697645E-2</v>
      </c>
      <c r="AB73" s="6">
        <f>IFERROR((('raw-PriceList'!AD73/'raw-PriceList'!AD74)-1),"")</f>
        <v>3.1422815226850087E-2</v>
      </c>
      <c r="AC73" s="6">
        <f>IFERROR((('raw-PriceList'!AE73/'raw-PriceList'!AE74)-1),"")</f>
        <v>3.1422815226850087E-2</v>
      </c>
      <c r="AD73" s="6">
        <f>IFERROR((('raw-PriceList'!AF73/'raw-PriceList'!AF74)-1),"")</f>
        <v>4.0788192967598613E-2</v>
      </c>
      <c r="AE73" s="6">
        <f>IFERROR((('raw-PriceList'!AG73/'raw-PriceList'!AG74)-1),"")</f>
        <v>3.4600778865294446E-2</v>
      </c>
      <c r="AF73" s="6">
        <f>IFERROR((('raw-PriceList'!AH73/'raw-PriceList'!AH74)-1),"")</f>
        <v>3.3332799108200195E-2</v>
      </c>
      <c r="AG73" s="6">
        <f>IFERROR((('raw-PriceList'!AJ73/'raw-PriceList'!AJ74)-1),"")</f>
        <v>1.0999441132737653E-2</v>
      </c>
      <c r="AH73" s="6">
        <f>IFERROR((('raw-PriceList'!AK73/'raw-PriceList'!AK74)-1),"")</f>
        <v>2.026095436333275E-2</v>
      </c>
      <c r="AI73" s="6" t="str">
        <f>IFERROR((('raw-PriceList'!AM73/'raw-PriceList'!AM74)-1),"")</f>
        <v/>
      </c>
      <c r="AJ73" s="6">
        <f>IFERROR((('raw-PriceList'!AN73/'raw-PriceList'!AN74)-1),"")</f>
        <v>3.4720301581369739E-2</v>
      </c>
      <c r="AK73" s="6">
        <f>IFERROR((('raw-PriceList'!AO73/'raw-PriceList'!AO74)-1),"")</f>
        <v>2.5892469674781982E-3</v>
      </c>
      <c r="AL73" s="6">
        <f>IFERROR((('raw-PriceList'!AP73/'raw-PriceList'!AP74)-1),"")</f>
        <v>3.4265782828282854E-2</v>
      </c>
      <c r="AM73" s="6">
        <f>IFERROR((('raw-PriceList'!AQ73/'raw-PriceList'!AQ74)-1),"")</f>
        <v>3.4435183030080418E-2</v>
      </c>
      <c r="AN73" s="6">
        <f>IFERROR((('raw-PriceList'!AR73/'raw-PriceList'!AR74)-1),"")</f>
        <v>3.1591825254651873E-2</v>
      </c>
      <c r="AO73" s="6" t="str">
        <f>IFERROR((('raw-PriceList'!AS73/'raw-PriceList'!AS74)-1),"")</f>
        <v/>
      </c>
      <c r="AP73" s="6" t="str">
        <f>IFERROR((('raw-PriceList'!AT73/'raw-PriceList'!AT74)-1),"")</f>
        <v/>
      </c>
      <c r="AQ73" s="6">
        <f>IFERROR((('raw-PriceList'!AU73/'raw-PriceList'!AU74)-1),"")</f>
        <v>4.7733711004671608E-2</v>
      </c>
      <c r="AR73" s="6">
        <f>IFERROR((('raw-PriceList'!AV73/'raw-PriceList'!AV74)-1),"")</f>
        <v>6.6675508885800649E-3</v>
      </c>
      <c r="AS73" s="6">
        <f>IFERROR((('raw-PriceList'!AW73/'raw-PriceList'!AW74)-1),"")</f>
        <v>2.9103900873545197E-2</v>
      </c>
    </row>
    <row r="74" spans="1:45" x14ac:dyDescent="0.2">
      <c r="A74" s="2">
        <v>41333</v>
      </c>
      <c r="B74" s="6">
        <f>IFERROR((('raw-PriceList'!B74/'raw-PriceList'!B75)-1),"")</f>
        <v>7.5590694107618983E-3</v>
      </c>
      <c r="C74" s="6">
        <f>IFERROR((('raw-PriceList'!C74/'raw-PriceList'!C75)-1),"")</f>
        <v>1.4446742680712443E-2</v>
      </c>
      <c r="D74" s="6">
        <f>IFERROR((('raw-PriceList'!D74/'raw-PriceList'!D75)-1),"")</f>
        <v>3.2844219270005137E-3</v>
      </c>
      <c r="E74" s="6" t="str">
        <f>IFERROR((('raw-PriceList'!F74/'raw-PriceList'!F75)-1),"")</f>
        <v/>
      </c>
      <c r="F74" s="6">
        <f>IFERROR((('raw-PriceList'!G74/'raw-PriceList'!G75)-1),"")</f>
        <v>1.0673946617671959E-3</v>
      </c>
      <c r="G74" s="6">
        <f>IFERROR((('raw-PriceList'!H74/'raw-PriceList'!H75)-1),"")</f>
        <v>1.5725029224232578E-2</v>
      </c>
      <c r="H74" s="6">
        <f>IFERROR((('raw-PriceList'!J74/'raw-PriceList'!J75)-1),"")</f>
        <v>1.0941001854129384E-2</v>
      </c>
      <c r="I74" s="6">
        <f>IFERROR((('raw-PriceList'!K74/'raw-PriceList'!K75)-1),"")</f>
        <v>8.1670192123517449E-3</v>
      </c>
      <c r="J74" s="6">
        <f>IFERROR((('raw-PriceList'!L74/'raw-PriceList'!L75)-1),"")</f>
        <v>1.1786304930127445E-2</v>
      </c>
      <c r="K74" s="6">
        <f>IFERROR((('raw-PriceList'!M74/'raw-PriceList'!M75)-1),"")</f>
        <v>1.2509261567589025E-2</v>
      </c>
      <c r="L74" s="6">
        <f>IFERROR((('raw-PriceList'!N74/'raw-PriceList'!N75)-1),"")</f>
        <v>8.8909657248317231E-3</v>
      </c>
      <c r="M74" s="6">
        <f>IFERROR((('raw-PriceList'!O74/'raw-PriceList'!O75)-1),"")</f>
        <v>1.6178218223763086E-2</v>
      </c>
      <c r="N74" s="6">
        <f>IFERROR((('raw-PriceList'!P74/'raw-PriceList'!P75)-1),"")</f>
        <v>4.9507937644848177E-3</v>
      </c>
      <c r="O74" s="6">
        <f>IFERROR((('raw-PriceList'!Q74/'raw-PriceList'!Q75)-1),"")</f>
        <v>1.3583604982290165E-2</v>
      </c>
      <c r="P74" s="6">
        <f>IFERROR((('raw-PriceList'!R74/'raw-PriceList'!R75)-1),"")</f>
        <v>1.7405424270624525E-3</v>
      </c>
      <c r="Q74" s="6">
        <f>IFERROR((('raw-PriceList'!S74/'raw-PriceList'!S75)-1),"")</f>
        <v>-1.1645671346821151E-2</v>
      </c>
      <c r="R74" s="6">
        <f>IFERROR((('raw-PriceList'!T74/'raw-PriceList'!T75)-1),"")</f>
        <v>-1.4018921948722007E-2</v>
      </c>
      <c r="S74" s="6">
        <f>IFERROR((('raw-PriceList'!U74/'raw-PriceList'!U75)-1),"")</f>
        <v>5.5874973495815272E-3</v>
      </c>
      <c r="T74" s="6">
        <f>IFERROR((('raw-PriceList'!V74/'raw-PriceList'!V75)-1),"")</f>
        <v>-3.4079840574090303E-2</v>
      </c>
      <c r="U74" s="6">
        <f>IFERROR((('raw-PriceList'!W74/'raw-PriceList'!W75)-1),"")</f>
        <v>1.0117492802126149E-2</v>
      </c>
      <c r="V74" s="6">
        <f>IFERROR((('raw-PriceList'!X74/'raw-PriceList'!X75)-1),"")</f>
        <v>3.2519032014066696E-4</v>
      </c>
      <c r="W74" s="6">
        <f>IFERROR((('raw-PriceList'!Y74/'raw-PriceList'!Y75)-1),"")</f>
        <v>1.1643487721405776E-2</v>
      </c>
      <c r="X74" s="6" t="str">
        <f>IFERROR((('raw-PriceList'!Z74/'raw-PriceList'!Z75)-1),"")</f>
        <v/>
      </c>
      <c r="Y74" s="6">
        <f>IFERROR((('raw-PriceList'!AA74/'raw-PriceList'!AA75)-1),"")</f>
        <v>3.4013572731130814E-3</v>
      </c>
      <c r="Z74" s="6">
        <f>IFERROR((('raw-PriceList'!AB74/'raw-PriceList'!AB75)-1),"")</f>
        <v>-9.0445759188262365E-4</v>
      </c>
      <c r="AA74" s="6">
        <f>IFERROR((('raw-PriceList'!AC74/'raw-PriceList'!AC75)-1),"")</f>
        <v>1.4722448654768794E-2</v>
      </c>
      <c r="AB74" s="6">
        <f>IFERROR((('raw-PriceList'!AD74/'raw-PriceList'!AD75)-1),"")</f>
        <v>1.3228552775059965E-2</v>
      </c>
      <c r="AC74" s="6">
        <f>IFERROR((('raw-PriceList'!AE74/'raw-PriceList'!AE75)-1),"")</f>
        <v>1.3228552775059965E-2</v>
      </c>
      <c r="AD74" s="6">
        <f>IFERROR((('raw-PriceList'!AF74/'raw-PriceList'!AF75)-1),"")</f>
        <v>1.2191509514727361E-2</v>
      </c>
      <c r="AE74" s="6">
        <f>IFERROR((('raw-PriceList'!AG74/'raw-PriceList'!AG75)-1),"")</f>
        <v>-7.7176056607127785E-3</v>
      </c>
      <c r="AF74" s="6">
        <f>IFERROR((('raw-PriceList'!AH74/'raw-PriceList'!AH75)-1),"")</f>
        <v>2.014063876938077E-2</v>
      </c>
      <c r="AG74" s="6">
        <f>IFERROR((('raw-PriceList'!AJ74/'raw-PriceList'!AJ75)-1),"")</f>
        <v>-2.3308572024779428E-3</v>
      </c>
      <c r="AH74" s="6">
        <f>IFERROR((('raw-PriceList'!AK74/'raw-PriceList'!AK75)-1),"")</f>
        <v>-3.169545902681592E-3</v>
      </c>
      <c r="AI74" s="6" t="str">
        <f>IFERROR((('raw-PriceList'!AM74/'raw-PriceList'!AM75)-1),"")</f>
        <v/>
      </c>
      <c r="AJ74" s="6">
        <f>IFERROR((('raw-PriceList'!AN74/'raw-PriceList'!AN75)-1),"")</f>
        <v>1.2828971596902772E-2</v>
      </c>
      <c r="AK74" s="6">
        <f>IFERROR((('raw-PriceList'!AO74/'raw-PriceList'!AO75)-1),"")</f>
        <v>4.2119633706616533E-4</v>
      </c>
      <c r="AL74" s="6">
        <f>IFERROR((('raw-PriceList'!AP74/'raw-PriceList'!AP75)-1),"")</f>
        <v>1.3121976304202532E-2</v>
      </c>
      <c r="AM74" s="6">
        <f>IFERROR((('raw-PriceList'!AQ74/'raw-PriceList'!AQ75)-1),"")</f>
        <v>8.3262202125309326E-3</v>
      </c>
      <c r="AN74" s="6">
        <f>IFERROR((('raw-PriceList'!AR74/'raw-PriceList'!AR75)-1),"")</f>
        <v>1.3634609944046305E-2</v>
      </c>
      <c r="AO74" s="6" t="str">
        <f>IFERROR((('raw-PriceList'!AS74/'raw-PriceList'!AS75)-1),"")</f>
        <v/>
      </c>
      <c r="AP74" s="6" t="str">
        <f>IFERROR((('raw-PriceList'!AT74/'raw-PriceList'!AT75)-1),"")</f>
        <v/>
      </c>
      <c r="AQ74" s="6">
        <f>IFERROR((('raw-PriceList'!AU74/'raw-PriceList'!AU75)-1),"")</f>
        <v>8.2466804023635376E-3</v>
      </c>
      <c r="AR74" s="6">
        <f>IFERROR((('raw-PriceList'!AV74/'raw-PriceList'!AV75)-1),"")</f>
        <v>-1.1433716518019277E-2</v>
      </c>
      <c r="AS74" s="6">
        <f>IFERROR((('raw-PriceList'!AW74/'raw-PriceList'!AW75)-1),"")</f>
        <v>2.0966304502643807E-2</v>
      </c>
    </row>
    <row r="75" spans="1:45" x14ac:dyDescent="0.2">
      <c r="A75" s="2">
        <v>41305</v>
      </c>
      <c r="B75" s="6">
        <f>IFERROR((('raw-PriceList'!B75/'raw-PriceList'!B76)-1),"")</f>
        <v>-1.1247892811731885E-2</v>
      </c>
      <c r="C75" s="6">
        <f>IFERROR((('raw-PriceList'!C75/'raw-PriceList'!C76)-1),"")</f>
        <v>-2.9068342380550671E-2</v>
      </c>
      <c r="D75" s="6">
        <f>IFERROR((('raw-PriceList'!D75/'raw-PriceList'!D76)-1),"")</f>
        <v>-6.8247788234162554E-3</v>
      </c>
      <c r="E75" s="6" t="str">
        <f>IFERROR((('raw-PriceList'!F75/'raw-PriceList'!F76)-1),"")</f>
        <v/>
      </c>
      <c r="F75" s="6">
        <f>IFERROR((('raw-PriceList'!G75/'raw-PriceList'!G76)-1),"")</f>
        <v>-1.6235493925698119E-4</v>
      </c>
      <c r="G75" s="6">
        <f>IFERROR((('raw-PriceList'!H75/'raw-PriceList'!H76)-1),"")</f>
        <v>-5.0427229376354576E-2</v>
      </c>
      <c r="H75" s="6">
        <f>IFERROR((('raw-PriceList'!J75/'raw-PriceList'!J76)-1),"")</f>
        <v>5.0585278111631604E-2</v>
      </c>
      <c r="I75" s="6">
        <f>IFERROR((('raw-PriceList'!K75/'raw-PriceList'!K76)-1),"")</f>
        <v>3.9209955572351518E-2</v>
      </c>
      <c r="J75" s="6">
        <f>IFERROR((('raw-PriceList'!L75/'raw-PriceList'!L76)-1),"")</f>
        <v>6.2884643956376607E-2</v>
      </c>
      <c r="K75" s="6">
        <f>IFERROR((('raw-PriceList'!M75/'raw-PriceList'!M76)-1),"")</f>
        <v>6.352848834694047E-2</v>
      </c>
      <c r="L75" s="6">
        <f>IFERROR((('raw-PriceList'!N75/'raw-PriceList'!N76)-1),"")</f>
        <v>6.1015275328950347E-2</v>
      </c>
      <c r="M75" s="6">
        <f>IFERROR((('raw-PriceList'!O75/'raw-PriceList'!O76)-1),"")</f>
        <v>6.4545141089778379E-2</v>
      </c>
      <c r="N75" s="6">
        <f>IFERROR((('raw-PriceList'!P75/'raw-PriceList'!P76)-1),"")</f>
        <v>-9.3369666511482485E-3</v>
      </c>
      <c r="O75" s="6">
        <f>IFERROR((('raw-PriceList'!Q75/'raw-PriceList'!Q76)-1),"")</f>
        <v>-2.6300378018799586E-2</v>
      </c>
      <c r="P75" s="6">
        <f>IFERROR((('raw-PriceList'!R75/'raw-PriceList'!R76)-1),"")</f>
        <v>-1.8241486351816549E-3</v>
      </c>
      <c r="Q75" s="6">
        <f>IFERROR((('raw-PriceList'!S75/'raw-PriceList'!S76)-1),"")</f>
        <v>3.8466953669792803E-2</v>
      </c>
      <c r="R75" s="6">
        <f>IFERROR((('raw-PriceList'!T75/'raw-PriceList'!T76)-1),"")</f>
        <v>2.4290689101082119E-2</v>
      </c>
      <c r="S75" s="6">
        <f>IFERROR((('raw-PriceList'!U75/'raw-PriceList'!U76)-1),"")</f>
        <v>-6.4096693741946265E-3</v>
      </c>
      <c r="T75" s="6">
        <f>IFERROR((('raw-PriceList'!V75/'raw-PriceList'!V76)-1),"")</f>
        <v>4.2618758058979189E-2</v>
      </c>
      <c r="U75" s="6">
        <f>IFERROR((('raw-PriceList'!W75/'raw-PriceList'!W76)-1),"")</f>
        <v>-3.0210232864540609E-2</v>
      </c>
      <c r="V75" s="6">
        <f>IFERROR((('raw-PriceList'!X75/'raw-PriceList'!X76)-1),"")</f>
        <v>-4.7236259972205374E-4</v>
      </c>
      <c r="W75" s="6">
        <f>IFERROR((('raw-PriceList'!Y75/'raw-PriceList'!Y76)-1),"")</f>
        <v>5.9217111671814759E-2</v>
      </c>
      <c r="X75" s="6" t="str">
        <f>IFERROR((('raw-PriceList'!Z75/'raw-PriceList'!Z76)-1),"")</f>
        <v/>
      </c>
      <c r="Y75" s="6">
        <f>IFERROR((('raw-PriceList'!AA75/'raw-PriceList'!AA76)-1),"")</f>
        <v>-3.9731102869052792E-3</v>
      </c>
      <c r="Z75" s="6">
        <f>IFERROR((('raw-PriceList'!AB75/'raw-PriceList'!AB76)-1),"")</f>
        <v>1.6197591058525473E-2</v>
      </c>
      <c r="AA75" s="6">
        <f>IFERROR((('raw-PriceList'!AC75/'raw-PriceList'!AC76)-1),"")</f>
        <v>7.2638973202670876E-2</v>
      </c>
      <c r="AB75" s="6">
        <f>IFERROR((('raw-PriceList'!AD75/'raw-PriceList'!AD76)-1),"")</f>
        <v>5.2013492333608413E-2</v>
      </c>
      <c r="AC75" s="6">
        <f>IFERROR((('raw-PriceList'!AE75/'raw-PriceList'!AE76)-1),"")</f>
        <v>5.2013492333608413E-2</v>
      </c>
      <c r="AD75" s="6">
        <f>IFERROR((('raw-PriceList'!AF75/'raw-PriceList'!AF76)-1),"")</f>
        <v>6.623448433545609E-2</v>
      </c>
      <c r="AE75" s="6">
        <f>IFERROR((('raw-PriceList'!AG75/'raw-PriceList'!AG76)-1),"")</f>
        <v>3.1710351205148646E-2</v>
      </c>
      <c r="AF75" s="6">
        <f>IFERROR((('raw-PriceList'!AH75/'raw-PriceList'!AH76)-1),"")</f>
        <v>3.0868907006567969E-2</v>
      </c>
      <c r="AG75" s="6">
        <f>IFERROR((('raw-PriceList'!AJ75/'raw-PriceList'!AJ76)-1),"")</f>
        <v>3.0297145461353203E-2</v>
      </c>
      <c r="AH75" s="6">
        <f>IFERROR((('raw-PriceList'!AK75/'raw-PriceList'!AK76)-1),"")</f>
        <v>4.024309446824903E-2</v>
      </c>
      <c r="AI75" s="6" t="str">
        <f>IFERROR((('raw-PriceList'!AM75/'raw-PriceList'!AM76)-1),"")</f>
        <v/>
      </c>
      <c r="AJ75" s="6">
        <f>IFERROR((('raw-PriceList'!AN75/'raw-PriceList'!AN76)-1),"")</f>
        <v>5.4140119566338685E-2</v>
      </c>
      <c r="AK75" s="6">
        <f>IFERROR((('raw-PriceList'!AO75/'raw-PriceList'!AO76)-1),"")</f>
        <v>1.413021465675568E-3</v>
      </c>
      <c r="AL75" s="6">
        <f>IFERROR((('raw-PriceList'!AP75/'raw-PriceList'!AP76)-1),"")</f>
        <v>6.353631654865155E-2</v>
      </c>
      <c r="AM75" s="6">
        <f>IFERROR((('raw-PriceList'!AQ75/'raw-PriceList'!AQ76)-1),"")</f>
        <v>4.4042793500020938E-2</v>
      </c>
      <c r="AN75" s="6">
        <f>IFERROR((('raw-PriceList'!AR75/'raw-PriceList'!AR76)-1),"")</f>
        <v>5.2825019883807833E-2</v>
      </c>
      <c r="AO75" s="6" t="str">
        <f>IFERROR((('raw-PriceList'!AS75/'raw-PriceList'!AS76)-1),"")</f>
        <v/>
      </c>
      <c r="AP75" s="6" t="str">
        <f>IFERROR((('raw-PriceList'!AT75/'raw-PriceList'!AT76)-1),"")</f>
        <v/>
      </c>
      <c r="AQ75" s="6">
        <f>IFERROR((('raw-PriceList'!AU75/'raw-PriceList'!AU76)-1),"")</f>
        <v>6.7920023153332565E-2</v>
      </c>
      <c r="AR75" s="6">
        <f>IFERROR((('raw-PriceList'!AV75/'raw-PriceList'!AV76)-1),"")</f>
        <v>2.4078582526503745E-2</v>
      </c>
      <c r="AS75" s="6">
        <f>IFERROR((('raw-PriceList'!AW75/'raw-PriceList'!AW76)-1),"")</f>
        <v>5.6363478042517734E-2</v>
      </c>
    </row>
    <row r="76" spans="1:45" x14ac:dyDescent="0.2">
      <c r="A76" s="2">
        <v>41274</v>
      </c>
      <c r="B76" s="6">
        <f>IFERROR((('raw-PriceList'!B76/'raw-PriceList'!B77)-1),"")</f>
        <v>-2.6216892089077404E-2</v>
      </c>
      <c r="C76" s="6">
        <f>IFERROR((('raw-PriceList'!C76/'raw-PriceList'!C77)-1),"")</f>
        <v>-3.1051235395093135E-2</v>
      </c>
      <c r="D76" s="6">
        <f>IFERROR((('raw-PriceList'!D76/'raw-PriceList'!D77)-1),"")</f>
        <v>-1.074199260412867E-2</v>
      </c>
      <c r="E76" s="6" t="str">
        <f>IFERROR((('raw-PriceList'!F76/'raw-PriceList'!F77)-1),"")</f>
        <v/>
      </c>
      <c r="F76" s="6">
        <f>IFERROR((('raw-PriceList'!G76/'raw-PriceList'!G77)-1),"")</f>
        <v>-5.5381180564797461E-3</v>
      </c>
      <c r="G76" s="6">
        <f>IFERROR((('raw-PriceList'!H76/'raw-PriceList'!H77)-1),"")</f>
        <v>-8.4637018211819681E-2</v>
      </c>
      <c r="H76" s="6">
        <f>IFERROR((('raw-PriceList'!J76/'raw-PriceList'!J77)-1),"")</f>
        <v>-7.2072743702233932E-4</v>
      </c>
      <c r="I76" s="6">
        <f>IFERROR((('raw-PriceList'!K76/'raw-PriceList'!K77)-1),"")</f>
        <v>-1.1635685691964714E-2</v>
      </c>
      <c r="J76" s="6">
        <f>IFERROR((('raw-PriceList'!L76/'raw-PriceList'!L77)-1),"")</f>
        <v>1.010111052328222E-2</v>
      </c>
      <c r="K76" s="6">
        <f>IFERROR((('raw-PriceList'!M76/'raw-PriceList'!M77)-1),"")</f>
        <v>1.1590941714936243E-2</v>
      </c>
      <c r="L76" s="6">
        <f>IFERROR((('raw-PriceList'!N76/'raw-PriceList'!N77)-1),"")</f>
        <v>1.594372566421054E-2</v>
      </c>
      <c r="M76" s="6">
        <f>IFERROR((('raw-PriceList'!O76/'raw-PriceList'!O77)-1),"")</f>
        <v>7.3872192440700424E-3</v>
      </c>
      <c r="N76" s="6">
        <f>IFERROR((('raw-PriceList'!P76/'raw-PriceList'!P77)-1),"")</f>
        <v>-9.0424963073278963E-3</v>
      </c>
      <c r="O76" s="6">
        <f>IFERROR((('raw-PriceList'!Q76/'raw-PriceList'!Q77)-1),"")</f>
        <v>-1.1917980214737112E-2</v>
      </c>
      <c r="P76" s="6">
        <f>IFERROR((('raw-PriceList'!R76/'raw-PriceList'!R77)-1),"")</f>
        <v>-1.3797452600088356E-3</v>
      </c>
      <c r="Q76" s="6">
        <f>IFERROR((('raw-PriceList'!S76/'raw-PriceList'!S77)-1),"")</f>
        <v>3.2085136926603974E-2</v>
      </c>
      <c r="R76" s="6">
        <f>IFERROR((('raw-PriceList'!T76/'raw-PriceList'!T77)-1),"")</f>
        <v>3.8081813360901995E-2</v>
      </c>
      <c r="S76" s="6">
        <f>IFERROR((('raw-PriceList'!U76/'raw-PriceList'!U77)-1),"")</f>
        <v>-1.6935246429027218E-2</v>
      </c>
      <c r="T76" s="6">
        <f>IFERROR((('raw-PriceList'!V76/'raw-PriceList'!V77)-1),"")</f>
        <v>3.5028089381758276E-2</v>
      </c>
      <c r="U76" s="6">
        <f>IFERROR((('raw-PriceList'!W76/'raw-PriceList'!W77)-1),"")</f>
        <v>-2.6116449737756731E-2</v>
      </c>
      <c r="V76" s="6">
        <f>IFERROR((('raw-PriceList'!X76/'raw-PriceList'!X77)-1),"")</f>
        <v>-1.4918886651228425E-3</v>
      </c>
      <c r="W76" s="6">
        <f>IFERROR((('raw-PriceList'!Y76/'raw-PriceList'!Y77)-1),"")</f>
        <v>-3.410908684542524E-3</v>
      </c>
      <c r="X76" s="6" t="str">
        <f>IFERROR((('raw-PriceList'!Z76/'raw-PriceList'!Z77)-1),"")</f>
        <v/>
      </c>
      <c r="Y76" s="6">
        <f>IFERROR((('raw-PriceList'!AA76/'raw-PriceList'!AA77)-1),"")</f>
        <v>-6.6421897322095358E-3</v>
      </c>
      <c r="Z76" s="6">
        <f>IFERROR((('raw-PriceList'!AB76/'raw-PriceList'!AB77)-1),"")</f>
        <v>1.3812530776850629E-2</v>
      </c>
      <c r="AA76" s="6">
        <f>IFERROR((('raw-PriceList'!AC76/'raw-PriceList'!AC77)-1),"")</f>
        <v>4.3277489813369208E-3</v>
      </c>
      <c r="AB76" s="6">
        <f>IFERROR((('raw-PriceList'!AD76/'raw-PriceList'!AD77)-1),"")</f>
        <v>2.6567715210339404E-3</v>
      </c>
      <c r="AC76" s="6">
        <f>IFERROR((('raw-PriceList'!AE76/'raw-PriceList'!AE77)-1),"")</f>
        <v>2.6567715210339404E-3</v>
      </c>
      <c r="AD76" s="6">
        <f>IFERROR((('raw-PriceList'!AF76/'raw-PriceList'!AF77)-1),"")</f>
        <v>1.6539970508383517E-2</v>
      </c>
      <c r="AE76" s="6">
        <f>IFERROR((('raw-PriceList'!AG76/'raw-PriceList'!AG77)-1),"")</f>
        <v>-1.7135044100089813E-2</v>
      </c>
      <c r="AF76" s="6">
        <f>IFERROR((('raw-PriceList'!AH76/'raw-PriceList'!AH77)-1),"")</f>
        <v>3.0497285632930637E-2</v>
      </c>
      <c r="AG76" s="6">
        <f>IFERROR((('raw-PriceList'!AJ76/'raw-PriceList'!AJ77)-1),"")</f>
        <v>2.7420244066850952E-2</v>
      </c>
      <c r="AH76" s="6">
        <f>IFERROR((('raw-PriceList'!AK76/'raw-PriceList'!AK77)-1),"")</f>
        <v>1.9427978715371941E-2</v>
      </c>
      <c r="AI76" s="6" t="str">
        <f>IFERROR((('raw-PriceList'!AM76/'raw-PriceList'!AM77)-1),"")</f>
        <v/>
      </c>
      <c r="AJ76" s="6">
        <f>IFERROR((('raw-PriceList'!AN76/'raw-PriceList'!AN77)-1),"")</f>
        <v>5.5227378158739793E-3</v>
      </c>
      <c r="AK76" s="6">
        <f>IFERROR((('raw-PriceList'!AO76/'raw-PriceList'!AO77)-1),"")</f>
        <v>-4.2161366347381879E-4</v>
      </c>
      <c r="AL76" s="6">
        <f>IFERROR((('raw-PriceList'!AP76/'raw-PriceList'!AP77)-1),"")</f>
        <v>1.2888995684261273E-2</v>
      </c>
      <c r="AM76" s="6">
        <f>IFERROR((('raw-PriceList'!AQ76/'raw-PriceList'!AQ77)-1),"")</f>
        <v>-5.227792260211972E-3</v>
      </c>
      <c r="AN76" s="6">
        <f>IFERROR((('raw-PriceList'!AR76/'raw-PriceList'!AR77)-1),"")</f>
        <v>3.4540168132133342E-3</v>
      </c>
      <c r="AO76" s="6" t="str">
        <f>IFERROR((('raw-PriceList'!AS76/'raw-PriceList'!AS77)-1),"")</f>
        <v/>
      </c>
      <c r="AP76" s="6" t="str">
        <f>IFERROR((('raw-PriceList'!AT76/'raw-PriceList'!AT77)-1),"")</f>
        <v/>
      </c>
      <c r="AQ76" s="6">
        <f>IFERROR((('raw-PriceList'!AU76/'raw-PriceList'!AU77)-1),"")</f>
        <v>1.3218512750681644E-2</v>
      </c>
      <c r="AR76" s="6">
        <f>IFERROR((('raw-PriceList'!AV76/'raw-PriceList'!AV77)-1),"")</f>
        <v>3.4690330229274924E-2</v>
      </c>
      <c r="AS76" s="6">
        <f>IFERROR((('raw-PriceList'!AW76/'raw-PriceList'!AW77)-1),"")</f>
        <v>-6.9900286369776188E-3</v>
      </c>
    </row>
    <row r="77" spans="1:45" x14ac:dyDescent="0.2">
      <c r="A77" s="2">
        <v>41243</v>
      </c>
      <c r="B77" s="6">
        <f>IFERROR((('raw-PriceList'!B77/'raw-PriceList'!B78)-1),"")</f>
        <v>3.7883968910026322E-3</v>
      </c>
      <c r="C77" s="6">
        <f>IFERROR((('raw-PriceList'!C77/'raw-PriceList'!C78)-1),"")</f>
        <v>7.0887219188286998E-4</v>
      </c>
      <c r="D77" s="6">
        <f>IFERROR((('raw-PriceList'!D77/'raw-PriceList'!D78)-1),"")</f>
        <v>5.4909868178620869E-4</v>
      </c>
      <c r="E77" s="6" t="str">
        <f>IFERROR((('raw-PriceList'!F77/'raw-PriceList'!F78)-1),"")</f>
        <v/>
      </c>
      <c r="F77" s="6">
        <f>IFERROR((('raw-PriceList'!G77/'raw-PriceList'!G78)-1),"")</f>
        <v>9.6536852559392372E-4</v>
      </c>
      <c r="G77" s="6">
        <f>IFERROR((('raw-PriceList'!H77/'raw-PriceList'!H78)-1),"")</f>
        <v>1.7873023968387525E-2</v>
      </c>
      <c r="H77" s="6">
        <f>IFERROR((('raw-PriceList'!J77/'raw-PriceList'!J78)-1),"")</f>
        <v>4.8596879081383992E-3</v>
      </c>
      <c r="I77" s="6">
        <f>IFERROR((('raw-PriceList'!K77/'raw-PriceList'!K78)-1),"")</f>
        <v>2.0272485211672908E-2</v>
      </c>
      <c r="J77" s="6">
        <f>IFERROR((('raw-PriceList'!L77/'raw-PriceList'!L78)-1),"")</f>
        <v>-8.5563537949854274E-3</v>
      </c>
      <c r="K77" s="6">
        <f>IFERROR((('raw-PriceList'!M77/'raw-PriceList'!M78)-1),"")</f>
        <v>1.2507437970491253E-2</v>
      </c>
      <c r="L77" s="6">
        <f>IFERROR((('raw-PriceList'!N77/'raw-PriceList'!N78)-1),"")</f>
        <v>1.7196081035151911E-2</v>
      </c>
      <c r="M77" s="6">
        <f>IFERROR((('raw-PriceList'!O77/'raw-PriceList'!O78)-1),"")</f>
        <v>1.0073026641979066E-2</v>
      </c>
      <c r="N77" s="6">
        <f>IFERROR((('raw-PriceList'!P77/'raw-PriceList'!P78)-1),"")</f>
        <v>-3.6913178006802161E-3</v>
      </c>
      <c r="O77" s="6">
        <f>IFERROR((('raw-PriceList'!Q77/'raw-PriceList'!Q78)-1),"")</f>
        <v>-1.4344260771841255E-2</v>
      </c>
      <c r="P77" s="6">
        <f>IFERROR((('raw-PriceList'!R77/'raw-PriceList'!R78)-1),"")</f>
        <v>-3.3496410081017558E-3</v>
      </c>
      <c r="Q77" s="6">
        <f>IFERROR((('raw-PriceList'!S77/'raw-PriceList'!S78)-1),"")</f>
        <v>2.7236479343016207E-2</v>
      </c>
      <c r="R77" s="6">
        <f>IFERROR((('raw-PriceList'!T77/'raw-PriceList'!T78)-1),"")</f>
        <v>1.7970795551536245E-2</v>
      </c>
      <c r="S77" s="6">
        <f>IFERROR((('raw-PriceList'!U77/'raw-PriceList'!U78)-1),"")</f>
        <v>4.2434763814278575E-3</v>
      </c>
      <c r="T77" s="6">
        <f>IFERROR((('raw-PriceList'!V77/'raw-PriceList'!V78)-1),"")</f>
        <v>2.4768552041946501E-2</v>
      </c>
      <c r="U77" s="6">
        <f>IFERROR((('raw-PriceList'!W77/'raw-PriceList'!W78)-1),"")</f>
        <v>7.1999233967545706E-3</v>
      </c>
      <c r="V77" s="6">
        <f>IFERROR((('raw-PriceList'!X77/'raw-PriceList'!X78)-1),"")</f>
        <v>4.799239997275162E-4</v>
      </c>
      <c r="W77" s="6">
        <f>IFERROR((('raw-PriceList'!Y77/'raw-PriceList'!Y78)-1),"")</f>
        <v>1.4342107428950035E-2</v>
      </c>
      <c r="X77" s="6" t="str">
        <f>IFERROR((('raw-PriceList'!Z77/'raw-PriceList'!Z78)-1),"")</f>
        <v/>
      </c>
      <c r="Y77" s="6">
        <f>IFERROR((('raw-PriceList'!AA77/'raw-PriceList'!AA78)-1),"")</f>
        <v>-2.9102025016698452E-3</v>
      </c>
      <c r="Z77" s="6">
        <f>IFERROR((('raw-PriceList'!AB77/'raw-PriceList'!AB78)-1),"")</f>
        <v>2.6295748279576925E-2</v>
      </c>
      <c r="AA77" s="6">
        <f>IFERROR((('raw-PriceList'!AC77/'raw-PriceList'!AC78)-1),"")</f>
        <v>1.214126528094206E-2</v>
      </c>
      <c r="AB77" s="6">
        <f>IFERROR((('raw-PriceList'!AD77/'raw-PriceList'!AD78)-1),"")</f>
        <v>5.5447448844929692E-3</v>
      </c>
      <c r="AC77" s="6">
        <f>IFERROR((('raw-PriceList'!AE77/'raw-PriceList'!AE78)-1),"")</f>
        <v>5.5447448844929692E-3</v>
      </c>
      <c r="AD77" s="6">
        <f>IFERROR((('raw-PriceList'!AF77/'raw-PriceList'!AF78)-1),"")</f>
        <v>2.0638880782365421E-2</v>
      </c>
      <c r="AE77" s="6">
        <f>IFERROR((('raw-PriceList'!AG77/'raw-PriceList'!AG78)-1),"")</f>
        <v>-7.8321620656359725E-3</v>
      </c>
      <c r="AF77" s="6">
        <f>IFERROR((('raw-PriceList'!AH77/'raw-PriceList'!AH78)-1),"")</f>
        <v>2.573141597413553E-2</v>
      </c>
      <c r="AG77" s="6">
        <f>IFERROR((('raw-PriceList'!AJ77/'raw-PriceList'!AJ78)-1),"")</f>
        <v>1.3311512321227514E-2</v>
      </c>
      <c r="AH77" s="6">
        <f>IFERROR((('raw-PriceList'!AK77/'raw-PriceList'!AK78)-1),"")</f>
        <v>1.5418840408183421E-2</v>
      </c>
      <c r="AI77" s="6" t="str">
        <f>IFERROR((('raw-PriceList'!AM77/'raw-PriceList'!AM78)-1),"")</f>
        <v/>
      </c>
      <c r="AJ77" s="6">
        <f>IFERROR((('raw-PriceList'!AN77/'raw-PriceList'!AN78)-1),"")</f>
        <v>7.7796219039041326E-3</v>
      </c>
      <c r="AK77" s="6">
        <f>IFERROR((('raw-PriceList'!AO77/'raw-PriceList'!AO78)-1),"")</f>
        <v>4.5955506686659042E-3</v>
      </c>
      <c r="AL77" s="6">
        <f>IFERROR((('raw-PriceList'!AP77/'raw-PriceList'!AP78)-1),"")</f>
        <v>-7.437175104441085E-3</v>
      </c>
      <c r="AM77" s="6">
        <f>IFERROR((('raw-PriceList'!AQ77/'raw-PriceList'!AQ78)-1),"")</f>
        <v>2.0253121598724055E-2</v>
      </c>
      <c r="AN77" s="6">
        <f>IFERROR((('raw-PriceList'!AR77/'raw-PriceList'!AR78)-1),"")</f>
        <v>6.418804731433303E-3</v>
      </c>
      <c r="AO77" s="6" t="str">
        <f>IFERROR((('raw-PriceList'!AS77/'raw-PriceList'!AS78)-1),"")</f>
        <v/>
      </c>
      <c r="AP77" s="6" t="str">
        <f>IFERROR((('raw-PriceList'!AT77/'raw-PriceList'!AT78)-1),"")</f>
        <v/>
      </c>
      <c r="AQ77" s="6">
        <f>IFERROR((('raw-PriceList'!AU77/'raw-PriceList'!AU78)-1),"")</f>
        <v>1.6726554362834101E-2</v>
      </c>
      <c r="AR77" s="6">
        <f>IFERROR((('raw-PriceList'!AV77/'raw-PriceList'!AV78)-1),"")</f>
        <v>2.0626386284405607E-2</v>
      </c>
      <c r="AS77" s="6">
        <f>IFERROR((('raw-PriceList'!AW77/'raw-PriceList'!AW78)-1),"")</f>
        <v>-3.3982658563361801E-3</v>
      </c>
    </row>
    <row r="78" spans="1:45" x14ac:dyDescent="0.2">
      <c r="A78" s="2">
        <v>41213</v>
      </c>
      <c r="B78" s="6">
        <f>IFERROR((('raw-PriceList'!B78/'raw-PriceList'!B79)-1),"")</f>
        <v>2.1147105870666927E-4</v>
      </c>
      <c r="C78" s="6">
        <f>IFERROR((('raw-PriceList'!C78/'raw-PriceList'!C79)-1),"")</f>
        <v>1.6021991934898061E-3</v>
      </c>
      <c r="D78" s="6">
        <f>IFERROR((('raw-PriceList'!D78/'raw-PriceList'!D79)-1),"")</f>
        <v>-3.0203759097187088E-3</v>
      </c>
      <c r="E78" s="6" t="str">
        <f>IFERROR((('raw-PriceList'!F78/'raw-PriceList'!F79)-1),"")</f>
        <v/>
      </c>
      <c r="F78" s="6">
        <f>IFERROR((('raw-PriceList'!G78/'raw-PriceList'!G79)-1),"")</f>
        <v>-1.0975076632183667E-3</v>
      </c>
      <c r="G78" s="6">
        <f>IFERROR((('raw-PriceList'!H78/'raw-PriceList'!H79)-1),"")</f>
        <v>-4.0055682622490707E-3</v>
      </c>
      <c r="H78" s="6">
        <f>IFERROR((('raw-PriceList'!J78/'raw-PriceList'!J79)-1),"")</f>
        <v>-1.9360695426976715E-2</v>
      </c>
      <c r="I78" s="6">
        <f>IFERROR((('raw-PriceList'!K78/'raw-PriceList'!K79)-1),"")</f>
        <v>-3.2603398023843488E-2</v>
      </c>
      <c r="J78" s="6">
        <f>IFERROR((('raw-PriceList'!L78/'raw-PriceList'!L79)-1),"")</f>
        <v>-7.7259647326023417E-3</v>
      </c>
      <c r="K78" s="6">
        <f>IFERROR((('raw-PriceList'!M78/'raw-PriceList'!M79)-1),"")</f>
        <v>-1.4345576655743653E-2</v>
      </c>
      <c r="L78" s="6">
        <f>IFERROR((('raw-PriceList'!N78/'raw-PriceList'!N79)-1),"")</f>
        <v>-2.3707061167105303E-2</v>
      </c>
      <c r="M78" s="6">
        <f>IFERROR((('raw-PriceList'!O78/'raw-PriceList'!O79)-1),"")</f>
        <v>-6.9474705246076462E-3</v>
      </c>
      <c r="N78" s="6">
        <f>IFERROR((('raw-PriceList'!P78/'raw-PriceList'!P79)-1),"")</f>
        <v>1.2752206458972015E-2</v>
      </c>
      <c r="O78" s="6">
        <f>IFERROR((('raw-PriceList'!Q78/'raw-PriceList'!Q79)-1),"")</f>
        <v>1.3106241957467235E-2</v>
      </c>
      <c r="P78" s="6">
        <f>IFERROR((('raw-PriceList'!R78/'raw-PriceList'!R79)-1),"")</f>
        <v>4.5583317835153903E-3</v>
      </c>
      <c r="Q78" s="6">
        <f>IFERROR((('raw-PriceList'!S78/'raw-PriceList'!S79)-1),"")</f>
        <v>1.0393037373458647E-2</v>
      </c>
      <c r="R78" s="6">
        <f>IFERROR((('raw-PriceList'!T78/'raw-PriceList'!T79)-1),"")</f>
        <v>7.7575591099234842E-3</v>
      </c>
      <c r="S78" s="6">
        <f>IFERROR((('raw-PriceList'!U78/'raw-PriceList'!U79)-1),"")</f>
        <v>-3.7275273587334956E-3</v>
      </c>
      <c r="T78" s="6">
        <f>IFERROR((('raw-PriceList'!V78/'raw-PriceList'!V79)-1),"")</f>
        <v>1.7666111985985999E-2</v>
      </c>
      <c r="U78" s="6">
        <f>IFERROR((('raw-PriceList'!W78/'raw-PriceList'!W79)-1),"")</f>
        <v>-4.1153998600089725E-3</v>
      </c>
      <c r="V78" s="6">
        <f>IFERROR((('raw-PriceList'!X78/'raw-PriceList'!X79)-1),"")</f>
        <v>-6.4194745377244011E-4</v>
      </c>
      <c r="W78" s="6">
        <f>IFERROR((('raw-PriceList'!Y78/'raw-PriceList'!Y79)-1),"")</f>
        <v>-1.2596498200643902E-2</v>
      </c>
      <c r="X78" s="6" t="str">
        <f>IFERROR((('raw-PriceList'!Z78/'raw-PriceList'!Z79)-1),"")</f>
        <v/>
      </c>
      <c r="Y78" s="6">
        <f>IFERROR((('raw-PriceList'!AA78/'raw-PriceList'!AA79)-1),"")</f>
        <v>-3.2170822166981417E-3</v>
      </c>
      <c r="Z78" s="6">
        <f>IFERROR((('raw-PriceList'!AB78/'raw-PriceList'!AB79)-1),"")</f>
        <v>2.8394313748670186E-2</v>
      </c>
      <c r="AA78" s="6">
        <f>IFERROR((('raw-PriceList'!AC78/'raw-PriceList'!AC79)-1),"")</f>
        <v>-1.2524851169204432E-3</v>
      </c>
      <c r="AB78" s="6">
        <f>IFERROR((('raw-PriceList'!AD78/'raw-PriceList'!AD79)-1),"")</f>
        <v>-1.9756735423043903E-2</v>
      </c>
      <c r="AC78" s="6">
        <f>IFERROR((('raw-PriceList'!AE78/'raw-PriceList'!AE79)-1),"")</f>
        <v>-1.9756735423043903E-2</v>
      </c>
      <c r="AD78" s="6">
        <f>IFERROR((('raw-PriceList'!AF78/'raw-PriceList'!AF79)-1),"")</f>
        <v>-2.4390161103444163E-2</v>
      </c>
      <c r="AE78" s="6">
        <f>IFERROR((('raw-PriceList'!AG78/'raw-PriceList'!AG79)-1),"")</f>
        <v>-4.34465958294733E-2</v>
      </c>
      <c r="AF78" s="6">
        <f>IFERROR((('raw-PriceList'!AH78/'raw-PriceList'!AH79)-1),"")</f>
        <v>3.2618707270486436E-3</v>
      </c>
      <c r="AG78" s="6">
        <f>IFERROR((('raw-PriceList'!AJ78/'raw-PriceList'!AJ79)-1),"")</f>
        <v>-1.7403025786872917E-3</v>
      </c>
      <c r="AH78" s="6">
        <f>IFERROR((('raw-PriceList'!AK78/'raw-PriceList'!AK79)-1),"")</f>
        <v>-6.0867320276407622E-3</v>
      </c>
      <c r="AI78" s="6" t="str">
        <f>IFERROR((('raw-PriceList'!AM78/'raw-PriceList'!AM79)-1),"")</f>
        <v/>
      </c>
      <c r="AJ78" s="6">
        <f>IFERROR((('raw-PriceList'!AN78/'raw-PriceList'!AN79)-1),"")</f>
        <v>-1.8109383216255881E-2</v>
      </c>
      <c r="AK78" s="6" t="str">
        <f>IFERROR((('raw-PriceList'!AO78/'raw-PriceList'!AO79)-1),"")</f>
        <v/>
      </c>
      <c r="AL78" s="6">
        <f>IFERROR((('raw-PriceList'!AP78/'raw-PriceList'!AP79)-1),"")</f>
        <v>-3.9548933716538892E-3</v>
      </c>
      <c r="AM78" s="6">
        <f>IFERROR((('raw-PriceList'!AQ78/'raw-PriceList'!AQ79)-1),"")</f>
        <v>-3.1419843524359226E-2</v>
      </c>
      <c r="AN78" s="6">
        <f>IFERROR((('raw-PriceList'!AR78/'raw-PriceList'!AR79)-1),"")</f>
        <v>-1.7634821449640348E-2</v>
      </c>
      <c r="AO78" s="6" t="str">
        <f>IFERROR((('raw-PriceList'!AS78/'raw-PriceList'!AS79)-1),"")</f>
        <v/>
      </c>
      <c r="AP78" s="6" t="str">
        <f>IFERROR((('raw-PriceList'!AT78/'raw-PriceList'!AT79)-1),"")</f>
        <v/>
      </c>
      <c r="AQ78" s="6">
        <f>IFERROR((('raw-PriceList'!AU78/'raw-PriceList'!AU79)-1),"")</f>
        <v>-1.398815429966549E-2</v>
      </c>
      <c r="AR78" s="6">
        <f>IFERROR((('raw-PriceList'!AV78/'raw-PriceList'!AV79)-1),"")</f>
        <v>8.1120638705434178E-3</v>
      </c>
      <c r="AS78" s="6">
        <f>IFERROR((('raw-PriceList'!AW78/'raw-PriceList'!AW79)-1),"")</f>
        <v>-1.004418983256905E-2</v>
      </c>
    </row>
    <row r="79" spans="1:45" x14ac:dyDescent="0.2">
      <c r="A79" s="2">
        <v>41182</v>
      </c>
      <c r="B79" s="6">
        <f>IFERROR((('raw-PriceList'!B79/'raw-PriceList'!B80)-1),"")</f>
        <v>2.5143818175579202E-3</v>
      </c>
      <c r="C79" s="6">
        <f>IFERROR((('raw-PriceList'!C79/'raw-PriceList'!C80)-1),"")</f>
        <v>-1.0882039303825364E-2</v>
      </c>
      <c r="D79" s="6">
        <f>IFERROR((('raw-PriceList'!D79/'raw-PriceList'!D80)-1),"")</f>
        <v>-4.7674206610670566E-4</v>
      </c>
      <c r="E79" s="6" t="str">
        <f>IFERROR((('raw-PriceList'!F79/'raw-PriceList'!F80)-1),"")</f>
        <v/>
      </c>
      <c r="F79" s="6">
        <f>IFERROR((('raw-PriceList'!G79/'raw-PriceList'!G80)-1),"")</f>
        <v>-5.9161644409067016E-4</v>
      </c>
      <c r="G79" s="6">
        <f>IFERROR((('raw-PriceList'!H79/'raw-PriceList'!H80)-1),"")</f>
        <v>-4.7498920889484042E-2</v>
      </c>
      <c r="H79" s="6">
        <f>IFERROR((('raw-PriceList'!J79/'raw-PriceList'!J80)-1),"")</f>
        <v>1.9031134752181433E-2</v>
      </c>
      <c r="I79" s="6">
        <f>IFERROR((('raw-PriceList'!K79/'raw-PriceList'!K80)-1),"")</f>
        <v>1.6524409987450417E-2</v>
      </c>
      <c r="J79" s="6">
        <f>IFERROR((('raw-PriceList'!L79/'raw-PriceList'!L80)-1),"")</f>
        <v>2.6744922249713365E-2</v>
      </c>
      <c r="K79" s="6">
        <f>IFERROR((('raw-PriceList'!M79/'raw-PriceList'!M80)-1),"")</f>
        <v>2.790403071903591E-2</v>
      </c>
      <c r="L79" s="6">
        <f>IFERROR((('raw-PriceList'!N79/'raw-PriceList'!N80)-1),"")</f>
        <v>2.6431764692608217E-2</v>
      </c>
      <c r="M79" s="6">
        <f>IFERROR((('raw-PriceList'!O79/'raw-PriceList'!O80)-1),"")</f>
        <v>2.7989060421895529E-2</v>
      </c>
      <c r="N79" s="6">
        <f>IFERROR((('raw-PriceList'!P79/'raw-PriceList'!P80)-1),"")</f>
        <v>4.7777767080778855E-3</v>
      </c>
      <c r="O79" s="6">
        <f>IFERROR((('raw-PriceList'!Q79/'raw-PriceList'!Q80)-1),"")</f>
        <v>-3.6463207180090773E-3</v>
      </c>
      <c r="P79" s="6">
        <f>IFERROR((('raw-PriceList'!R79/'raw-PriceList'!R80)-1),"")</f>
        <v>3.0016876923812941E-3</v>
      </c>
      <c r="Q79" s="6">
        <f>IFERROR((('raw-PriceList'!S79/'raw-PriceList'!S80)-1),"")</f>
        <v>5.8756347428945421E-3</v>
      </c>
      <c r="R79" s="6">
        <f>IFERROR((('raw-PriceList'!T79/'raw-PriceList'!T80)-1),"")</f>
        <v>1.6407809556123087E-2</v>
      </c>
      <c r="S79" s="6">
        <f>IFERROR((('raw-PriceList'!U79/'raw-PriceList'!U80)-1),"")</f>
        <v>-1.5050425079919938E-3</v>
      </c>
      <c r="T79" s="6">
        <f>IFERROR((('raw-PriceList'!V79/'raw-PriceList'!V80)-1),"")</f>
        <v>6.2235769781899819E-3</v>
      </c>
      <c r="U79" s="6">
        <f>IFERROR((('raw-PriceList'!W79/'raw-PriceList'!W80)-1),"")</f>
        <v>-2.1221750376615112E-2</v>
      </c>
      <c r="V79" s="6">
        <f>IFERROR((('raw-PriceList'!X79/'raw-PriceList'!X80)-1),"")</f>
        <v>-6.621690731812846E-4</v>
      </c>
      <c r="W79" s="6">
        <f>IFERROR((('raw-PriceList'!Y79/'raw-PriceList'!Y80)-1),"")</f>
        <v>1.3165516037844105E-2</v>
      </c>
      <c r="X79" s="6" t="str">
        <f>IFERROR((('raw-PriceList'!Z79/'raw-PriceList'!Z80)-1),"")</f>
        <v/>
      </c>
      <c r="Y79" s="6">
        <f>IFERROR((('raw-PriceList'!AA79/'raw-PriceList'!AA80)-1),"")</f>
        <v>1.1962266123211052E-3</v>
      </c>
      <c r="Z79" s="6">
        <f>IFERROR((('raw-PriceList'!AB79/'raw-PriceList'!AB80)-1),"")</f>
        <v>1.3404815171973006E-2</v>
      </c>
      <c r="AA79" s="6">
        <f>IFERROR((('raw-PriceList'!AC79/'raw-PriceList'!AC80)-1),"")</f>
        <v>2.0199207544757236E-2</v>
      </c>
      <c r="AB79" s="6">
        <f>IFERROR((('raw-PriceList'!AD79/'raw-PriceList'!AD80)-1),"")</f>
        <v>2.0871018342084602E-2</v>
      </c>
      <c r="AC79" s="6">
        <f>IFERROR((('raw-PriceList'!AE79/'raw-PriceList'!AE80)-1),"")</f>
        <v>2.0871018342084602E-2</v>
      </c>
      <c r="AD79" s="6">
        <f>IFERROR((('raw-PriceList'!AF79/'raw-PriceList'!AF80)-1),"")</f>
        <v>2.2044753255197058E-2</v>
      </c>
      <c r="AE79" s="6">
        <f>IFERROR((('raw-PriceList'!AG79/'raw-PriceList'!AG80)-1),"")</f>
        <v>5.9616263488585952E-2</v>
      </c>
      <c r="AF79" s="6">
        <f>IFERROR((('raw-PriceList'!AH79/'raw-PriceList'!AH80)-1),"")</f>
        <v>2.5879768782444135E-3</v>
      </c>
      <c r="AG79" s="6">
        <f>IFERROR((('raw-PriceList'!AJ79/'raw-PriceList'!AJ80)-1),"")</f>
        <v>4.2184921919830032E-2</v>
      </c>
      <c r="AH79" s="6">
        <f>IFERROR((('raw-PriceList'!AK79/'raw-PriceList'!AK80)-1),"")</f>
        <v>1.8938011795154752E-2</v>
      </c>
      <c r="AI79" s="6" t="str">
        <f>IFERROR((('raw-PriceList'!AM79/'raw-PriceList'!AM80)-1),"")</f>
        <v/>
      </c>
      <c r="AJ79" s="6">
        <f>IFERROR((('raw-PriceList'!AN79/'raw-PriceList'!AN80)-1),"")</f>
        <v>1.999128652058535E-2</v>
      </c>
      <c r="AK79" s="6" t="str">
        <f>IFERROR((('raw-PriceList'!AO79/'raw-PriceList'!AO80)-1),"")</f>
        <v/>
      </c>
      <c r="AL79" s="6">
        <f>IFERROR((('raw-PriceList'!AP79/'raw-PriceList'!AP80)-1),"")</f>
        <v>2.2260315705106892E-2</v>
      </c>
      <c r="AM79" s="6">
        <f>IFERROR((('raw-PriceList'!AQ79/'raw-PriceList'!AQ80)-1),"")</f>
        <v>1.7222352488465376E-2</v>
      </c>
      <c r="AN79" s="6">
        <f>IFERROR((('raw-PriceList'!AR79/'raw-PriceList'!AR80)-1),"")</f>
        <v>2.0339387451055568E-2</v>
      </c>
      <c r="AO79" s="6" t="str">
        <f>IFERROR((('raw-PriceList'!AS79/'raw-PriceList'!AS80)-1),"")</f>
        <v/>
      </c>
      <c r="AP79" s="6" t="str">
        <f>IFERROR((('raw-PriceList'!AT79/'raw-PriceList'!AT80)-1),"")</f>
        <v/>
      </c>
      <c r="AQ79" s="6">
        <f>IFERROR((('raw-PriceList'!AU79/'raw-PriceList'!AU80)-1),"")</f>
        <v>2.5200685319841876E-2</v>
      </c>
      <c r="AR79" s="6">
        <f>IFERROR((('raw-PriceList'!AV79/'raw-PriceList'!AV80)-1),"")</f>
        <v>1.69951073192387E-2</v>
      </c>
      <c r="AS79" s="6">
        <f>IFERROR((('raw-PriceList'!AW79/'raw-PriceList'!AW80)-1),"")</f>
        <v>1.7699048934303629E-2</v>
      </c>
    </row>
    <row r="80" spans="1:45" x14ac:dyDescent="0.2">
      <c r="A80" s="2">
        <v>41152</v>
      </c>
      <c r="B80" s="6">
        <f>IFERROR((('raw-PriceList'!B80/'raw-PriceList'!B81)-1),"")</f>
        <v>-1.5141511871367141E-3</v>
      </c>
      <c r="C80" s="6">
        <f>IFERROR((('raw-PriceList'!C80/'raw-PriceList'!C81)-1),"")</f>
        <v>-1.0178844614282645E-2</v>
      </c>
      <c r="D80" s="6">
        <f>IFERROR((('raw-PriceList'!D80/'raw-PriceList'!D81)-1),"")</f>
        <v>-5.9612962751354193E-4</v>
      </c>
      <c r="E80" s="6" t="str">
        <f>IFERROR((('raw-PriceList'!F80/'raw-PriceList'!F81)-1),"")</f>
        <v/>
      </c>
      <c r="F80" s="6">
        <f>IFERROR((('raw-PriceList'!G80/'raw-PriceList'!G81)-1),"")</f>
        <v>9.6319308023806727E-4</v>
      </c>
      <c r="G80" s="6">
        <f>IFERROR((('raw-PriceList'!H80/'raw-PriceList'!H81)-1),"")</f>
        <v>-2.5577682356782927E-2</v>
      </c>
      <c r="H80" s="6">
        <f>IFERROR((('raw-PriceList'!J80/'raw-PriceList'!J81)-1),"")</f>
        <v>2.4443080584527044E-2</v>
      </c>
      <c r="I80" s="6">
        <f>IFERROR((('raw-PriceList'!K80/'raw-PriceList'!K81)-1),"")</f>
        <v>3.2411052163988652E-2</v>
      </c>
      <c r="J80" s="6">
        <f>IFERROR((('raw-PriceList'!L80/'raw-PriceList'!L81)-1),"")</f>
        <v>1.1679992491675062E-2</v>
      </c>
      <c r="K80" s="6">
        <f>IFERROR((('raw-PriceList'!M80/'raw-PriceList'!M81)-1),"")</f>
        <v>3.5607484779538234E-2</v>
      </c>
      <c r="L80" s="6">
        <f>IFERROR((('raw-PriceList'!N80/'raw-PriceList'!N81)-1),"")</f>
        <v>4.0134806664593681E-2</v>
      </c>
      <c r="M80" s="6">
        <f>IFERROR((('raw-PriceList'!O80/'raw-PriceList'!O81)-1),"")</f>
        <v>2.9898484953570392E-2</v>
      </c>
      <c r="N80" s="6">
        <f>IFERROR((('raw-PriceList'!P80/'raw-PriceList'!P81)-1),"")</f>
        <v>3.1255453838709979E-3</v>
      </c>
      <c r="O80" s="6">
        <f>IFERROR((('raw-PriceList'!Q80/'raw-PriceList'!Q81)-1),"")</f>
        <v>-5.1679572785894301E-3</v>
      </c>
      <c r="P80" s="6">
        <f>IFERROR((('raw-PriceList'!R80/'raw-PriceList'!R81)-1),"")</f>
        <v>4.6518623254470093E-3</v>
      </c>
      <c r="Q80" s="6">
        <f>IFERROR((('raw-PriceList'!S80/'raw-PriceList'!S81)-1),"")</f>
        <v>3.2938758243219901E-2</v>
      </c>
      <c r="R80" s="6">
        <f>IFERROR((('raw-PriceList'!T80/'raw-PriceList'!T81)-1),"")</f>
        <v>2.6441450674520972E-2</v>
      </c>
      <c r="S80" s="6">
        <f>IFERROR((('raw-PriceList'!U80/'raw-PriceList'!U81)-1),"")</f>
        <v>-4.2862719384406667E-4</v>
      </c>
      <c r="T80" s="6">
        <f>IFERROR((('raw-PriceList'!V80/'raw-PriceList'!V81)-1),"")</f>
        <v>4.6627707854987266E-2</v>
      </c>
      <c r="U80" s="6">
        <f>IFERROR((('raw-PriceList'!W80/'raw-PriceList'!W81)-1),"")</f>
        <v>-1.0814432592126111E-2</v>
      </c>
      <c r="V80" s="6">
        <f>IFERROR((('raw-PriceList'!X80/'raw-PriceList'!X81)-1),"")</f>
        <v>8.1686671510028397E-4</v>
      </c>
      <c r="W80" s="6">
        <f>IFERROR((('raw-PriceList'!Y80/'raw-PriceList'!Y81)-1),"")</f>
        <v>1.9199532711250633E-2</v>
      </c>
      <c r="X80" s="6" t="str">
        <f>IFERROR((('raw-PriceList'!Z80/'raw-PriceList'!Z81)-1),"")</f>
        <v/>
      </c>
      <c r="Y80" s="6">
        <f>IFERROR((('raw-PriceList'!AA80/'raw-PriceList'!AA81)-1),"")</f>
        <v>3.7937094905846624E-3</v>
      </c>
      <c r="Z80" s="6">
        <f>IFERROR((('raw-PriceList'!AB80/'raw-PriceList'!AB81)-1),"")</f>
        <v>3.1514069227334129E-2</v>
      </c>
      <c r="AA80" s="6">
        <f>IFERROR((('raw-PriceList'!AC80/'raw-PriceList'!AC81)-1),"")</f>
        <v>2.5028524180561895E-2</v>
      </c>
      <c r="AB80" s="6">
        <f>IFERROR((('raw-PriceList'!AD80/'raw-PriceList'!AD81)-1),"")</f>
        <v>2.4673406612931048E-2</v>
      </c>
      <c r="AC80" s="6">
        <f>IFERROR((('raw-PriceList'!AE80/'raw-PriceList'!AE81)-1),"")</f>
        <v>2.4673406612931048E-2</v>
      </c>
      <c r="AD80" s="6">
        <f>IFERROR((('raw-PriceList'!AF80/'raw-PriceList'!AF81)-1),"")</f>
        <v>3.7376777554152918E-2</v>
      </c>
      <c r="AE80" s="6">
        <f>IFERROR((('raw-PriceList'!AG80/'raw-PriceList'!AG81)-1),"")</f>
        <v>-4.1138336583002033E-4</v>
      </c>
      <c r="AF80" s="6">
        <f>IFERROR((('raw-PriceList'!AH80/'raw-PriceList'!AH81)-1),"")</f>
        <v>1.1218838935437514E-2</v>
      </c>
      <c r="AG80" s="6">
        <f>IFERROR((('raw-PriceList'!AJ80/'raw-PriceList'!AJ81)-1),"")</f>
        <v>3.1128928242449838E-2</v>
      </c>
      <c r="AH80" s="6">
        <f>IFERROR((('raw-PriceList'!AK80/'raw-PriceList'!AK81)-1),"")</f>
        <v>2.4682327392720582E-2</v>
      </c>
      <c r="AI80" s="6" t="str">
        <f>IFERROR((('raw-PriceList'!AM80/'raw-PriceList'!AM81)-1),"")</f>
        <v/>
      </c>
      <c r="AJ80" s="6">
        <f>IFERROR((('raw-PriceList'!AN80/'raw-PriceList'!AN81)-1),"")</f>
        <v>2.7006984817611102E-2</v>
      </c>
      <c r="AK80" s="6" t="str">
        <f>IFERROR((('raw-PriceList'!AO80/'raw-PriceList'!AO81)-1),"")</f>
        <v/>
      </c>
      <c r="AL80" s="6">
        <f>IFERROR((('raw-PriceList'!AP80/'raw-PriceList'!AP81)-1),"")</f>
        <v>1.4948199963072506E-2</v>
      </c>
      <c r="AM80" s="6">
        <f>IFERROR((('raw-PriceList'!AQ80/'raw-PriceList'!AQ81)-1),"")</f>
        <v>3.3935579891518186E-2</v>
      </c>
      <c r="AN80" s="6">
        <f>IFERROR((('raw-PriceList'!AR80/'raw-PriceList'!AR81)-1),"")</f>
        <v>2.5128450438497429E-2</v>
      </c>
      <c r="AO80" s="6" t="str">
        <f>IFERROR((('raw-PriceList'!AS80/'raw-PriceList'!AS81)-1),"")</f>
        <v/>
      </c>
      <c r="AP80" s="6" t="str">
        <f>IFERROR((('raw-PriceList'!AT80/'raw-PriceList'!AT81)-1),"")</f>
        <v/>
      </c>
      <c r="AQ80" s="6">
        <f>IFERROR((('raw-PriceList'!AU80/'raw-PriceList'!AU81)-1),"")</f>
        <v>3.7307483618219672E-2</v>
      </c>
      <c r="AR80" s="6">
        <f>IFERROR((('raw-PriceList'!AV80/'raw-PriceList'!AV81)-1),"")</f>
        <v>2.5991343299081038E-2</v>
      </c>
      <c r="AS80" s="6">
        <f>IFERROR((('raw-PriceList'!AW80/'raw-PriceList'!AW81)-1),"")</f>
        <v>7.7501004623812264E-3</v>
      </c>
    </row>
    <row r="81" spans="1:45" x14ac:dyDescent="0.2">
      <c r="A81" s="2">
        <v>41121</v>
      </c>
      <c r="B81" s="6">
        <f>IFERROR((('raw-PriceList'!B81/'raw-PriceList'!B82)-1),"")</f>
        <v>1.5445300984125554E-2</v>
      </c>
      <c r="C81" s="6">
        <f>IFERROR((('raw-PriceList'!C81/'raw-PriceList'!C82)-1),"")</f>
        <v>3.9777985297244634E-2</v>
      </c>
      <c r="D81" s="6">
        <f>IFERROR((('raw-PriceList'!D81/'raw-PriceList'!D82)-1),"")</f>
        <v>9.9917122822934523E-3</v>
      </c>
      <c r="E81" s="6" t="str">
        <f>IFERROR((('raw-PriceList'!F81/'raw-PriceList'!F82)-1),"")</f>
        <v/>
      </c>
      <c r="F81" s="6">
        <f>IFERROR((('raw-PriceList'!G81/'raw-PriceList'!G82)-1),"")</f>
        <v>3.6208309509375702E-3</v>
      </c>
      <c r="G81" s="6">
        <f>IFERROR((('raw-PriceList'!H81/'raw-PriceList'!H82)-1),"")</f>
        <v>5.8186727566964747E-2</v>
      </c>
      <c r="H81" s="6">
        <f>IFERROR((('raw-PriceList'!J81/'raw-PriceList'!J82)-1),"")</f>
        <v>1.4349278400748844E-2</v>
      </c>
      <c r="I81" s="6">
        <f>IFERROR((('raw-PriceList'!K81/'raw-PriceList'!K82)-1),"")</f>
        <v>1.7521937168575752E-2</v>
      </c>
      <c r="J81" s="6">
        <f>IFERROR((('raw-PriceList'!L81/'raw-PriceList'!L82)-1),"")</f>
        <v>1.4338610460838064E-2</v>
      </c>
      <c r="K81" s="6">
        <f>IFERROR((('raw-PriceList'!M81/'raw-PriceList'!M82)-1),"")</f>
        <v>-9.9861151258330283E-3</v>
      </c>
      <c r="L81" s="6">
        <f>IFERROR((('raw-PriceList'!N81/'raw-PriceList'!N82)-1),"")</f>
        <v>-1.3352474578083973E-2</v>
      </c>
      <c r="M81" s="6">
        <f>IFERROR((('raw-PriceList'!O81/'raw-PriceList'!O82)-1),"")</f>
        <v>-4.2723394247430324E-3</v>
      </c>
      <c r="N81" s="6">
        <f>IFERROR((('raw-PriceList'!P81/'raw-PriceList'!P82)-1),"")</f>
        <v>2.0739262436838768E-2</v>
      </c>
      <c r="O81" s="6">
        <f>IFERROR((('raw-PriceList'!Q81/'raw-PriceList'!Q82)-1),"")</f>
        <v>5.0477535462436718E-2</v>
      </c>
      <c r="P81" s="6">
        <f>IFERROR((('raw-PriceList'!R81/'raw-PriceList'!R82)-1),"")</f>
        <v>7.1894855069440933E-3</v>
      </c>
      <c r="Q81" s="6">
        <f>IFERROR((('raw-PriceList'!S81/'raw-PriceList'!S82)-1),"")</f>
        <v>2.567252188103275E-3</v>
      </c>
      <c r="R81" s="6">
        <f>IFERROR((('raw-PriceList'!T81/'raw-PriceList'!T82)-1),"")</f>
        <v>4.735515586061112E-3</v>
      </c>
      <c r="S81" s="6">
        <f>IFERROR((('raw-PriceList'!U81/'raw-PriceList'!U82)-1),"")</f>
        <v>6.7981315601872705E-3</v>
      </c>
      <c r="T81" s="6">
        <f>IFERROR((('raw-PriceList'!V81/'raw-PriceList'!V82)-1),"")</f>
        <v>3.265652216443593E-3</v>
      </c>
      <c r="U81" s="6">
        <f>IFERROR((('raw-PriceList'!W81/'raw-PriceList'!W82)-1),"")</f>
        <v>2.9053861904220213E-2</v>
      </c>
      <c r="V81" s="6">
        <f>IFERROR((('raw-PriceList'!X81/'raw-PriceList'!X82)-1),"")</f>
        <v>1.1325292342934112E-3</v>
      </c>
      <c r="W81" s="6">
        <f>IFERROR((('raw-PriceList'!Y81/'raw-PriceList'!Y82)-1),"")</f>
        <v>1.9451822692282184E-2</v>
      </c>
      <c r="X81" s="6" t="str">
        <f>IFERROR((('raw-PriceList'!Z81/'raw-PriceList'!Z82)-1),"")</f>
        <v/>
      </c>
      <c r="Y81" s="6">
        <f>IFERROR((('raw-PriceList'!AA81/'raw-PriceList'!AA82)-1),"")</f>
        <v>5.1708612045164859E-3</v>
      </c>
      <c r="Z81" s="6">
        <f>IFERROR((('raw-PriceList'!AB81/'raw-PriceList'!AB82)-1),"")</f>
        <v>2.9298005209259514E-2</v>
      </c>
      <c r="AA81" s="6">
        <f>IFERROR((('raw-PriceList'!AC81/'raw-PriceList'!AC82)-1),"")</f>
        <v>7.8355632499074179E-3</v>
      </c>
      <c r="AB81" s="6">
        <f>IFERROR((('raw-PriceList'!AD81/'raw-PriceList'!AD82)-1),"")</f>
        <v>1.2211974389088054E-2</v>
      </c>
      <c r="AC81" s="6">
        <f>IFERROR((('raw-PriceList'!AE81/'raw-PriceList'!AE82)-1),"")</f>
        <v>1.2211974389088054E-2</v>
      </c>
      <c r="AD81" s="6">
        <f>IFERROR((('raw-PriceList'!AF81/'raw-PriceList'!AF82)-1),"")</f>
        <v>-7.266798996480861E-3</v>
      </c>
      <c r="AE81" s="6">
        <f>IFERROR((('raw-PriceList'!AG81/'raw-PriceList'!AG82)-1),"")</f>
        <v>4.4952348649356155E-2</v>
      </c>
      <c r="AF81" s="6">
        <f>IFERROR((('raw-PriceList'!AH81/'raw-PriceList'!AH82)-1),"")</f>
        <v>-9.0740303291000357E-3</v>
      </c>
      <c r="AG81" s="6">
        <f>IFERROR((('raw-PriceList'!AJ81/'raw-PriceList'!AJ82)-1),"")</f>
        <v>0</v>
      </c>
      <c r="AH81" s="6">
        <f>IFERROR((('raw-PriceList'!AK81/'raw-PriceList'!AK82)-1),"")</f>
        <v>7.245856398349737E-3</v>
      </c>
      <c r="AI81" s="6" t="str">
        <f>IFERROR((('raw-PriceList'!AM81/'raw-PriceList'!AM82)-1),"")</f>
        <v/>
      </c>
      <c r="AJ81" s="6">
        <f>IFERROR((('raw-PriceList'!AN81/'raw-PriceList'!AN82)-1),"")</f>
        <v>8.8107104768799793E-3</v>
      </c>
      <c r="AK81" s="6" t="str">
        <f>IFERROR((('raw-PriceList'!AO81/'raw-PriceList'!AO82)-1),"")</f>
        <v/>
      </c>
      <c r="AL81" s="6">
        <f>IFERROR((('raw-PriceList'!AP81/'raw-PriceList'!AP82)-1),"")</f>
        <v>1.1708280257965109E-2</v>
      </c>
      <c r="AM81" s="6">
        <f>IFERROR((('raw-PriceList'!AQ81/'raw-PriceList'!AQ82)-1),"")</f>
        <v>1.2287084981321028E-2</v>
      </c>
      <c r="AN81" s="6">
        <f>IFERROR((('raw-PriceList'!AR81/'raw-PriceList'!AR82)-1),"")</f>
        <v>1.1288040532336341E-2</v>
      </c>
      <c r="AO81" s="6" t="str">
        <f>IFERROR((('raw-PriceList'!AS81/'raw-PriceList'!AS82)-1),"")</f>
        <v/>
      </c>
      <c r="AP81" s="6" t="str">
        <f>IFERROR((('raw-PriceList'!AT81/'raw-PriceList'!AT82)-1),"")</f>
        <v/>
      </c>
      <c r="AQ81" s="6">
        <f>IFERROR((('raw-PriceList'!AU81/'raw-PriceList'!AU82)-1),"")</f>
        <v>-7.2857233250732678E-3</v>
      </c>
      <c r="AR81" s="6">
        <f>IFERROR((('raw-PriceList'!AV81/'raw-PriceList'!AV82)-1),"")</f>
        <v>3.1079162851215258E-3</v>
      </c>
      <c r="AS81" s="6">
        <f>IFERROR((('raw-PriceList'!AW81/'raw-PriceList'!AW82)-1),"")</f>
        <v>2.1361883731069842E-2</v>
      </c>
    </row>
    <row r="82" spans="1:45" x14ac:dyDescent="0.2">
      <c r="A82" s="2">
        <v>41090</v>
      </c>
      <c r="B82" s="6">
        <f>IFERROR((('raw-PriceList'!B82/'raw-PriceList'!B83)-1),"")</f>
        <v>-1.8271753130710833E-3</v>
      </c>
      <c r="C82" s="6">
        <f>IFERROR((('raw-PriceList'!C82/'raw-PriceList'!C83)-1),"")</f>
        <v>-7.6079481439210728E-3</v>
      </c>
      <c r="D82" s="6">
        <f>IFERROR((('raw-PriceList'!D82/'raw-PriceList'!D83)-1),"")</f>
        <v>-1.4679224743829877E-3</v>
      </c>
      <c r="E82" s="6" t="str">
        <f>IFERROR((('raw-PriceList'!F82/'raw-PriceList'!F83)-1),"")</f>
        <v/>
      </c>
      <c r="F82" s="6">
        <f>IFERROR((('raw-PriceList'!G82/'raw-PriceList'!G83)-1),"")</f>
        <v>-6.9762328958200559E-4</v>
      </c>
      <c r="G82" s="6">
        <f>IFERROR((('raw-PriceList'!H82/'raw-PriceList'!H83)-1),"")</f>
        <v>-2.873327713960816E-2</v>
      </c>
      <c r="H82" s="6">
        <f>IFERROR((('raw-PriceList'!J82/'raw-PriceList'!J83)-1),"")</f>
        <v>3.7096814231786013E-2</v>
      </c>
      <c r="I82" s="6">
        <f>IFERROR((('raw-PriceList'!K82/'raw-PriceList'!K83)-1),"")</f>
        <v>2.9580669146419103E-2</v>
      </c>
      <c r="J82" s="6">
        <f>IFERROR((('raw-PriceList'!L82/'raw-PriceList'!L83)-1),"")</f>
        <v>4.183773345968067E-2</v>
      </c>
      <c r="K82" s="6">
        <f>IFERROR((('raw-PriceList'!M82/'raw-PriceList'!M83)-1),"")</f>
        <v>4.6208436581174572E-2</v>
      </c>
      <c r="L82" s="6">
        <f>IFERROR((('raw-PriceList'!N82/'raw-PriceList'!N83)-1),"")</f>
        <v>4.8576477331373713E-2</v>
      </c>
      <c r="M82" s="6">
        <f>IFERROR((('raw-PriceList'!O82/'raw-PriceList'!O83)-1),"")</f>
        <v>4.4741200203367582E-2</v>
      </c>
      <c r="N82" s="6">
        <f>IFERROR((('raw-PriceList'!P82/'raw-PriceList'!P83)-1),"")</f>
        <v>4.5247529911371931E-3</v>
      </c>
      <c r="O82" s="6">
        <f>IFERROR((('raw-PriceList'!Q82/'raw-PriceList'!Q83)-1),"")</f>
        <v>6.0327155728607806E-3</v>
      </c>
      <c r="P82" s="6">
        <f>IFERROR((('raw-PriceList'!R82/'raw-PriceList'!R83)-1),"")</f>
        <v>2.6192945663889855E-3</v>
      </c>
      <c r="Q82" s="6">
        <f>IFERROR((('raw-PriceList'!S82/'raw-PriceList'!S83)-1),"")</f>
        <v>6.9870761068436593E-2</v>
      </c>
      <c r="R82" s="6">
        <f>IFERROR((('raw-PriceList'!T82/'raw-PriceList'!T83)-1),"")</f>
        <v>6.5296018599486194E-2</v>
      </c>
      <c r="S82" s="6">
        <f>IFERROR((('raw-PriceList'!U82/'raw-PriceList'!U83)-1),"")</f>
        <v>-2.6443373099613865E-3</v>
      </c>
      <c r="T82" s="6">
        <f>IFERROR((('raw-PriceList'!V82/'raw-PriceList'!V83)-1),"")</f>
        <v>8.2831590663933419E-2</v>
      </c>
      <c r="U82" s="6">
        <f>IFERROR((('raw-PriceList'!W82/'raw-PriceList'!W83)-1),"")</f>
        <v>-1.7419913120801378E-2</v>
      </c>
      <c r="V82" s="6">
        <f>IFERROR((('raw-PriceList'!X82/'raw-PriceList'!X83)-1),"")</f>
        <v>-7.6368476339805369E-4</v>
      </c>
      <c r="W82" s="6">
        <f>IFERROR((('raw-PriceList'!Y82/'raw-PriceList'!Y83)-1),"")</f>
        <v>1.6145576527491157E-2</v>
      </c>
      <c r="X82" s="6" t="str">
        <f>IFERROR((('raw-PriceList'!Z82/'raw-PriceList'!Z83)-1),"")</f>
        <v/>
      </c>
      <c r="Y82" s="6">
        <f>IFERROR((('raw-PriceList'!AA82/'raw-PriceList'!AA83)-1),"")</f>
        <v>2.152221412267119E-3</v>
      </c>
      <c r="Z82" s="6">
        <f>IFERROR((('raw-PriceList'!AB82/'raw-PriceList'!AB83)-1),"")</f>
        <v>7.8472316702349332E-2</v>
      </c>
      <c r="AA82" s="6">
        <f>IFERROR((('raw-PriceList'!AC82/'raw-PriceList'!AC83)-1),"")</f>
        <v>3.3675691738260349E-2</v>
      </c>
      <c r="AB82" s="6">
        <f>IFERROR((('raw-PriceList'!AD82/'raw-PriceList'!AD83)-1),"")</f>
        <v>3.5874531206935067E-2</v>
      </c>
      <c r="AC82" s="6">
        <f>IFERROR((('raw-PriceList'!AE82/'raw-PriceList'!AE83)-1),"")</f>
        <v>3.5874531206935067E-2</v>
      </c>
      <c r="AD82" s="6">
        <f>IFERROR((('raw-PriceList'!AF82/'raw-PriceList'!AF83)-1),"")</f>
        <v>1.5305737778612105E-2</v>
      </c>
      <c r="AE82" s="6">
        <f>IFERROR((('raw-PriceList'!AG82/'raw-PriceList'!AG83)-1),"")</f>
        <v>5.6898359982213043E-2</v>
      </c>
      <c r="AF82" s="6">
        <f>IFERROR((('raw-PriceList'!AH82/'raw-PriceList'!AH83)-1),"")</f>
        <v>6.6771437893570651E-2</v>
      </c>
      <c r="AG82" s="6">
        <f>IFERROR((('raw-PriceList'!AJ82/'raw-PriceList'!AJ83)-1),"")</f>
        <v>4.1797962475109474E-2</v>
      </c>
      <c r="AH82" s="6">
        <f>IFERROR((('raw-PriceList'!AK82/'raw-PriceList'!AK83)-1),"")</f>
        <v>5.1304220121990207E-2</v>
      </c>
      <c r="AI82" s="6" t="str">
        <f>IFERROR((('raw-PriceList'!AM82/'raw-PriceList'!AM83)-1),"")</f>
        <v/>
      </c>
      <c r="AJ82" s="6">
        <f>IFERROR((('raw-PriceList'!AN82/'raw-PriceList'!AN83)-1),"")</f>
        <v>3.5100634839635658E-2</v>
      </c>
      <c r="AK82" s="6" t="str">
        <f>IFERROR((('raw-PriceList'!AO82/'raw-PriceList'!AO83)-1),"")</f>
        <v/>
      </c>
      <c r="AL82" s="6">
        <f>IFERROR((('raw-PriceList'!AP82/'raw-PriceList'!AP83)-1),"")</f>
        <v>4.0531901576780882E-2</v>
      </c>
      <c r="AM82" s="6">
        <f>IFERROR((('raw-PriceList'!AQ82/'raw-PriceList'!AQ83)-1),"")</f>
        <v>2.5615047683048564E-2</v>
      </c>
      <c r="AN82" s="6">
        <f>IFERROR((('raw-PriceList'!AR82/'raw-PriceList'!AR83)-1),"")</f>
        <v>3.3093383469429138E-2</v>
      </c>
      <c r="AO82" s="6" t="str">
        <f>IFERROR((('raw-PriceList'!AS82/'raw-PriceList'!AS83)-1),"")</f>
        <v/>
      </c>
      <c r="AP82" s="6" t="str">
        <f>IFERROR((('raw-PriceList'!AT82/'raw-PriceList'!AT83)-1),"")</f>
        <v/>
      </c>
      <c r="AQ82" s="6">
        <f>IFERROR((('raw-PriceList'!AU82/'raw-PriceList'!AU83)-1),"")</f>
        <v>3.1432402154566663E-2</v>
      </c>
      <c r="AR82" s="6">
        <f>IFERROR((('raw-PriceList'!AV82/'raw-PriceList'!AV83)-1),"")</f>
        <v>5.9709531774211344E-2</v>
      </c>
      <c r="AS82" s="6">
        <f>IFERROR((('raw-PriceList'!AW82/'raw-PriceList'!AW83)-1),"")</f>
        <v>4.1510360166538307E-2</v>
      </c>
    </row>
    <row r="83" spans="1:45" x14ac:dyDescent="0.2">
      <c r="A83" s="2">
        <v>41060</v>
      </c>
      <c r="B83" s="6">
        <f>IFERROR((('raw-PriceList'!B83/'raw-PriceList'!B84)-1),"")</f>
        <v>1.2234750760512281E-2</v>
      </c>
      <c r="C83" s="6">
        <f>IFERROR((('raw-PriceList'!C83/'raw-PriceList'!C84)-1),"")</f>
        <v>4.5862070887831896E-2</v>
      </c>
      <c r="D83" s="6">
        <f>IFERROR((('raw-PriceList'!D83/'raw-PriceList'!D84)-1),"")</f>
        <v>7.0959306717992554E-3</v>
      </c>
      <c r="E83" s="6" t="str">
        <f>IFERROR((('raw-PriceList'!F83/'raw-PriceList'!F84)-1),"")</f>
        <v/>
      </c>
      <c r="F83" s="6">
        <f>IFERROR((('raw-PriceList'!G83/'raw-PriceList'!G84)-1),"")</f>
        <v>1.5026716146282482E-5</v>
      </c>
      <c r="G83" s="6">
        <f>IFERROR((('raw-PriceList'!H83/'raw-PriceList'!H84)-1),"")</f>
        <v>0.14051324665269749</v>
      </c>
      <c r="H83" s="6">
        <f>IFERROR((('raw-PriceList'!J83/'raw-PriceList'!J84)-1),"")</f>
        <v>-5.9531067903083601E-2</v>
      </c>
      <c r="I83" s="6">
        <f>IFERROR((('raw-PriceList'!K83/'raw-PriceList'!K84)-1),"")</f>
        <v>-6.1606910031424156E-2</v>
      </c>
      <c r="J83" s="6">
        <f>IFERROR((('raw-PriceList'!L83/'raw-PriceList'!L84)-1),"")</f>
        <v>-5.4923782130293031E-2</v>
      </c>
      <c r="K83" s="6">
        <f>IFERROR((('raw-PriceList'!M83/'raw-PriceList'!M84)-1),"")</f>
        <v>-6.7255291366017822E-2</v>
      </c>
      <c r="L83" s="6">
        <f>IFERROR((('raw-PriceList'!N83/'raw-PriceList'!N84)-1),"")</f>
        <v>-7.2029831835260127E-2</v>
      </c>
      <c r="M83" s="6">
        <f>IFERROR((('raw-PriceList'!O83/'raw-PriceList'!O84)-1),"")</f>
        <v>-6.3170925232650887E-2</v>
      </c>
      <c r="N83" s="6">
        <f>IFERROR((('raw-PriceList'!P83/'raw-PriceList'!P84)-1),"")</f>
        <v>1.2198203635997995E-3</v>
      </c>
      <c r="O83" s="6">
        <f>IFERROR((('raw-PriceList'!Q83/'raw-PriceList'!Q84)-1),"")</f>
        <v>2.5449693455436462E-2</v>
      </c>
      <c r="P83" s="6">
        <f>IFERROR((('raw-PriceList'!R83/'raw-PriceList'!R84)-1),"")</f>
        <v>-3.4712233326192887E-3</v>
      </c>
      <c r="Q83" s="6">
        <f>IFERROR((('raw-PriceList'!S83/'raw-PriceList'!S84)-1),"")</f>
        <v>-0.11177642547691469</v>
      </c>
      <c r="R83" s="6">
        <f>IFERROR((('raw-PriceList'!T83/'raw-PriceList'!T84)-1),"")</f>
        <v>-0.1139163476379359</v>
      </c>
      <c r="S83" s="6">
        <f>IFERROR((('raw-PriceList'!U83/'raw-PriceList'!U84)-1),"")</f>
        <v>1.0477572011322378E-2</v>
      </c>
      <c r="T83" s="6">
        <f>IFERROR((('raw-PriceList'!V83/'raw-PriceList'!V84)-1),"")</f>
        <v>-0.11974534850911067</v>
      </c>
      <c r="U83" s="6">
        <f>IFERROR((('raw-PriceList'!W83/'raw-PriceList'!W84)-1),"")</f>
        <v>7.6380143946069179E-2</v>
      </c>
      <c r="V83" s="6">
        <f>IFERROR((('raw-PriceList'!X83/'raw-PriceList'!X84)-1),"")</f>
        <v>-6.545440944538683E-5</v>
      </c>
      <c r="W83" s="6">
        <f>IFERROR((('raw-PriceList'!Y83/'raw-PriceList'!Y84)-1),"")</f>
        <v>-4.3799184428388593E-2</v>
      </c>
      <c r="X83" s="6" t="str">
        <f>IFERROR((('raw-PriceList'!Z83/'raw-PriceList'!Z84)-1),"")</f>
        <v/>
      </c>
      <c r="Y83" s="6">
        <f>IFERROR((('raw-PriceList'!AA83/'raw-PriceList'!AA84)-1),"")</f>
        <v>1.5756684268919408E-3</v>
      </c>
      <c r="Z83" s="6">
        <f>IFERROR((('raw-PriceList'!AB83/'raw-PriceList'!AB84)-1),"")</f>
        <v>-7.4475875892890953E-2</v>
      </c>
      <c r="AA83" s="6">
        <f>IFERROR((('raw-PriceList'!AC83/'raw-PriceList'!AC84)-1),"")</f>
        <v>-6.7509555456018888E-2</v>
      </c>
      <c r="AB83" s="6">
        <f>IFERROR((('raw-PriceList'!AD83/'raw-PriceList'!AD84)-1),"")</f>
        <v>-5.9780743053936214E-2</v>
      </c>
      <c r="AC83" s="6">
        <f>IFERROR((('raw-PriceList'!AE83/'raw-PriceList'!AE84)-1),"")</f>
        <v>-5.9780743053936214E-2</v>
      </c>
      <c r="AD83" s="6">
        <f>IFERROR((('raw-PriceList'!AF83/'raw-PriceList'!AF84)-1),"")</f>
        <v>-7.5294283749831159E-2</v>
      </c>
      <c r="AE83" s="6">
        <f>IFERROR((('raw-PriceList'!AG83/'raw-PriceList'!AG84)-1),"")</f>
        <v>-9.4124825476756824E-3</v>
      </c>
      <c r="AF83" s="6">
        <f>IFERROR((('raw-PriceList'!AH83/'raw-PriceList'!AH84)-1),"")</f>
        <v>-9.5528434938753404E-2</v>
      </c>
      <c r="AG83" s="6">
        <f>IFERROR((('raw-PriceList'!AJ83/'raw-PriceList'!AJ84)-1),"")</f>
        <v>-0.10983189893947809</v>
      </c>
      <c r="AH83" s="6">
        <f>IFERROR((('raw-PriceList'!AK83/'raw-PriceList'!AK84)-1),"")</f>
        <v>-8.9280177637535707E-2</v>
      </c>
      <c r="AI83" s="6" t="str">
        <f>IFERROR((('raw-PriceList'!AM83/'raw-PriceList'!AM84)-1),"")</f>
        <v/>
      </c>
      <c r="AJ83" s="6">
        <f>IFERROR((('raw-PriceList'!AN83/'raw-PriceList'!AN84)-1),"")</f>
        <v>-6.2217412619357981E-2</v>
      </c>
      <c r="AK83" s="6" t="str">
        <f>IFERROR((('raw-PriceList'!AO83/'raw-PriceList'!AO84)-1),"")</f>
        <v/>
      </c>
      <c r="AL83" s="6">
        <f>IFERROR((('raw-PriceList'!AP83/'raw-PriceList'!AP84)-1),"")</f>
        <v>-5.9258988367099974E-2</v>
      </c>
      <c r="AM83" s="6">
        <f>IFERROR((('raw-PriceList'!AQ83/'raw-PriceList'!AQ84)-1),"")</f>
        <v>-6.2861468353314187E-2</v>
      </c>
      <c r="AN83" s="6">
        <f>IFERROR((('raw-PriceList'!AR83/'raw-PriceList'!AR84)-1),"")</f>
        <v>-6.151422981448218E-2</v>
      </c>
      <c r="AO83" s="6" t="str">
        <f>IFERROR((('raw-PriceList'!AS83/'raw-PriceList'!AS84)-1),"")</f>
        <v/>
      </c>
      <c r="AP83" s="6" t="str">
        <f>IFERROR((('raw-PriceList'!AT83/'raw-PriceList'!AT84)-1),"")</f>
        <v/>
      </c>
      <c r="AQ83" s="6">
        <f>IFERROR((('raw-PriceList'!AU83/'raw-PriceList'!AU84)-1),"")</f>
        <v>-7.0191652446297215E-2</v>
      </c>
      <c r="AR83" s="6">
        <f>IFERROR((('raw-PriceList'!AV83/'raw-PriceList'!AV84)-1),"")</f>
        <v>-0.10828304900962638</v>
      </c>
      <c r="AS83" s="6">
        <f>IFERROR((('raw-PriceList'!AW83/'raw-PriceList'!AW84)-1),"")</f>
        <v>-4.6518826945968428E-2</v>
      </c>
    </row>
    <row r="84" spans="1:45" x14ac:dyDescent="0.2">
      <c r="A84" s="2">
        <v>41029</v>
      </c>
      <c r="B84" s="6">
        <f>IFERROR((('raw-PriceList'!B84/'raw-PriceList'!B85)-1),"")</f>
        <v>1.0771808044179654E-2</v>
      </c>
      <c r="C84" s="6">
        <f>IFERROR((('raw-PriceList'!C84/'raw-PriceList'!C85)-1),"")</f>
        <v>2.8945706793787274E-2</v>
      </c>
      <c r="D84" s="6">
        <f>IFERROR((('raw-PriceList'!D84/'raw-PriceList'!D85)-1),"")</f>
        <v>7.6511755577362006E-3</v>
      </c>
      <c r="E84" s="6" t="str">
        <f>IFERROR((('raw-PriceList'!F84/'raw-PriceList'!F85)-1),"")</f>
        <v/>
      </c>
      <c r="F84" s="6">
        <f>IFERROR((('raw-PriceList'!G84/'raw-PriceList'!G85)-1),"")</f>
        <v>3.0010200651524599E-3</v>
      </c>
      <c r="G84" s="6">
        <f>IFERROR((('raw-PriceList'!H84/'raw-PriceList'!H85)-1),"")</f>
        <v>6.7314242804639157E-2</v>
      </c>
      <c r="H84" s="6">
        <f>IFERROR((('raw-PriceList'!J84/'raw-PriceList'!J85)-1),"")</f>
        <v>-5.7076239132010098E-3</v>
      </c>
      <c r="I84" s="6">
        <f>IFERROR((('raw-PriceList'!K84/'raw-PriceList'!K85)-1),"")</f>
        <v>-3.1022843913252052E-3</v>
      </c>
      <c r="J84" s="6">
        <f>IFERROR((('raw-PriceList'!L84/'raw-PriceList'!L85)-1),"")</f>
        <v>-1.2509557452665909E-2</v>
      </c>
      <c r="K84" s="6">
        <f>IFERROR((('raw-PriceList'!M84/'raw-PriceList'!M85)-1),"")</f>
        <v>-1.0155837250002353E-2</v>
      </c>
      <c r="L84" s="6">
        <f>IFERROR((('raw-PriceList'!N84/'raw-PriceList'!N85)-1),"")</f>
        <v>-9.8936364502055785E-3</v>
      </c>
      <c r="M84" s="6">
        <f>IFERROR((('raw-PriceList'!O84/'raw-PriceList'!O85)-1),"")</f>
        <v>-9.9066608771366527E-3</v>
      </c>
      <c r="N84" s="6">
        <f>IFERROR((('raw-PriceList'!P84/'raw-PriceList'!P85)-1),"")</f>
        <v>1.1672511977593558E-2</v>
      </c>
      <c r="O84" s="6">
        <f>IFERROR((('raw-PriceList'!Q84/'raw-PriceList'!Q85)-1),"")</f>
        <v>1.8303202998743329E-2</v>
      </c>
      <c r="P84" s="6">
        <f>IFERROR((('raw-PriceList'!R84/'raw-PriceList'!R85)-1),"")</f>
        <v>2.346698477271314E-3</v>
      </c>
      <c r="Q84" s="6">
        <f>IFERROR((('raw-PriceList'!S84/'raw-PriceList'!S85)-1),"")</f>
        <v>-2.3744057153587184E-2</v>
      </c>
      <c r="R84" s="6">
        <f>IFERROR((('raw-PriceList'!T84/'raw-PriceList'!T85)-1),"")</f>
        <v>-1.8216828127685436E-2</v>
      </c>
      <c r="S84" s="6">
        <f>IFERROR((('raw-PriceList'!U84/'raw-PriceList'!U85)-1),"")</f>
        <v>1.5583065089090464E-2</v>
      </c>
      <c r="T84" s="6">
        <f>IFERROR((('raw-PriceList'!V84/'raw-PriceList'!V85)-1),"")</f>
        <v>-2.5124293817177179E-2</v>
      </c>
      <c r="U84" s="6">
        <f>IFERROR((('raw-PriceList'!W84/'raw-PriceList'!W85)-1),"")</f>
        <v>4.4364329491384913E-2</v>
      </c>
      <c r="V84" s="6">
        <f>IFERROR((('raw-PriceList'!X84/'raw-PriceList'!X85)-1),"")</f>
        <v>1.6245590875654248E-3</v>
      </c>
      <c r="W84" s="6">
        <f>IFERROR((('raw-PriceList'!Y84/'raw-PriceList'!Y85)-1),"")</f>
        <v>-3.4423093378211922E-3</v>
      </c>
      <c r="X84" s="6" t="str">
        <f>IFERROR((('raw-PriceList'!Z84/'raw-PriceList'!Z85)-1),"")</f>
        <v/>
      </c>
      <c r="Y84" s="6">
        <f>IFERROR((('raw-PriceList'!AA84/'raw-PriceList'!AA85)-1),"")</f>
        <v>5.2350620958754313E-3</v>
      </c>
      <c r="Z84" s="6">
        <f>IFERROR((('raw-PriceList'!AB84/'raw-PriceList'!AB85)-1),"")</f>
        <v>1.8659546031879026E-2</v>
      </c>
      <c r="AA84" s="6">
        <f>IFERROR((('raw-PriceList'!AC84/'raw-PriceList'!AC85)-1),"")</f>
        <v>-7.6948324403944834E-3</v>
      </c>
      <c r="AB84" s="6">
        <f>IFERROR((('raw-PriceList'!AD84/'raw-PriceList'!AD85)-1),"")</f>
        <v>-6.6082843737285124E-3</v>
      </c>
      <c r="AC84" s="6">
        <f>IFERROR((('raw-PriceList'!AE84/'raw-PriceList'!AE85)-1),"")</f>
        <v>-6.6082843737285124E-3</v>
      </c>
      <c r="AD84" s="6">
        <f>IFERROR((('raw-PriceList'!AF84/'raw-PriceList'!AF85)-1),"")</f>
        <v>-5.1936089909186967E-3</v>
      </c>
      <c r="AE84" s="6">
        <f>IFERROR((('raw-PriceList'!AG84/'raw-PriceList'!AG85)-1),"")</f>
        <v>-3.6988286529855419E-3</v>
      </c>
      <c r="AF84" s="6">
        <f>IFERROR((('raw-PriceList'!AH84/'raw-PriceList'!AH85)-1),"")</f>
        <v>-2.2362224640772754E-2</v>
      </c>
      <c r="AG84" s="6">
        <f>IFERROR((('raw-PriceList'!AJ84/'raw-PriceList'!AJ85)-1),"")</f>
        <v>-1.373440706234319E-2</v>
      </c>
      <c r="AH84" s="6">
        <f>IFERROR((('raw-PriceList'!AK84/'raw-PriceList'!AK85)-1),"")</f>
        <v>-1.179732800785549E-2</v>
      </c>
      <c r="AI84" s="6" t="str">
        <f>IFERROR((('raw-PriceList'!AM84/'raw-PriceList'!AM85)-1),"")</f>
        <v/>
      </c>
      <c r="AJ84" s="6">
        <f>IFERROR((('raw-PriceList'!AN84/'raw-PriceList'!AN85)-1),"")</f>
        <v>-6.4135429583666026E-3</v>
      </c>
      <c r="AK84" s="6" t="str">
        <f>IFERROR((('raw-PriceList'!AO84/'raw-PriceList'!AO85)-1),"")</f>
        <v/>
      </c>
      <c r="AL84" s="6">
        <f>IFERROR((('raw-PriceList'!AP84/'raw-PriceList'!AP85)-1),"")</f>
        <v>-9.1575374184028613E-3</v>
      </c>
      <c r="AM84" s="6">
        <f>IFERROR((('raw-PriceList'!AQ84/'raw-PriceList'!AQ85)-1),"")</f>
        <v>-2.9991803508526704E-3</v>
      </c>
      <c r="AN84" s="6">
        <f>IFERROR((('raw-PriceList'!AR84/'raw-PriceList'!AR85)-1),"")</f>
        <v>-5.8159398164784326E-3</v>
      </c>
      <c r="AO84" s="6" t="str">
        <f>IFERROR((('raw-PriceList'!AS84/'raw-PriceList'!AS85)-1),"")</f>
        <v/>
      </c>
      <c r="AP84" s="6" t="str">
        <f>IFERROR((('raw-PriceList'!AT84/'raw-PriceList'!AT85)-1),"")</f>
        <v/>
      </c>
      <c r="AQ84" s="6">
        <f>IFERROR((('raw-PriceList'!AU84/'raw-PriceList'!AU85)-1),"")</f>
        <v>-8.6398245848180455E-3</v>
      </c>
      <c r="AR84" s="6">
        <f>IFERROR((('raw-PriceList'!AV84/'raw-PriceList'!AV85)-1),"")</f>
        <v>-2.0770033214353001E-2</v>
      </c>
      <c r="AS84" s="6">
        <f>IFERROR((('raw-PriceList'!AW84/'raw-PriceList'!AW85)-1),"")</f>
        <v>-2.0302926262405485E-4</v>
      </c>
    </row>
    <row r="85" spans="1:45" x14ac:dyDescent="0.2">
      <c r="A85" s="2">
        <v>40999</v>
      </c>
      <c r="B85" s="6">
        <f>IFERROR((('raw-PriceList'!B85/'raw-PriceList'!B86)-1),"")</f>
        <v>-1.2408987583971354E-2</v>
      </c>
      <c r="C85" s="6">
        <f>IFERROR((('raw-PriceList'!C85/'raw-PriceList'!C86)-1),"")</f>
        <v>-3.2100376585284862E-2</v>
      </c>
      <c r="D85" s="6">
        <f>IFERROR((('raw-PriceList'!D85/'raw-PriceList'!D86)-1),"")</f>
        <v>-7.4513857918585558E-3</v>
      </c>
      <c r="E85" s="6" t="str">
        <f>IFERROR((('raw-PriceList'!F85/'raw-PriceList'!F86)-1),"")</f>
        <v/>
      </c>
      <c r="F85" s="6">
        <f>IFERROR((('raw-PriceList'!G85/'raw-PriceList'!G86)-1),"")</f>
        <v>-3.0818005410115923E-3</v>
      </c>
      <c r="G85" s="6">
        <f>IFERROR((('raw-PriceList'!H85/'raw-PriceList'!H86)-1),"")</f>
        <v>-7.3098021752687314E-2</v>
      </c>
      <c r="H85" s="6">
        <f>IFERROR((('raw-PriceList'!J85/'raw-PriceList'!J86)-1),"")</f>
        <v>2.9379323704643356E-2</v>
      </c>
      <c r="I85" s="6">
        <f>IFERROR((('raw-PriceList'!K85/'raw-PriceList'!K86)-1),"")</f>
        <v>3.4940795527625967E-2</v>
      </c>
      <c r="J85" s="6">
        <f>IFERROR((('raw-PriceList'!L85/'raw-PriceList'!L86)-1),"")</f>
        <v>2.5071957312256865E-2</v>
      </c>
      <c r="K85" s="6">
        <f>IFERROR((('raw-PriceList'!M85/'raw-PriceList'!M86)-1),"")</f>
        <v>2.3044789479853778E-2</v>
      </c>
      <c r="L85" s="6">
        <f>IFERROR((('raw-PriceList'!N85/'raw-PriceList'!N86)-1),"")</f>
        <v>2.248480575210654E-2</v>
      </c>
      <c r="M85" s="6">
        <f>IFERROR((('raw-PriceList'!O85/'raw-PriceList'!O86)-1),"")</f>
        <v>2.3722668879159192E-2</v>
      </c>
      <c r="N85" s="6">
        <f>IFERROR((('raw-PriceList'!P85/'raw-PriceList'!P86)-1),"")</f>
        <v>-1.0064481476188547E-2</v>
      </c>
      <c r="O85" s="6">
        <f>IFERROR((('raw-PriceList'!Q85/'raw-PriceList'!Q86)-1),"")</f>
        <v>-4.1245640432237995E-2</v>
      </c>
      <c r="P85" s="6">
        <f>IFERROR((('raw-PriceList'!R85/'raw-PriceList'!R86)-1),"")</f>
        <v>-2.8829358483377643E-3</v>
      </c>
      <c r="Q85" s="6">
        <f>IFERROR((('raw-PriceList'!S85/'raw-PriceList'!S86)-1),"")</f>
        <v>2.9696740166786917E-3</v>
      </c>
      <c r="R85" s="6">
        <f>IFERROR((('raw-PriceList'!T85/'raw-PriceList'!T86)-1),"")</f>
        <v>-8.9179277668244294E-3</v>
      </c>
      <c r="S85" s="6">
        <f>IFERROR((('raw-PriceList'!U85/'raw-PriceList'!U86)-1),"")</f>
        <v>-1.1296330275229471E-2</v>
      </c>
      <c r="T85" s="6">
        <f>IFERROR((('raw-PriceList'!V85/'raw-PriceList'!V86)-1),"")</f>
        <v>7.6593848958150801E-4</v>
      </c>
      <c r="U85" s="6">
        <f>IFERROR((('raw-PriceList'!W85/'raw-PriceList'!W86)-1),"")</f>
        <v>-4.5548272220686026E-2</v>
      </c>
      <c r="V85" s="6">
        <f>IFERROR((('raw-PriceList'!X85/'raw-PriceList'!X86)-1),"")</f>
        <v>-8.6714677682275809E-4</v>
      </c>
      <c r="W85" s="6">
        <f>IFERROR((('raw-PriceList'!Y85/'raw-PriceList'!Y86)-1),"")</f>
        <v>1.6250232580097723E-2</v>
      </c>
      <c r="X85" s="6" t="str">
        <f>IFERROR((('raw-PriceList'!Z85/'raw-PriceList'!Z86)-1),"")</f>
        <v/>
      </c>
      <c r="Y85" s="6">
        <f>IFERROR((('raw-PriceList'!AA85/'raw-PriceList'!AA86)-1),"")</f>
        <v>-4.903958525420693E-4</v>
      </c>
      <c r="Z85" s="6">
        <f>IFERROR((('raw-PriceList'!AB85/'raw-PriceList'!AB86)-1),"")</f>
        <v>-1.3244053116425514E-2</v>
      </c>
      <c r="AA85" s="6">
        <f>IFERROR((('raw-PriceList'!AC85/'raw-PriceList'!AC86)-1),"")</f>
        <v>1.9987421881559442E-2</v>
      </c>
      <c r="AB85" s="6">
        <f>IFERROR((('raw-PriceList'!AD85/'raw-PriceList'!AD86)-1),"")</f>
        <v>2.8438454209678943E-2</v>
      </c>
      <c r="AC85" s="6">
        <f>IFERROR((('raw-PriceList'!AE85/'raw-PriceList'!AE86)-1),"")</f>
        <v>2.8438454209678943E-2</v>
      </c>
      <c r="AD85" s="6">
        <f>IFERROR((('raw-PriceList'!AF85/'raw-PriceList'!AF86)-1),"")</f>
        <v>1.8770273610219324E-2</v>
      </c>
      <c r="AE85" s="6">
        <f>IFERROR((('raw-PriceList'!AG85/'raw-PriceList'!AG86)-1),"")</f>
        <v>1.0419276524182841E-2</v>
      </c>
      <c r="AF85" s="6">
        <f>IFERROR((('raw-PriceList'!AH85/'raw-PriceList'!AH86)-1),"")</f>
        <v>4.8408072601140439E-3</v>
      </c>
      <c r="AG85" s="6">
        <f>IFERROR((('raw-PriceList'!AJ85/'raw-PriceList'!AJ86)-1),"")</f>
        <v>-1.1317949814358519E-2</v>
      </c>
      <c r="AH85" s="6">
        <f>IFERROR((('raw-PriceList'!AK85/'raw-PriceList'!AK86)-1),"")</f>
        <v>1.1789478803000852E-2</v>
      </c>
      <c r="AI85" s="6" t="str">
        <f>IFERROR((('raw-PriceList'!AM85/'raw-PriceList'!AM86)-1),"")</f>
        <v/>
      </c>
      <c r="AJ85" s="6">
        <f>IFERROR((('raw-PriceList'!AN85/'raw-PriceList'!AN86)-1),"")</f>
        <v>2.6311125174438343E-2</v>
      </c>
      <c r="AK85" s="6" t="str">
        <f>IFERROR((('raw-PriceList'!AO85/'raw-PriceList'!AO86)-1),"")</f>
        <v/>
      </c>
      <c r="AL85" s="6">
        <f>IFERROR((('raw-PriceList'!AP85/'raw-PriceList'!AP86)-1),"")</f>
        <v>2.2302245236962559E-2</v>
      </c>
      <c r="AM85" s="6">
        <f>IFERROR((('raw-PriceList'!AQ85/'raw-PriceList'!AQ86)-1),"")</f>
        <v>3.1800729463361543E-2</v>
      </c>
      <c r="AN85" s="6">
        <f>IFERROR((('raw-PriceList'!AR85/'raw-PriceList'!AR86)-1),"")</f>
        <v>2.8502519731752329E-2</v>
      </c>
      <c r="AO85" s="6" t="str">
        <f>IFERROR((('raw-PriceList'!AS85/'raw-PriceList'!AS86)-1),"")</f>
        <v/>
      </c>
      <c r="AP85" s="6" t="str">
        <f>IFERROR((('raw-PriceList'!AT85/'raw-PriceList'!AT86)-1),"")</f>
        <v/>
      </c>
      <c r="AQ85" s="6">
        <f>IFERROR((('raw-PriceList'!AU85/'raw-PriceList'!AU86)-1),"")</f>
        <v>2.1349453437125243E-2</v>
      </c>
      <c r="AR85" s="6">
        <f>IFERROR((('raw-PriceList'!AV85/'raw-PriceList'!AV86)-1),"")</f>
        <v>-5.4291972243749598E-3</v>
      </c>
      <c r="AS85" s="6">
        <f>IFERROR((('raw-PriceList'!AW85/'raw-PriceList'!AW86)-1),"")</f>
        <v>2.0149383322826342E-2</v>
      </c>
    </row>
    <row r="86" spans="1:45" x14ac:dyDescent="0.2">
      <c r="A86" s="2">
        <v>40968</v>
      </c>
      <c r="B86" s="6">
        <f>IFERROR((('raw-PriceList'!B86/'raw-PriceList'!B87)-1),"")</f>
        <v>-2.6678156146837662E-3</v>
      </c>
      <c r="C86" s="6">
        <f>IFERROR((('raw-PriceList'!C86/'raw-PriceList'!C87)-1),"")</f>
        <v>-1.0707785874006781E-2</v>
      </c>
      <c r="D86" s="6">
        <f>IFERROR((('raw-PriceList'!D86/'raw-PriceList'!D87)-1),"")</f>
        <v>-1.8706032644969506E-3</v>
      </c>
      <c r="E86" s="6" t="str">
        <f>IFERROR((('raw-PriceList'!F86/'raw-PriceList'!F87)-1),"")</f>
        <v/>
      </c>
      <c r="F86" s="6">
        <f>IFERROR((('raw-PriceList'!G86/'raw-PriceList'!G87)-1),"")</f>
        <v>-1.3884083826956051E-3</v>
      </c>
      <c r="G86" s="6">
        <f>IFERROR((('raw-PriceList'!H86/'raw-PriceList'!H87)-1),"")</f>
        <v>-3.2818059700858715E-2</v>
      </c>
      <c r="H86" s="6">
        <f>IFERROR((('raw-PriceList'!J86/'raw-PriceList'!J87)-1),"")</f>
        <v>4.4080090863913179E-2</v>
      </c>
      <c r="I86" s="6">
        <f>IFERROR((('raw-PriceList'!K86/'raw-PriceList'!K87)-1),"")</f>
        <v>4.8343774110993332E-2</v>
      </c>
      <c r="J86" s="6">
        <f>IFERROR((('raw-PriceList'!L86/'raw-PriceList'!L87)-1),"")</f>
        <v>3.8875222326863135E-2</v>
      </c>
      <c r="K86" s="6">
        <f>IFERROR((('raw-PriceList'!M86/'raw-PriceList'!M87)-1),"")</f>
        <v>3.2767575695998863E-2</v>
      </c>
      <c r="L86" s="6">
        <f>IFERROR((('raw-PriceList'!N86/'raw-PriceList'!N87)-1),"")</f>
        <v>3.8749436887966837E-2</v>
      </c>
      <c r="M86" s="6">
        <f>IFERROR((('raw-PriceList'!O86/'raw-PriceList'!O87)-1),"")</f>
        <v>2.5520233395357694E-2</v>
      </c>
      <c r="N86" s="6">
        <f>IFERROR((('raw-PriceList'!P86/'raw-PriceList'!P87)-1),"")</f>
        <v>3.865975252774545E-3</v>
      </c>
      <c r="O86" s="6">
        <f>IFERROR((('raw-PriceList'!Q86/'raw-PriceList'!Q87)-1),"")</f>
        <v>9.3655353446777667E-3</v>
      </c>
      <c r="P86" s="6">
        <f>IFERROR((('raw-PriceList'!R86/'raw-PriceList'!R87)-1),"")</f>
        <v>7.1968819991923283E-3</v>
      </c>
      <c r="Q86" s="6">
        <f>IFERROR((('raw-PriceList'!S86/'raw-PriceList'!S87)-1),"")</f>
        <v>4.891201692126157E-2</v>
      </c>
      <c r="R86" s="6">
        <f>IFERROR((('raw-PriceList'!T86/'raw-PriceList'!T87)-1),"")</f>
        <v>5.3153196957266058E-2</v>
      </c>
      <c r="S86" s="6">
        <f>IFERROR((('raw-PriceList'!U86/'raw-PriceList'!U87)-1),"")</f>
        <v>-8.731499163257217E-3</v>
      </c>
      <c r="T86" s="6">
        <f>IFERROR((('raw-PriceList'!V86/'raw-PriceList'!V87)-1),"")</f>
        <v>5.4225586790418001E-2</v>
      </c>
      <c r="U86" s="6">
        <f>IFERROR((('raw-PriceList'!W86/'raw-PriceList'!W87)-1),"")</f>
        <v>-2.2833779788141162E-2</v>
      </c>
      <c r="V86" s="6">
        <f>IFERROR((('raw-PriceList'!X86/'raw-PriceList'!X87)-1),"")</f>
        <v>-9.7209064929815181E-4</v>
      </c>
      <c r="W86" s="6">
        <f>IFERROR((('raw-PriceList'!Y86/'raw-PriceList'!Y87)-1),"")</f>
        <v>2.7465999648324413E-2</v>
      </c>
      <c r="X86" s="6" t="str">
        <f>IFERROR((('raw-PriceList'!Z86/'raw-PriceList'!Z87)-1),"")</f>
        <v/>
      </c>
      <c r="Y86" s="6">
        <f>IFERROR((('raw-PriceList'!AA86/'raw-PriceList'!AA87)-1),"")</f>
        <v>-1.9590866852107203E-3</v>
      </c>
      <c r="Z86" s="6">
        <f>IFERROR((('raw-PriceList'!AB86/'raw-PriceList'!AB87)-1),"")</f>
        <v>6.9159064749283239E-2</v>
      </c>
      <c r="AA86" s="6">
        <f>IFERROR((('raw-PriceList'!AC86/'raw-PriceList'!AC87)-1),"")</f>
        <v>3.6243172376624555E-2</v>
      </c>
      <c r="AB86" s="6">
        <f>IFERROR((('raw-PriceList'!AD86/'raw-PriceList'!AD87)-1),"")</f>
        <v>4.2909431806744669E-2</v>
      </c>
      <c r="AC86" s="6">
        <f>IFERROR((('raw-PriceList'!AE86/'raw-PriceList'!AE87)-1),"")</f>
        <v>4.2909431806744669E-2</v>
      </c>
      <c r="AD86" s="6">
        <f>IFERROR((('raw-PriceList'!AF86/'raw-PriceList'!AF87)-1),"")</f>
        <v>5.0990081628252248E-2</v>
      </c>
      <c r="AE86" s="6">
        <f>IFERROR((('raw-PriceList'!AG86/'raw-PriceList'!AG87)-1),"")</f>
        <v>4.585823920954879E-2</v>
      </c>
      <c r="AF86" s="6">
        <f>IFERROR((('raw-PriceList'!AH86/'raw-PriceList'!AH87)-1),"")</f>
        <v>4.1775136458182649E-2</v>
      </c>
      <c r="AG86" s="6">
        <f>IFERROR((('raw-PriceList'!AJ86/'raw-PriceList'!AJ87)-1),"")</f>
        <v>6.4265089057464975E-2</v>
      </c>
      <c r="AH86" s="6">
        <f>IFERROR((('raw-PriceList'!AK86/'raw-PriceList'!AK87)-1),"")</f>
        <v>4.7686350086983964E-2</v>
      </c>
      <c r="AI86" s="6" t="str">
        <f>IFERROR((('raw-PriceList'!AM86/'raw-PriceList'!AM87)-1),"")</f>
        <v/>
      </c>
      <c r="AJ86" s="6">
        <f>IFERROR((('raw-PriceList'!AN86/'raw-PriceList'!AN87)-1),"")</f>
        <v>4.2129238443642247E-2</v>
      </c>
      <c r="AK86" s="6" t="str">
        <f>IFERROR((('raw-PriceList'!AO86/'raw-PriceList'!AO87)-1),"")</f>
        <v/>
      </c>
      <c r="AL86" s="6">
        <f>IFERROR((('raw-PriceList'!AP86/'raw-PriceList'!AP87)-1),"")</f>
        <v>3.8800438867421461E-2</v>
      </c>
      <c r="AM86" s="6">
        <f>IFERROR((('raw-PriceList'!AQ86/'raw-PriceList'!AQ87)-1),"")</f>
        <v>4.7816180975777334E-2</v>
      </c>
      <c r="AN86" s="6">
        <f>IFERROR((('raw-PriceList'!AR86/'raw-PriceList'!AR87)-1),"")</f>
        <v>4.2436811932693663E-2</v>
      </c>
      <c r="AO86" s="6" t="str">
        <f>IFERROR((('raw-PriceList'!AS86/'raw-PriceList'!AS87)-1),"")</f>
        <v/>
      </c>
      <c r="AP86" s="6" t="str">
        <f>IFERROR((('raw-PriceList'!AT86/'raw-PriceList'!AT87)-1),"")</f>
        <v/>
      </c>
      <c r="AQ86" s="6">
        <f>IFERROR((('raw-PriceList'!AU86/'raw-PriceList'!AU87)-1),"")</f>
        <v>4.1712841253429112E-2</v>
      </c>
      <c r="AR86" s="6">
        <f>IFERROR((('raw-PriceList'!AV86/'raw-PriceList'!AV87)-1),"")</f>
        <v>4.5463335655920645E-2</v>
      </c>
      <c r="AS86" s="6">
        <f>IFERROR((('raw-PriceList'!AW86/'raw-PriceList'!AW87)-1),"")</f>
        <v>3.1274264450026124E-2</v>
      </c>
    </row>
    <row r="87" spans="1:45" x14ac:dyDescent="0.2">
      <c r="A87" s="2">
        <v>40939</v>
      </c>
      <c r="B87" s="6">
        <f>IFERROR((('raw-PriceList'!B87/'raw-PriceList'!B88)-1),"")</f>
        <v>1.5180659914008743E-2</v>
      </c>
      <c r="C87" s="6">
        <f>IFERROR((('raw-PriceList'!C87/'raw-PriceList'!C88)-1),"")</f>
        <v>9.2288633107631135E-3</v>
      </c>
      <c r="D87" s="6">
        <f>IFERROR((('raw-PriceList'!D87/'raw-PriceList'!D88)-1),"")</f>
        <v>6.2377704710658843E-3</v>
      </c>
      <c r="E87" s="6" t="str">
        <f>IFERROR((('raw-PriceList'!F87/'raw-PriceList'!F88)-1),"")</f>
        <v/>
      </c>
      <c r="F87" s="6">
        <f>IFERROR((('raw-PriceList'!G87/'raw-PriceList'!G88)-1),"")</f>
        <v>5.7412488474828383E-3</v>
      </c>
      <c r="G87" s="6">
        <f>IFERROR((('raw-PriceList'!H87/'raw-PriceList'!H88)-1),"")</f>
        <v>-1.5274330395013802E-2</v>
      </c>
      <c r="H87" s="6">
        <f>IFERROR((('raw-PriceList'!J87/'raw-PriceList'!J88)-1),"")</f>
        <v>4.3869553712643672E-2</v>
      </c>
      <c r="I87" s="6">
        <f>IFERROR((('raw-PriceList'!K87/'raw-PriceList'!K88)-1),"")</f>
        <v>5.9414346526401873E-2</v>
      </c>
      <c r="J87" s="6">
        <f>IFERROR((('raw-PriceList'!L87/'raw-PriceList'!L88)-1),"")</f>
        <v>3.0960164253406752E-2</v>
      </c>
      <c r="K87" s="6">
        <f>IFERROR((('raw-PriceList'!M87/'raw-PriceList'!M88)-1),"")</f>
        <v>6.9480064714336986E-2</v>
      </c>
      <c r="L87" s="6">
        <f>IFERROR((('raw-PriceList'!N87/'raw-PriceList'!N88)-1),"")</f>
        <v>7.2204352836539032E-2</v>
      </c>
      <c r="M87" s="6">
        <f>IFERROR((('raw-PriceList'!O87/'raw-PriceList'!O88)-1),"")</f>
        <v>6.9755403297087071E-2</v>
      </c>
      <c r="N87" s="6">
        <f>IFERROR((('raw-PriceList'!P87/'raw-PriceList'!P88)-1),"")</f>
        <v>2.3107473662843603E-2</v>
      </c>
      <c r="O87" s="6">
        <f>IFERROR((('raw-PriceList'!Q87/'raw-PriceList'!Q88)-1),"")</f>
        <v>1.2715243183595737E-2</v>
      </c>
      <c r="P87" s="6">
        <f>IFERROR((('raw-PriceList'!R87/'raw-PriceList'!R88)-1),"")</f>
        <v>1.0670420821897064E-2</v>
      </c>
      <c r="Q87" s="6">
        <f>IFERROR((('raw-PriceList'!S87/'raw-PriceList'!S88)-1),"")</f>
        <v>5.6108046834137948E-2</v>
      </c>
      <c r="R87" s="6">
        <f>IFERROR((('raw-PriceList'!T87/'raw-PriceList'!T88)-1),"")</f>
        <v>6.8556922692782463E-2</v>
      </c>
      <c r="S87" s="6">
        <f>IFERROR((('raw-PriceList'!U87/'raw-PriceList'!U88)-1),"")</f>
        <v>5.2128525596439879E-3</v>
      </c>
      <c r="T87" s="6">
        <f>IFERROR((('raw-PriceList'!V87/'raw-PriceList'!V88)-1),"")</f>
        <v>5.4632842657336145E-2</v>
      </c>
      <c r="U87" s="6">
        <f>IFERROR((('raw-PriceList'!W87/'raw-PriceList'!W88)-1),"")</f>
        <v>-2.0050491024015127E-4</v>
      </c>
      <c r="V87" s="6">
        <f>IFERROR((('raw-PriceList'!X87/'raw-PriceList'!X88)-1),"")</f>
        <v>-6.3960031212562107E-5</v>
      </c>
      <c r="W87" s="6">
        <f>IFERROR((('raw-PriceList'!Y87/'raw-PriceList'!Y88)-1),"")</f>
        <v>2.6173129778983117E-2</v>
      </c>
      <c r="X87" s="6" t="str">
        <f>IFERROR((('raw-PriceList'!Z87/'raw-PriceList'!Z88)-1),"")</f>
        <v/>
      </c>
      <c r="Y87" s="6">
        <f>IFERROR((('raw-PriceList'!AA87/'raw-PriceList'!AA88)-1),"")</f>
        <v>2.2346528077332728E-3</v>
      </c>
      <c r="Z87" s="6">
        <f>IFERROR((('raw-PriceList'!AB87/'raw-PriceList'!AB88)-1),"")</f>
        <v>9.4810635478670857E-2</v>
      </c>
      <c r="AA87" s="6">
        <f>IFERROR((('raw-PriceList'!AC87/'raw-PriceList'!AC88)-1),"")</f>
        <v>5.2268970118495961E-2</v>
      </c>
      <c r="AB87" s="6">
        <f>IFERROR((('raw-PriceList'!AD87/'raw-PriceList'!AD88)-1),"")</f>
        <v>4.4749164333741653E-2</v>
      </c>
      <c r="AC87" s="6">
        <f>IFERROR((('raw-PriceList'!AE87/'raw-PriceList'!AE88)-1),"")</f>
        <v>4.4749164333741653E-2</v>
      </c>
      <c r="AD87" s="6">
        <f>IFERROR((('raw-PriceList'!AF87/'raw-PriceList'!AF88)-1),"")</f>
        <v>8.1110378622146317E-2</v>
      </c>
      <c r="AE87" s="6">
        <f>IFERROR((('raw-PriceList'!AG87/'raw-PriceList'!AG88)-1),"")</f>
        <v>-1.0508971614710538E-2</v>
      </c>
      <c r="AF87" s="6">
        <f>IFERROR((('raw-PriceList'!AH87/'raw-PriceList'!AH88)-1),"")</f>
        <v>6.646482770502371E-2</v>
      </c>
      <c r="AG87" s="6">
        <f>IFERROR((('raw-PriceList'!AJ87/'raw-PriceList'!AJ88)-1),"")</f>
        <v>9.0121260181777352E-2</v>
      </c>
      <c r="AH87" s="6">
        <f>IFERROR((('raw-PriceList'!AK87/'raw-PriceList'!AK88)-1),"")</f>
        <v>5.459553697893349E-2</v>
      </c>
      <c r="AI87" s="6" t="str">
        <f>IFERROR((('raw-PriceList'!AM87/'raw-PriceList'!AM88)-1),"")</f>
        <v/>
      </c>
      <c r="AJ87" s="6">
        <f>IFERROR((('raw-PriceList'!AN87/'raw-PriceList'!AN88)-1),"")</f>
        <v>5.0684642008575587E-2</v>
      </c>
      <c r="AK87" s="6" t="str">
        <f>IFERROR((('raw-PriceList'!AO87/'raw-PriceList'!AO88)-1),"")</f>
        <v/>
      </c>
      <c r="AL87" s="6">
        <f>IFERROR((('raw-PriceList'!AP87/'raw-PriceList'!AP88)-1),"")</f>
        <v>3.4814523233942962E-2</v>
      </c>
      <c r="AM87" s="6">
        <f>IFERROR((('raw-PriceList'!AQ87/'raw-PriceList'!AQ88)-1),"")</f>
        <v>6.2920850171388265E-2</v>
      </c>
      <c r="AN87" s="6">
        <f>IFERROR((('raw-PriceList'!AR87/'raw-PriceList'!AR88)-1),"")</f>
        <v>4.8672381036817258E-2</v>
      </c>
      <c r="AO87" s="6" t="str">
        <f>IFERROR((('raw-PriceList'!AS87/'raw-PriceList'!AS88)-1),"")</f>
        <v/>
      </c>
      <c r="AP87" s="6" t="str">
        <f>IFERROR((('raw-PriceList'!AT87/'raw-PriceList'!AT88)-1),"")</f>
        <v/>
      </c>
      <c r="AQ87" s="6">
        <f>IFERROR((('raw-PriceList'!AU87/'raw-PriceList'!AU88)-1),"")</f>
        <v>7.5876865909160207E-2</v>
      </c>
      <c r="AR87" s="6">
        <f>IFERROR((('raw-PriceList'!AV87/'raw-PriceList'!AV88)-1),"")</f>
        <v>7.3345443521375397E-2</v>
      </c>
      <c r="AS87" s="6">
        <f>IFERROR((('raw-PriceList'!AW87/'raw-PriceList'!AW88)-1),"")</f>
        <v>1.7873808854644402E-2</v>
      </c>
    </row>
    <row r="88" spans="1:45" x14ac:dyDescent="0.2">
      <c r="A88" s="2">
        <v>40908</v>
      </c>
      <c r="B88" s="6">
        <f>IFERROR((('raw-PriceList'!B88/'raw-PriceList'!B89)-1),"")</f>
        <v>8.6046932346883764E-4</v>
      </c>
      <c r="C88" s="6">
        <f>IFERROR((('raw-PriceList'!C88/'raw-PriceList'!C89)-1),"")</f>
        <v>2.0542780460382604E-2</v>
      </c>
      <c r="D88" s="6">
        <f>IFERROR((('raw-PriceList'!D88/'raw-PriceList'!D89)-1),"")</f>
        <v>2.1690977347550433E-3</v>
      </c>
      <c r="E88" s="6" t="str">
        <f>IFERROR((('raw-PriceList'!F88/'raw-PriceList'!F89)-1),"")</f>
        <v/>
      </c>
      <c r="F88" s="6">
        <f>IFERROR((('raw-PriceList'!G88/'raw-PriceList'!G89)-1),"")</f>
        <v>-5.0077739940607158E-3</v>
      </c>
      <c r="G88" s="6">
        <f>IFERROR((('raw-PriceList'!H88/'raw-PriceList'!H89)-1),"")</f>
        <v>2.3455870467633533E-2</v>
      </c>
      <c r="H88" s="6">
        <f>IFERROR((('raw-PriceList'!J88/'raw-PriceList'!J89)-1),"")</f>
        <v>5.1965092957750869E-3</v>
      </c>
      <c r="I88" s="6">
        <f>IFERROR((('raw-PriceList'!K88/'raw-PriceList'!K89)-1),"")</f>
        <v>-7.701407010436534E-3</v>
      </c>
      <c r="J88" s="6">
        <f>IFERROR((('raw-PriceList'!L88/'raw-PriceList'!L89)-1),"")</f>
        <v>1.8363604598903072E-2</v>
      </c>
      <c r="K88" s="6">
        <f>IFERROR((('raw-PriceList'!M88/'raw-PriceList'!M89)-1),"")</f>
        <v>-1.1019217263923187E-2</v>
      </c>
      <c r="L88" s="6">
        <f>IFERROR((('raw-PriceList'!N88/'raw-PriceList'!N89)-1),"")</f>
        <v>-1.1360363999854961E-2</v>
      </c>
      <c r="M88" s="6">
        <f>IFERROR((('raw-PriceList'!O88/'raw-PriceList'!O89)-1),"")</f>
        <v>-1.3247122848681014E-2</v>
      </c>
      <c r="N88" s="6">
        <f>IFERROR((('raw-PriceList'!P88/'raw-PriceList'!P89)-1),"")</f>
        <v>2.1474061827401192E-2</v>
      </c>
      <c r="O88" s="6">
        <f>IFERROR((('raw-PriceList'!Q88/'raw-PriceList'!Q89)-1),"")</f>
        <v>3.9315834031642405E-2</v>
      </c>
      <c r="P88" s="6">
        <f>IFERROR((('raw-PriceList'!R88/'raw-PriceList'!R89)-1),"")</f>
        <v>7.7215879883647531E-3</v>
      </c>
      <c r="Q88" s="6">
        <f>IFERROR((('raw-PriceList'!S88/'raw-PriceList'!S89)-1),"")</f>
        <v>-5.4173960813716504E-2</v>
      </c>
      <c r="R88" s="6">
        <f>IFERROR((('raw-PriceList'!T88/'raw-PriceList'!T89)-1),"")</f>
        <v>-5.7288423409253997E-2</v>
      </c>
      <c r="S88" s="6">
        <f>IFERROR((('raw-PriceList'!U88/'raw-PriceList'!U89)-1),"")</f>
        <v>6.6240268899604438E-3</v>
      </c>
      <c r="T88" s="6">
        <f>IFERROR((('raw-PriceList'!V88/'raw-PriceList'!V89)-1),"")</f>
        <v>-6.6859172599888828E-2</v>
      </c>
      <c r="U88" s="6">
        <f>IFERROR((('raw-PriceList'!W88/'raw-PriceList'!W89)-1),"")</f>
        <v>2.6047345746016415E-2</v>
      </c>
      <c r="V88" s="6">
        <f>IFERROR((('raw-PriceList'!X88/'raw-PriceList'!X89)-1),"")</f>
        <v>-1.5923611203214616E-3</v>
      </c>
      <c r="W88" s="6">
        <f>IFERROR((('raw-PriceList'!Y88/'raw-PriceList'!Y89)-1),"")</f>
        <v>3.8420084699073431E-3</v>
      </c>
      <c r="X88" s="6" t="str">
        <f>IFERROR((('raw-PriceList'!Z88/'raw-PriceList'!Z89)-1),"")</f>
        <v/>
      </c>
      <c r="Y88" s="6">
        <f>IFERROR((('raw-PriceList'!AA88/'raw-PriceList'!AA89)-1),"")</f>
        <v>1.2971004661339602E-3</v>
      </c>
      <c r="Z88" s="6">
        <f>IFERROR((('raw-PriceList'!AB88/'raw-PriceList'!AB89)-1),"")</f>
        <v>-7.678926655552154E-2</v>
      </c>
      <c r="AA88" s="6">
        <f>IFERROR((('raw-PriceList'!AC88/'raw-PriceList'!AC89)-1),"")</f>
        <v>-1.0643064859521711E-2</v>
      </c>
      <c r="AB88" s="6">
        <f>IFERROR((('raw-PriceList'!AD88/'raw-PriceList'!AD89)-1),"")</f>
        <v>5.0762815765026392E-3</v>
      </c>
      <c r="AC88" s="6">
        <f>IFERROR((('raw-PriceList'!AE88/'raw-PriceList'!AE89)-1),"")</f>
        <v>5.0762815765026392E-3</v>
      </c>
      <c r="AD88" s="6">
        <f>IFERROR((('raw-PriceList'!AF88/'raw-PriceList'!AF89)-1),"")</f>
        <v>-2.406998708993846E-2</v>
      </c>
      <c r="AE88" s="6">
        <f>IFERROR((('raw-PriceList'!AG88/'raw-PriceList'!AG89)-1),"")</f>
        <v>-1.762415105024695E-2</v>
      </c>
      <c r="AF88" s="6">
        <f>IFERROR((('raw-PriceList'!AH88/'raw-PriceList'!AH89)-1),"")</f>
        <v>-6.3591243472336356E-2</v>
      </c>
      <c r="AG88" s="6">
        <f>IFERROR((('raw-PriceList'!AJ88/'raw-PriceList'!AJ89)-1),"")</f>
        <v>-6.9113905517178442E-2</v>
      </c>
      <c r="AH88" s="6">
        <f>IFERROR((('raw-PriceList'!AK88/'raw-PriceList'!AK89)-1),"")</f>
        <v>-3.3420411123571969E-2</v>
      </c>
      <c r="AI88" s="6" t="str">
        <f>IFERROR((('raw-PriceList'!AM88/'raw-PriceList'!AM89)-1),"")</f>
        <v/>
      </c>
      <c r="AJ88" s="6">
        <f>IFERROR((('raw-PriceList'!AN88/'raw-PriceList'!AN89)-1),"")</f>
        <v>4.058179469868195E-3</v>
      </c>
      <c r="AK88" s="6" t="str">
        <f>IFERROR((('raw-PriceList'!AO88/'raw-PriceList'!AO89)-1),"")</f>
        <v/>
      </c>
      <c r="AL88" s="6">
        <f>IFERROR((('raw-PriceList'!AP88/'raw-PriceList'!AP89)-1),"")</f>
        <v>1.7325749126502199E-2</v>
      </c>
      <c r="AM88" s="6">
        <f>IFERROR((('raw-PriceList'!AQ88/'raw-PriceList'!AQ89)-1),"")</f>
        <v>-8.6919630882905663E-3</v>
      </c>
      <c r="AN88" s="6">
        <f>IFERROR((('raw-PriceList'!AR88/'raw-PriceList'!AR89)-1),"")</f>
        <v>3.5004146310921858E-3</v>
      </c>
      <c r="AO88" s="6" t="str">
        <f>IFERROR((('raw-PriceList'!AS88/'raw-PriceList'!AS89)-1),"")</f>
        <v/>
      </c>
      <c r="AP88" s="6" t="str">
        <f>IFERROR((('raw-PriceList'!AT88/'raw-PriceList'!AT89)-1),"")</f>
        <v/>
      </c>
      <c r="AQ88" s="6">
        <f>IFERROR((('raw-PriceList'!AU88/'raw-PriceList'!AU89)-1),"")</f>
        <v>-1.1359388897449363E-2</v>
      </c>
      <c r="AR88" s="6">
        <f>IFERROR((('raw-PriceList'!AV88/'raw-PriceList'!AV89)-1),"")</f>
        <v>-5.9704625199802019E-2</v>
      </c>
      <c r="AS88" s="6">
        <f>IFERROR((('raw-PriceList'!AW88/'raw-PriceList'!AW89)-1),"")</f>
        <v>2.3331638293018431E-2</v>
      </c>
    </row>
    <row r="89" spans="1:45" x14ac:dyDescent="0.2">
      <c r="A89" s="2">
        <v>40877</v>
      </c>
      <c r="B89" s="6">
        <f>IFERROR((('raw-PriceList'!B89/'raw-PriceList'!B90)-1),"")</f>
        <v>-9.1372739428391414E-3</v>
      </c>
      <c r="C89" s="6">
        <f>IFERROR((('raw-PriceList'!C89/'raw-PriceList'!C90)-1),"")</f>
        <v>-1.2251205256608277E-2</v>
      </c>
      <c r="D89" s="6">
        <f>IFERROR((('raw-PriceList'!D89/'raw-PriceList'!D90)-1),"")</f>
        <v>-3.021128163717024E-3</v>
      </c>
      <c r="E89" s="6" t="str">
        <f>IFERROR((('raw-PriceList'!F89/'raw-PriceList'!F90)-1),"")</f>
        <v/>
      </c>
      <c r="F89" s="6">
        <f>IFERROR((('raw-PriceList'!G89/'raw-PriceList'!G90)-1),"")</f>
        <v>-2.7760915664697405E-3</v>
      </c>
      <c r="G89" s="6">
        <f>IFERROR((('raw-PriceList'!H89/'raw-PriceList'!H90)-1),"")</f>
        <v>3.4584844246859037E-2</v>
      </c>
      <c r="H89" s="6">
        <f>IFERROR((('raw-PriceList'!J89/'raw-PriceList'!J90)-1),"")</f>
        <v>-1.9483059745484255E-3</v>
      </c>
      <c r="I89" s="6">
        <f>IFERROR((('raw-PriceList'!K89/'raw-PriceList'!K90)-1),"")</f>
        <v>-1.2016862764170355E-3</v>
      </c>
      <c r="J89" s="6">
        <f>IFERROR((('raw-PriceList'!L89/'raw-PriceList'!L90)-1),"")</f>
        <v>-1.1045810769105047E-2</v>
      </c>
      <c r="K89" s="6">
        <f>IFERROR((('raw-PriceList'!M89/'raw-PriceList'!M90)-1),"")</f>
        <v>-4.727103283328371E-3</v>
      </c>
      <c r="L89" s="6">
        <f>IFERROR((('raw-PriceList'!N89/'raw-PriceList'!N90)-1),"")</f>
        <v>-6.5980858142182797E-3</v>
      </c>
      <c r="M89" s="6">
        <f>IFERROR((('raw-PriceList'!O89/'raw-PriceList'!O90)-1),"")</f>
        <v>-1.5050973321429906E-3</v>
      </c>
      <c r="N89" s="6">
        <f>IFERROR((('raw-PriceList'!P89/'raw-PriceList'!P90)-1),"")</f>
        <v>-1.9838029958878511E-2</v>
      </c>
      <c r="O89" s="6">
        <f>IFERROR((('raw-PriceList'!Q89/'raw-PriceList'!Q90)-1),"")</f>
        <v>-3.6695818685542614E-2</v>
      </c>
      <c r="P89" s="6">
        <f>IFERROR((('raw-PriceList'!R89/'raw-PriceList'!R90)-1),"")</f>
        <v>-1.0371182464905648E-2</v>
      </c>
      <c r="Q89" s="6">
        <f>IFERROR((('raw-PriceList'!S89/'raw-PriceList'!S90)-1),"")</f>
        <v>-2.0939736430213296E-2</v>
      </c>
      <c r="R89" s="6">
        <f>IFERROR((('raw-PriceList'!T89/'raw-PriceList'!T90)-1),"")</f>
        <v>-2.5749808374003758E-2</v>
      </c>
      <c r="S89" s="6">
        <f>IFERROR((('raw-PriceList'!U89/'raw-PriceList'!U90)-1),"")</f>
        <v>4.8745687419144978E-3</v>
      </c>
      <c r="T89" s="6">
        <f>IFERROR((('raw-PriceList'!V89/'raw-PriceList'!V90)-1),"")</f>
        <v>-2.8599459872339361E-2</v>
      </c>
      <c r="U89" s="6">
        <f>IFERROR((('raw-PriceList'!W89/'raw-PriceList'!W90)-1),"")</f>
        <v>1.9088306317227577E-2</v>
      </c>
      <c r="V89" s="6">
        <f>IFERROR((('raw-PriceList'!X89/'raw-PriceList'!X90)-1),"")</f>
        <v>1.1430283865698776E-4</v>
      </c>
      <c r="W89" s="6">
        <f>IFERROR((('raw-PriceList'!Y89/'raw-PriceList'!Y90)-1),"")</f>
        <v>1.8161158609234951E-2</v>
      </c>
      <c r="X89" s="6" t="str">
        <f>IFERROR((('raw-PriceList'!Z89/'raw-PriceList'!Z90)-1),"")</f>
        <v/>
      </c>
      <c r="Y89" s="6">
        <f>IFERROR((('raw-PriceList'!AA89/'raw-PriceList'!AA90)-1),"")</f>
        <v>7.4125304984695717E-4</v>
      </c>
      <c r="Z89" s="6">
        <f>IFERROR((('raw-PriceList'!AB89/'raw-PriceList'!AB90)-1),"")</f>
        <v>-3.0888725147103835E-2</v>
      </c>
      <c r="AA89" s="6">
        <f>IFERROR((('raw-PriceList'!AC89/'raw-PriceList'!AC90)-1),"")</f>
        <v>1.5573557633479229E-3</v>
      </c>
      <c r="AB89" s="6">
        <f>IFERROR((('raw-PriceList'!AD89/'raw-PriceList'!AD90)-1),"")</f>
        <v>-3.1103922369968284E-3</v>
      </c>
      <c r="AC89" s="6">
        <f>IFERROR((('raw-PriceList'!AE89/'raw-PriceList'!AE90)-1),"")</f>
        <v>-3.1103922369968284E-3</v>
      </c>
      <c r="AD89" s="6">
        <f>IFERROR((('raw-PriceList'!AF89/'raw-PriceList'!AF90)-1),"")</f>
        <v>-1.6060013122064176E-2</v>
      </c>
      <c r="AE89" s="6">
        <f>IFERROR((('raw-PriceList'!AG89/'raw-PriceList'!AG90)-1),"")</f>
        <v>8.7281990731558068E-4</v>
      </c>
      <c r="AF89" s="6">
        <f>IFERROR((('raw-PriceList'!AH89/'raw-PriceList'!AH90)-1),"")</f>
        <v>-5.1537230858843541E-3</v>
      </c>
      <c r="AG89" s="6">
        <f>IFERROR((('raw-PriceList'!AJ89/'raw-PriceList'!AJ90)-1),"")</f>
        <v>-2.8414309496027745E-2</v>
      </c>
      <c r="AH89" s="6">
        <f>IFERROR((('raw-PriceList'!AK89/'raw-PriceList'!AK90)-1),"")</f>
        <v>-1.3327773376390684E-2</v>
      </c>
      <c r="AI89" s="6" t="str">
        <f>IFERROR((('raw-PriceList'!AM89/'raw-PriceList'!AM90)-1),"")</f>
        <v/>
      </c>
      <c r="AJ89" s="6">
        <f>IFERROR((('raw-PriceList'!AN89/'raw-PriceList'!AN90)-1),"")</f>
        <v>-3.5964580248061262E-3</v>
      </c>
      <c r="AK89" s="6" t="str">
        <f>IFERROR((('raw-PriceList'!AO89/'raw-PriceList'!AO90)-1),"")</f>
        <v/>
      </c>
      <c r="AL89" s="6">
        <f>IFERROR((('raw-PriceList'!AP89/'raw-PriceList'!AP90)-1),"")</f>
        <v>-5.4880742815769379E-3</v>
      </c>
      <c r="AM89" s="6">
        <f>IFERROR((('raw-PriceList'!AQ89/'raw-PriceList'!AQ90)-1),"")</f>
        <v>-2.1578107318729334E-3</v>
      </c>
      <c r="AN89" s="6">
        <f>IFERROR((('raw-PriceList'!AR89/'raw-PriceList'!AR90)-1),"")</f>
        <v>-4.4134413980174703E-3</v>
      </c>
      <c r="AO89" s="6" t="str">
        <f>IFERROR((('raw-PriceList'!AS89/'raw-PriceList'!AS90)-1),"")</f>
        <v/>
      </c>
      <c r="AP89" s="6" t="str">
        <f>IFERROR((('raw-PriceList'!AT89/'raw-PriceList'!AT90)-1),"")</f>
        <v/>
      </c>
      <c r="AQ89" s="6">
        <f>IFERROR((('raw-PriceList'!AU89/'raw-PriceList'!AU90)-1),"")</f>
        <v>-5.7418860758077228E-3</v>
      </c>
      <c r="AR89" s="6">
        <f>IFERROR((('raw-PriceList'!AV89/'raw-PriceList'!AV90)-1),"")</f>
        <v>-2.1279740911763212E-2</v>
      </c>
      <c r="AS89" s="6">
        <f>IFERROR((('raw-PriceList'!AW89/'raw-PriceList'!AW90)-1),"")</f>
        <v>1.246932973890158E-2</v>
      </c>
    </row>
    <row r="90" spans="1:45" x14ac:dyDescent="0.2">
      <c r="A90" s="2">
        <v>40847</v>
      </c>
      <c r="B90" s="6">
        <f>IFERROR((('raw-PriceList'!B90/'raw-PriceList'!B91)-1),"")</f>
        <v>6.8796360376977006E-4</v>
      </c>
      <c r="C90" s="6">
        <f>IFERROR((('raw-PriceList'!C90/'raw-PriceList'!C91)-1),"")</f>
        <v>-5.5065360491953763E-3</v>
      </c>
      <c r="D90" s="6">
        <f>IFERROR((('raw-PriceList'!D90/'raw-PriceList'!D91)-1),"")</f>
        <v>-1.4875978381885258E-3</v>
      </c>
      <c r="E90" s="6" t="str">
        <f>IFERROR((('raw-PriceList'!F90/'raw-PriceList'!F91)-1),"")</f>
        <v/>
      </c>
      <c r="F90" s="6">
        <f>IFERROR((('raw-PriceList'!G90/'raw-PriceList'!G91)-1),"")</f>
        <v>7.6324326555132771E-4</v>
      </c>
      <c r="G90" s="6">
        <f>IFERROR((('raw-PriceList'!H90/'raw-PriceList'!H91)-1),"")</f>
        <v>-6.6733097995610113E-2</v>
      </c>
      <c r="H90" s="6">
        <f>IFERROR((('raw-PriceList'!J90/'raw-PriceList'!J91)-1),"")</f>
        <v>0.10531822756173304</v>
      </c>
      <c r="I90" s="6">
        <f>IFERROR((('raw-PriceList'!K90/'raw-PriceList'!K91)-1),"")</f>
        <v>0.11471685994008252</v>
      </c>
      <c r="J90" s="6">
        <f>IFERROR((('raw-PriceList'!L90/'raw-PriceList'!L91)-1),"")</f>
        <v>0.10441199048074878</v>
      </c>
      <c r="K90" s="6">
        <f>IFERROR((('raw-PriceList'!M90/'raw-PriceList'!M91)-1),"")</f>
        <v>0.15327087240264614</v>
      </c>
      <c r="L90" s="6">
        <f>IFERROR((('raw-PriceList'!N90/'raw-PriceList'!N91)-1),"")</f>
        <v>0.16272902365696629</v>
      </c>
      <c r="M90" s="6">
        <f>IFERROR((('raw-PriceList'!O90/'raw-PriceList'!O91)-1),"")</f>
        <v>0.14444296899431519</v>
      </c>
      <c r="N90" s="6">
        <f>IFERROR((('raw-PriceList'!P90/'raw-PriceList'!P91)-1),"")</f>
        <v>1.6257497253091779E-2</v>
      </c>
      <c r="O90" s="6">
        <f>IFERROR((('raw-PriceList'!Q90/'raw-PriceList'!Q91)-1),"")</f>
        <v>2.9879373023693923E-2</v>
      </c>
      <c r="P90" s="6">
        <f>IFERROR((('raw-PriceList'!R90/'raw-PriceList'!R91)-1),"")</f>
        <v>5.9762932422857684E-3</v>
      </c>
      <c r="Q90" s="6">
        <f>IFERROR((('raw-PriceList'!S90/'raw-PriceList'!S91)-1),"")</f>
        <v>9.8046773072318905E-2</v>
      </c>
      <c r="R90" s="6">
        <f>IFERROR((('raw-PriceList'!T90/'raw-PriceList'!T91)-1),"")</f>
        <v>0.11497194234589192</v>
      </c>
      <c r="S90" s="6">
        <f>IFERROR((('raw-PriceList'!U90/'raw-PriceList'!U91)-1),"")</f>
        <v>-6.4516741523277243E-3</v>
      </c>
      <c r="T90" s="6">
        <f>IFERROR((('raw-PriceList'!V90/'raw-PriceList'!V91)-1),"")</f>
        <v>0.12401079742675747</v>
      </c>
      <c r="U90" s="6">
        <f>IFERROR((('raw-PriceList'!W90/'raw-PriceList'!W91)-1),"")</f>
        <v>-4.0059024392329889E-2</v>
      </c>
      <c r="V90" s="6">
        <f>IFERROR((('raw-PriceList'!X90/'raw-PriceList'!X91)-1),"")</f>
        <v>-2.3559173965270741E-4</v>
      </c>
      <c r="W90" s="6">
        <f>IFERROR((('raw-PriceList'!Y90/'raw-PriceList'!Y91)-1),"")</f>
        <v>9.6383054162624271E-2</v>
      </c>
      <c r="X90" s="6" t="str">
        <f>IFERROR((('raw-PriceList'!Z90/'raw-PriceList'!Z91)-1),"")</f>
        <v/>
      </c>
      <c r="Y90" s="6">
        <f>IFERROR((('raw-PriceList'!AA90/'raw-PriceList'!AA91)-1),"")</f>
        <v>-1.2696022086681191E-3</v>
      </c>
      <c r="Z90" s="6">
        <f>IFERROR((('raw-PriceList'!AB90/'raw-PriceList'!AB91)-1),"")</f>
        <v>0.10964302475224841</v>
      </c>
      <c r="AA90" s="6">
        <f>IFERROR((('raw-PriceList'!AC90/'raw-PriceList'!AC91)-1),"")</f>
        <v>0.12379838572012369</v>
      </c>
      <c r="AB90" s="6">
        <f>IFERROR((('raw-PriceList'!AD90/'raw-PriceList'!AD91)-1),"")</f>
        <v>0.10770198324257119</v>
      </c>
      <c r="AC90" s="6">
        <f>IFERROR((('raw-PriceList'!AE90/'raw-PriceList'!AE91)-1),"")</f>
        <v>0.10770198324257119</v>
      </c>
      <c r="AD90" s="6">
        <f>IFERROR((('raw-PriceList'!AF90/'raw-PriceList'!AF91)-1),"")</f>
        <v>0.14080912935217649</v>
      </c>
      <c r="AE90" s="6">
        <f>IFERROR((('raw-PriceList'!AG90/'raw-PriceList'!AG91)-1),"")</f>
        <v>4.2025039517693097E-2</v>
      </c>
      <c r="AF90" s="6">
        <f>IFERROR((('raw-PriceList'!AH90/'raw-PriceList'!AH91)-1),"")</f>
        <v>5.4364840320887398E-2</v>
      </c>
      <c r="AG90" s="6">
        <f>IFERROR((('raw-PriceList'!AJ90/'raw-PriceList'!AJ91)-1),"")</f>
        <v>9.3152272461627383E-2</v>
      </c>
      <c r="AH90" s="6">
        <f>IFERROR((('raw-PriceList'!AK90/'raw-PriceList'!AK91)-1),"")</f>
        <v>0.11387326197669867</v>
      </c>
      <c r="AI90" s="6" t="str">
        <f>IFERROR((('raw-PriceList'!AM90/'raw-PriceList'!AM91)-1),"")</f>
        <v/>
      </c>
      <c r="AJ90" s="6">
        <f>IFERROR((('raw-PriceList'!AN90/'raw-PriceList'!AN91)-1),"")</f>
        <v>0.11357518813209877</v>
      </c>
      <c r="AK90" s="6" t="str">
        <f>IFERROR((('raw-PriceList'!AO90/'raw-PriceList'!AO91)-1),"")</f>
        <v/>
      </c>
      <c r="AL90" s="6">
        <f>IFERROR((('raw-PriceList'!AP90/'raw-PriceList'!AP91)-1),"")</f>
        <v>0.10252835376039604</v>
      </c>
      <c r="AM90" s="6">
        <f>IFERROR((('raw-PriceList'!AQ90/'raw-PriceList'!AQ91)-1),"")</f>
        <v>0.11608999131563635</v>
      </c>
      <c r="AN90" s="6">
        <f>IFERROR((('raw-PriceList'!AR90/'raw-PriceList'!AR91)-1),"")</f>
        <v>0.1102770191212421</v>
      </c>
      <c r="AO90" s="6" t="str">
        <f>IFERROR((('raw-PriceList'!AS90/'raw-PriceList'!AS91)-1),"")</f>
        <v/>
      </c>
      <c r="AP90" s="6" t="str">
        <f>IFERROR((('raw-PriceList'!AT90/'raw-PriceList'!AT91)-1),"")</f>
        <v/>
      </c>
      <c r="AQ90" s="6">
        <f>IFERROR((('raw-PriceList'!AU90/'raw-PriceList'!AU91)-1),"")</f>
        <v>0.14395122659060067</v>
      </c>
      <c r="AR90" s="6">
        <f>IFERROR((('raw-PriceList'!AV90/'raw-PriceList'!AV91)-1),"")</f>
        <v>0.10273269734148793</v>
      </c>
      <c r="AS90" s="6">
        <f>IFERROR((('raw-PriceList'!AW90/'raw-PriceList'!AW91)-1),"")</f>
        <v>8.0664968571383389E-2</v>
      </c>
    </row>
    <row r="91" spans="1:45" x14ac:dyDescent="0.2">
      <c r="A91" s="2">
        <v>40816</v>
      </c>
      <c r="B91" s="6">
        <f>IFERROR((('raw-PriceList'!B91/'raw-PriceList'!B92)-1),"")</f>
        <v>-6.1808890786996251E-4</v>
      </c>
      <c r="C91" s="6">
        <f>IFERROR((('raw-PriceList'!C91/'raw-PriceList'!C92)-1),"")</f>
        <v>5.5568469212544658E-2</v>
      </c>
      <c r="D91" s="6">
        <f>IFERROR((('raw-PriceList'!D91/'raw-PriceList'!D92)-1),"")</f>
        <v>4.0496980382076497E-3</v>
      </c>
      <c r="E91" s="6" t="str">
        <f>IFERROR((('raw-PriceList'!F91/'raw-PriceList'!F92)-1),"")</f>
        <v/>
      </c>
      <c r="F91" s="6">
        <f>IFERROR((('raw-PriceList'!G91/'raw-PriceList'!G92)-1),"")</f>
        <v>-4.4239552444133023E-3</v>
      </c>
      <c r="G91" s="6">
        <f>IFERROR((('raw-PriceList'!H91/'raw-PriceList'!H92)-1),"")</f>
        <v>0.22859605057244092</v>
      </c>
      <c r="H91" s="6">
        <f>IFERROR((('raw-PriceList'!J91/'raw-PriceList'!J92)-1),"")</f>
        <v>-7.1776171731679161E-2</v>
      </c>
      <c r="I91" s="6">
        <f>IFERROR((('raw-PriceList'!K91/'raw-PriceList'!K92)-1),"")</f>
        <v>-7.0971540868623895E-2</v>
      </c>
      <c r="J91" s="6">
        <f>IFERROR((('raw-PriceList'!L91/'raw-PriceList'!L92)-1),"")</f>
        <v>-7.3159081783996105E-2</v>
      </c>
      <c r="K91" s="6">
        <f>IFERROR((('raw-PriceList'!M91/'raw-PriceList'!M92)-1),"")</f>
        <v>-0.10987241007004345</v>
      </c>
      <c r="L91" s="6">
        <f>IFERROR((('raw-PriceList'!N91/'raw-PriceList'!N92)-1),"")</f>
        <v>-0.11421663699181828</v>
      </c>
      <c r="M91" s="6">
        <f>IFERROR((('raw-PriceList'!O91/'raw-PriceList'!O92)-1),"")</f>
        <v>-0.10653825545240458</v>
      </c>
      <c r="N91" s="6">
        <f>IFERROR((('raw-PriceList'!P91/'raw-PriceList'!P92)-1),"")</f>
        <v>-1.6640475619854378E-2</v>
      </c>
      <c r="O91" s="6">
        <f>IFERROR((('raw-PriceList'!Q91/'raw-PriceList'!Q92)-1),"")</f>
        <v>2.9772909788197133E-2</v>
      </c>
      <c r="P91" s="6">
        <f>IFERROR((('raw-PriceList'!R91/'raw-PriceList'!R92)-1),"")</f>
        <v>-1.1676391156366095E-2</v>
      </c>
      <c r="Q91" s="6">
        <f>IFERROR((('raw-PriceList'!S91/'raw-PriceList'!S92)-1),"")</f>
        <v>-0.11364147960350168</v>
      </c>
      <c r="R91" s="6">
        <f>IFERROR((('raw-PriceList'!T91/'raw-PriceList'!T92)-1),"")</f>
        <v>-0.1301227199373447</v>
      </c>
      <c r="S91" s="6">
        <f>IFERROR((('raw-PriceList'!U91/'raw-PriceList'!U92)-1),"")</f>
        <v>3.744652911066515E-3</v>
      </c>
      <c r="T91" s="6">
        <f>IFERROR((('raw-PriceList'!V91/'raw-PriceList'!V92)-1),"")</f>
        <v>-0.12245952373758517</v>
      </c>
      <c r="U91" s="6">
        <f>IFERROR((('raw-PriceList'!W91/'raw-PriceList'!W92)-1),"")</f>
        <v>9.6834252149070155E-2</v>
      </c>
      <c r="V91" s="6">
        <f>IFERROR((('raw-PriceList'!X91/'raw-PriceList'!X92)-1),"")</f>
        <v>-1.8855921574791878E-3</v>
      </c>
      <c r="W91" s="6">
        <f>IFERROR((('raw-PriceList'!Y91/'raw-PriceList'!Y92)-1),"")</f>
        <v>-6.7878081900605514E-2</v>
      </c>
      <c r="X91" s="6" t="str">
        <f>IFERROR((('raw-PriceList'!Z91/'raw-PriceList'!Z92)-1),"")</f>
        <v/>
      </c>
      <c r="Y91" s="6">
        <f>IFERROR((('raw-PriceList'!AA91/'raw-PriceList'!AA92)-1),"")</f>
        <v>-4.2889530122350861E-3</v>
      </c>
      <c r="Z91" s="6">
        <f>IFERROR((('raw-PriceList'!AB91/'raw-PriceList'!AB92)-1),"")</f>
        <v>-0.15284616114212202</v>
      </c>
      <c r="AA91" s="6">
        <f>IFERROR((('raw-PriceList'!AC91/'raw-PriceList'!AC92)-1),"")</f>
        <v>-8.7021039915447629E-2</v>
      </c>
      <c r="AB91" s="6">
        <f>IFERROR((('raw-PriceList'!AD91/'raw-PriceList'!AD92)-1),"")</f>
        <v>-7.3272929248364149E-2</v>
      </c>
      <c r="AC91" s="6">
        <f>IFERROR((('raw-PriceList'!AE91/'raw-PriceList'!AE92)-1),"")</f>
        <v>-7.3272929248364149E-2</v>
      </c>
      <c r="AD91" s="6">
        <f>IFERROR((('raw-PriceList'!AF91/'raw-PriceList'!AF92)-1),"")</f>
        <v>-0.10975687061518702</v>
      </c>
      <c r="AE91" s="6">
        <f>IFERROR((('raw-PriceList'!AG91/'raw-PriceList'!AG92)-1),"")</f>
        <v>-6.8653586328802585E-2</v>
      </c>
      <c r="AF91" s="6">
        <f>IFERROR((('raw-PriceList'!AH91/'raw-PriceList'!AH92)-1),"")</f>
        <v>-9.1492059135200532E-2</v>
      </c>
      <c r="AG91" s="6">
        <f>IFERROR((('raw-PriceList'!AJ91/'raw-PriceList'!AJ92)-1),"")</f>
        <v>-0.14931079717479001</v>
      </c>
      <c r="AH91" s="6">
        <f>IFERROR((('raw-PriceList'!AK91/'raw-PriceList'!AK92)-1),"")</f>
        <v>-0.10726019439438705</v>
      </c>
      <c r="AI91" s="6" t="str">
        <f>IFERROR((('raw-PriceList'!AM91/'raw-PriceList'!AM92)-1),"")</f>
        <v/>
      </c>
      <c r="AJ91" s="6">
        <f>IFERROR((('raw-PriceList'!AN91/'raw-PriceList'!AN92)-1),"")</f>
        <v>-8.06076506165051E-2</v>
      </c>
      <c r="AK91" s="6" t="str">
        <f>IFERROR((('raw-PriceList'!AO91/'raw-PriceList'!AO92)-1),"")</f>
        <v/>
      </c>
      <c r="AL91" s="6">
        <f>IFERROR((('raw-PriceList'!AP91/'raw-PriceList'!AP92)-1),"")</f>
        <v>-7.5642858209324704E-2</v>
      </c>
      <c r="AM91" s="6">
        <f>IFERROR((('raw-PriceList'!AQ91/'raw-PriceList'!AQ92)-1),"")</f>
        <v>-7.6593567837902055E-2</v>
      </c>
      <c r="AN91" s="6">
        <f>IFERROR((('raw-PriceList'!AR91/'raw-PriceList'!AR92)-1),"")</f>
        <v>-7.7316045570787861E-2</v>
      </c>
      <c r="AO91" s="6" t="str">
        <f>IFERROR((('raw-PriceList'!AS91/'raw-PriceList'!AS92)-1),"")</f>
        <v/>
      </c>
      <c r="AP91" s="6" t="str">
        <f>IFERROR((('raw-PriceList'!AT91/'raw-PriceList'!AT92)-1),"")</f>
        <v/>
      </c>
      <c r="AQ91" s="6">
        <f>IFERROR((('raw-PriceList'!AU91/'raw-PriceList'!AU92)-1),"")</f>
        <v>-0.1113001664295068</v>
      </c>
      <c r="AR91" s="6">
        <f>IFERROR((('raw-PriceList'!AV91/'raw-PriceList'!AV92)-1),"")</f>
        <v>-0.12663429001345228</v>
      </c>
      <c r="AS91" s="6">
        <f>IFERROR((('raw-PriceList'!AW91/'raw-PriceList'!AW92)-1),"")</f>
        <v>-4.938290186634553E-2</v>
      </c>
    </row>
    <row r="92" spans="1:45" x14ac:dyDescent="0.2">
      <c r="A92" s="2">
        <v>40786</v>
      </c>
      <c r="B92" s="6">
        <f>IFERROR((('raw-PriceList'!B92/'raw-PriceList'!B93)-1),"")</f>
        <v>2.1519205138626818E-2</v>
      </c>
      <c r="C92" s="6">
        <f>IFERROR((('raw-PriceList'!C92/'raw-PriceList'!C93)-1),"")</f>
        <v>4.6472054577113786E-2</v>
      </c>
      <c r="D92" s="6">
        <f>IFERROR((('raw-PriceList'!D92/'raw-PriceList'!D93)-1),"")</f>
        <v>1.384571061105766E-2</v>
      </c>
      <c r="E92" s="6" t="str">
        <f>IFERROR((('raw-PriceList'!F92/'raw-PriceList'!F93)-1),"")</f>
        <v/>
      </c>
      <c r="F92" s="6">
        <f>IFERROR((('raw-PriceList'!G92/'raw-PriceList'!G93)-1),"")</f>
        <v>4.6172282748568882E-3</v>
      </c>
      <c r="G92" s="6">
        <f>IFERROR((('raw-PriceList'!H92/'raw-PriceList'!H93)-1),"")</f>
        <v>0.16371283095534239</v>
      </c>
      <c r="H92" s="6">
        <f>IFERROR((('raw-PriceList'!J92/'raw-PriceList'!J93)-1),"")</f>
        <v>-5.4385134281851322E-2</v>
      </c>
      <c r="I92" s="6">
        <f>IFERROR((('raw-PriceList'!K92/'raw-PriceList'!K93)-1),"")</f>
        <v>-5.0803940595303021E-2</v>
      </c>
      <c r="J92" s="6">
        <f>IFERROR((('raw-PriceList'!L92/'raw-PriceList'!L93)-1),"")</f>
        <v>-5.7262385676067118E-2</v>
      </c>
      <c r="K92" s="6">
        <f>IFERROR((('raw-PriceList'!M92/'raw-PriceList'!M93)-1),"")</f>
        <v>-8.3425982192009696E-2</v>
      </c>
      <c r="L92" s="6">
        <f>IFERROR((('raw-PriceList'!N92/'raw-PriceList'!N93)-1),"")</f>
        <v>-8.5816819416461687E-2</v>
      </c>
      <c r="M92" s="6">
        <f>IFERROR((('raw-PriceList'!O92/'raw-PriceList'!O93)-1),"")</f>
        <v>-8.1870800371483088E-2</v>
      </c>
      <c r="N92" s="6">
        <f>IFERROR((('raw-PriceList'!P92/'raw-PriceList'!P93)-1),"")</f>
        <v>3.8426064121397374E-3</v>
      </c>
      <c r="O92" s="6">
        <f>IFERROR((('raw-PriceList'!Q92/'raw-PriceList'!Q93)-1),"")</f>
        <v>8.6122898508766976E-3</v>
      </c>
      <c r="P92" s="6">
        <f>IFERROR((('raw-PriceList'!R92/'raw-PriceList'!R93)-1),"")</f>
        <v>-2.77066103738699E-3</v>
      </c>
      <c r="Q92" s="6">
        <f>IFERROR((('raw-PriceList'!S92/'raw-PriceList'!S93)-1),"")</f>
        <v>-8.55874011849731E-2</v>
      </c>
      <c r="R92" s="6">
        <f>IFERROR((('raw-PriceList'!T92/'raw-PriceList'!T93)-1),"")</f>
        <v>-8.4731588131486846E-2</v>
      </c>
      <c r="S92" s="6">
        <f>IFERROR((('raw-PriceList'!U92/'raw-PriceList'!U93)-1),"")</f>
        <v>2.6144644363315983E-2</v>
      </c>
      <c r="T92" s="6">
        <f>IFERROR((('raw-PriceList'!V92/'raw-PriceList'!V93)-1),"")</f>
        <v>-9.2693464333590159E-2</v>
      </c>
      <c r="U92" s="6">
        <f>IFERROR((('raw-PriceList'!W92/'raw-PriceList'!W93)-1),"")</f>
        <v>8.422642356219856E-2</v>
      </c>
      <c r="V92" s="6">
        <f>IFERROR((('raw-PriceList'!X92/'raw-PriceList'!X93)-1),"")</f>
        <v>3.3693976386015567E-3</v>
      </c>
      <c r="W92" s="6">
        <f>IFERROR((('raw-PriceList'!Y92/'raw-PriceList'!Y93)-1),"")</f>
        <v>-3.2068676248945827E-2</v>
      </c>
      <c r="X92" s="6" t="str">
        <f>IFERROR((('raw-PriceList'!Z92/'raw-PriceList'!Z93)-1),"")</f>
        <v/>
      </c>
      <c r="Y92" s="6">
        <f>IFERROR((('raw-PriceList'!AA92/'raw-PriceList'!AA93)-1),"")</f>
        <v>1.2767569851277694E-2</v>
      </c>
      <c r="Z92" s="6">
        <f>IFERROR((('raw-PriceList'!AB92/'raw-PriceList'!AB93)-1),"")</f>
        <v>-7.0110683380814054E-2</v>
      </c>
      <c r="AA92" s="6">
        <f>IFERROR((('raw-PriceList'!AC92/'raw-PriceList'!AC93)-1),"")</f>
        <v>-6.5684453988542169E-2</v>
      </c>
      <c r="AB92" s="6">
        <f>IFERROR((('raw-PriceList'!AD92/'raw-PriceList'!AD93)-1),"")</f>
        <v>-5.5094471400393807E-2</v>
      </c>
      <c r="AC92" s="6">
        <f>IFERROR((('raw-PriceList'!AE92/'raw-PriceList'!AE93)-1),"")</f>
        <v>-5.5094471400393807E-2</v>
      </c>
      <c r="AD92" s="6">
        <f>IFERROR((('raw-PriceList'!AF92/'raw-PriceList'!AF93)-1),"")</f>
        <v>-7.4018504702013099E-2</v>
      </c>
      <c r="AE92" s="6">
        <f>IFERROR((('raw-PriceList'!AG92/'raw-PriceList'!AG93)-1),"")</f>
        <v>-3.0462517966373892E-2</v>
      </c>
      <c r="AF92" s="6">
        <f>IFERROR((('raw-PriceList'!AH92/'raw-PriceList'!AH93)-1),"")</f>
        <v>-6.5735638622669845E-2</v>
      </c>
      <c r="AG92" s="6">
        <f>IFERROR((('raw-PriceList'!AJ92/'raw-PriceList'!AJ93)-1),"")</f>
        <v>-8.9404206294947719E-2</v>
      </c>
      <c r="AH92" s="6">
        <f>IFERROR((('raw-PriceList'!AK92/'raw-PriceList'!AK93)-1),"")</f>
        <v>-7.2508716018223396E-2</v>
      </c>
      <c r="AI92" s="6" t="str">
        <f>IFERROR((('raw-PriceList'!AM92/'raw-PriceList'!AM93)-1),"")</f>
        <v/>
      </c>
      <c r="AJ92" s="6">
        <f>IFERROR((('raw-PriceList'!AN92/'raw-PriceList'!AN93)-1),"")</f>
        <v>-6.086349460314E-2</v>
      </c>
      <c r="AK92" s="6" t="str">
        <f>IFERROR((('raw-PriceList'!AO92/'raw-PriceList'!AO93)-1),"")</f>
        <v/>
      </c>
      <c r="AL92" s="6">
        <f>IFERROR((('raw-PriceList'!AP92/'raw-PriceList'!AP93)-1),"")</f>
        <v>-5.9059835474350564E-2</v>
      </c>
      <c r="AM92" s="6">
        <f>IFERROR((('raw-PriceList'!AQ92/'raw-PriceList'!AQ93)-1),"")</f>
        <v>-5.6643177073268158E-2</v>
      </c>
      <c r="AN92" s="6">
        <f>IFERROR((('raw-PriceList'!AR92/'raw-PriceList'!AR93)-1),"")</f>
        <v>-5.7033336090047904E-2</v>
      </c>
      <c r="AO92" s="6" t="str">
        <f>IFERROR((('raw-PriceList'!AS92/'raw-PriceList'!AS93)-1),"")</f>
        <v/>
      </c>
      <c r="AP92" s="6" t="str">
        <f>IFERROR((('raw-PriceList'!AT92/'raw-PriceList'!AT93)-1),"")</f>
        <v/>
      </c>
      <c r="AQ92" s="6">
        <f>IFERROR((('raw-PriceList'!AU92/'raw-PriceList'!AU93)-1),"")</f>
        <v>-8.2928459050009784E-2</v>
      </c>
      <c r="AR92" s="6">
        <f>IFERROR((('raw-PriceList'!AV92/'raw-PriceList'!AV93)-1),"")</f>
        <v>-8.4573332653600897E-2</v>
      </c>
      <c r="AS92" s="6">
        <f>IFERROR((('raw-PriceList'!AW92/'raw-PriceList'!AW93)-1),"")</f>
        <v>-2.8140801831378237E-2</v>
      </c>
    </row>
    <row r="93" spans="1:45" x14ac:dyDescent="0.2">
      <c r="A93" s="2">
        <v>40755</v>
      </c>
      <c r="B93" s="6">
        <f>IFERROR((('raw-PriceList'!B93/'raw-PriceList'!B94)-1),"")</f>
        <v>2.2519824170556868E-2</v>
      </c>
      <c r="C93" s="6">
        <f>IFERROR((('raw-PriceList'!C93/'raw-PriceList'!C94)-1),"")</f>
        <v>3.9021499904769108E-2</v>
      </c>
      <c r="D93" s="6">
        <f>IFERROR((('raw-PriceList'!D93/'raw-PriceList'!D94)-1),"")</f>
        <v>1.3577442679830742E-2</v>
      </c>
      <c r="E93" s="6" t="str">
        <f>IFERROR((('raw-PriceList'!F93/'raw-PriceList'!F94)-1),"")</f>
        <v/>
      </c>
      <c r="F93" s="6">
        <f>IFERROR((('raw-PriceList'!G93/'raw-PriceList'!G94)-1),"")</f>
        <v>4.5570671872157131E-3</v>
      </c>
      <c r="G93" s="6">
        <f>IFERROR((('raw-PriceList'!H93/'raw-PriceList'!H94)-1),"")</f>
        <v>5.991494279889098E-2</v>
      </c>
      <c r="H93" s="6">
        <f>IFERROR((('raw-PriceList'!J93/'raw-PriceList'!J94)-1),"")</f>
        <v>-1.7406319806351878E-2</v>
      </c>
      <c r="I93" s="6">
        <f>IFERROR((('raw-PriceList'!K93/'raw-PriceList'!K94)-1),"")</f>
        <v>-2.5204176461162131E-3</v>
      </c>
      <c r="J93" s="6">
        <f>IFERROR((('raw-PriceList'!L93/'raw-PriceList'!L94)-1),"")</f>
        <v>-3.3262552172294235E-2</v>
      </c>
      <c r="K93" s="6">
        <f>IFERROR((('raw-PriceList'!M93/'raw-PriceList'!M94)-1),"")</f>
        <v>-3.6191651323131735E-2</v>
      </c>
      <c r="L93" s="6">
        <f>IFERROR((('raw-PriceList'!N93/'raw-PriceList'!N94)-1),"")</f>
        <v>-3.8753130979361505E-2</v>
      </c>
      <c r="M93" s="6">
        <f>IFERROR((('raw-PriceList'!O93/'raw-PriceList'!O94)-1),"")</f>
        <v>-3.3258044037460133E-2</v>
      </c>
      <c r="N93" s="6">
        <f>IFERROR((('raw-PriceList'!P93/'raw-PriceList'!P94)-1),"")</f>
        <v>2.248739555309065E-2</v>
      </c>
      <c r="O93" s="6">
        <f>IFERROR((('raw-PriceList'!Q93/'raw-PriceList'!Q94)-1),"")</f>
        <v>3.4982125953703092E-2</v>
      </c>
      <c r="P93" s="6">
        <f>IFERROR((('raw-PriceList'!R93/'raw-PriceList'!R94)-1),"")</f>
        <v>5.0364026636025017E-3</v>
      </c>
      <c r="Q93" s="6">
        <f>IFERROR((('raw-PriceList'!S93/'raw-PriceList'!S94)-1),"")</f>
        <v>-2.3995302412450847E-2</v>
      </c>
      <c r="R93" s="6">
        <f>IFERROR((('raw-PriceList'!T93/'raw-PriceList'!T94)-1),"")</f>
        <v>-2.3636885274042396E-2</v>
      </c>
      <c r="S93" s="6">
        <f>IFERROR((('raw-PriceList'!U93/'raw-PriceList'!U94)-1),"")</f>
        <v>2.012079135569067E-2</v>
      </c>
      <c r="T93" s="6">
        <f>IFERROR((('raw-PriceList'!V93/'raw-PriceList'!V94)-1),"")</f>
        <v>-4.604799981469998E-2</v>
      </c>
      <c r="U93" s="6">
        <f>IFERROR((('raw-PriceList'!W93/'raw-PriceList'!W94)-1),"")</f>
        <v>3.6741443038883936E-2</v>
      </c>
      <c r="V93" s="6">
        <f>IFERROR((('raw-PriceList'!X93/'raw-PriceList'!X94)-1),"")</f>
        <v>1.9969251788032327E-3</v>
      </c>
      <c r="W93" s="6">
        <f>IFERROR((('raw-PriceList'!Y93/'raw-PriceList'!Y94)-1),"")</f>
        <v>-3.4699873748175403E-2</v>
      </c>
      <c r="X93" s="6" t="str">
        <f>IFERROR((('raw-PriceList'!Z93/'raw-PriceList'!Z94)-1),"")</f>
        <v/>
      </c>
      <c r="Y93" s="6">
        <f>IFERROR((('raw-PriceList'!AA93/'raw-PriceList'!AA94)-1),"")</f>
        <v>5.396212814132717E-3</v>
      </c>
      <c r="Z93" s="6">
        <f>IFERROR((('raw-PriceList'!AB93/'raw-PriceList'!AB94)-1),"")</f>
        <v>1.8611828637191685E-3</v>
      </c>
      <c r="AA93" s="6">
        <f>IFERROR((('raw-PriceList'!AC93/'raw-PriceList'!AC94)-1),"")</f>
        <v>-3.8864537379738384E-2</v>
      </c>
      <c r="AB93" s="6">
        <f>IFERROR((('raw-PriceList'!AD93/'raw-PriceList'!AD94)-1),"")</f>
        <v>-2.0520710459251634E-2</v>
      </c>
      <c r="AC93" s="6">
        <f>IFERROR((('raw-PriceList'!AE93/'raw-PriceList'!AE94)-1),"")</f>
        <v>-2.0520710459251634E-2</v>
      </c>
      <c r="AD93" s="6">
        <f>IFERROR((('raw-PriceList'!AF93/'raw-PriceList'!AF94)-1),"")</f>
        <v>-3.0699344691928254E-2</v>
      </c>
      <c r="AE93" s="6">
        <f>IFERROR((('raw-PriceList'!AG93/'raw-PriceList'!AG94)-1),"")</f>
        <v>-5.6961800612367774E-2</v>
      </c>
      <c r="AF93" s="6">
        <f>IFERROR((('raw-PriceList'!AH93/'raw-PriceList'!AH94)-1),"")</f>
        <v>9.7498440881003123E-3</v>
      </c>
      <c r="AG93" s="6">
        <f>IFERROR((('raw-PriceList'!AJ93/'raw-PriceList'!AJ94)-1),"")</f>
        <v>-1.4155732328890891E-2</v>
      </c>
      <c r="AH93" s="6">
        <f>IFERROR((('raw-PriceList'!AK93/'raw-PriceList'!AK94)-1),"")</f>
        <v>-2.1501955674565809E-2</v>
      </c>
      <c r="AI93" s="6" t="str">
        <f>IFERROR((('raw-PriceList'!AM93/'raw-PriceList'!AM94)-1),"")</f>
        <v/>
      </c>
      <c r="AJ93" s="6">
        <f>IFERROR((('raw-PriceList'!AN93/'raw-PriceList'!AN94)-1),"")</f>
        <v>-2.2552056253447028E-2</v>
      </c>
      <c r="AK93" s="6" t="str">
        <f>IFERROR((('raw-PriceList'!AO93/'raw-PriceList'!AO94)-1),"")</f>
        <v/>
      </c>
      <c r="AL93" s="6">
        <f>IFERROR((('raw-PriceList'!AP93/'raw-PriceList'!AP94)-1),"")</f>
        <v>-3.4829041263354843E-2</v>
      </c>
      <c r="AM93" s="6">
        <f>IFERROR((('raw-PriceList'!AQ93/'raw-PriceList'!AQ94)-1),"")</f>
        <v>-7.2261504338519966E-3</v>
      </c>
      <c r="AN93" s="6">
        <f>IFERROR((('raw-PriceList'!AR93/'raw-PriceList'!AR94)-1),"")</f>
        <v>-2.0112146213258075E-2</v>
      </c>
      <c r="AO93" s="6" t="str">
        <f>IFERROR((('raw-PriceList'!AS93/'raw-PriceList'!AS94)-1),"")</f>
        <v/>
      </c>
      <c r="AP93" s="6" t="str">
        <f>IFERROR((('raw-PriceList'!AT93/'raw-PriceList'!AT94)-1),"")</f>
        <v/>
      </c>
      <c r="AQ93" s="6">
        <f>IFERROR((('raw-PriceList'!AU93/'raw-PriceList'!AU94)-1),"")</f>
        <v>-3.2361635274454348E-2</v>
      </c>
      <c r="AR93" s="6">
        <f>IFERROR((('raw-PriceList'!AV93/'raw-PriceList'!AV94)-1),"")</f>
        <v>-1.7431377375852097E-2</v>
      </c>
      <c r="AS93" s="6">
        <f>IFERROR((('raw-PriceList'!AW93/'raw-PriceList'!AW94)-1),"")</f>
        <v>-2.7533571807372148E-2</v>
      </c>
    </row>
    <row r="94" spans="1:45" x14ac:dyDescent="0.2">
      <c r="A94" s="2">
        <v>40724</v>
      </c>
      <c r="B94" s="6">
        <f>IFERROR((('raw-PriceList'!B94/'raw-PriceList'!B95)-1),"")</f>
        <v>-8.3901729864139796E-3</v>
      </c>
      <c r="C94" s="6">
        <f>IFERROR((('raw-PriceList'!C94/'raw-PriceList'!C95)-1),"")</f>
        <v>-2.5931870445529581E-2</v>
      </c>
      <c r="D94" s="6">
        <f>IFERROR((('raw-PriceList'!D94/'raw-PriceList'!D95)-1),"")</f>
        <v>-6.4866982289809583E-3</v>
      </c>
      <c r="E94" s="6" t="str">
        <f>IFERROR((('raw-PriceList'!F94/'raw-PriceList'!F95)-1),"")</f>
        <v/>
      </c>
      <c r="F94" s="6">
        <f>IFERROR((('raw-PriceList'!G94/'raw-PriceList'!G95)-1),"")</f>
        <v>-1.4566745602218045E-3</v>
      </c>
      <c r="G94" s="6">
        <f>IFERROR((('raw-PriceList'!H94/'raw-PriceList'!H95)-1),"")</f>
        <v>-5.3034617922319893E-2</v>
      </c>
      <c r="H94" s="6">
        <f>IFERROR((('raw-PriceList'!J94/'raw-PriceList'!J95)-1),"")</f>
        <v>-2.0492949524450133E-2</v>
      </c>
      <c r="I94" s="6">
        <f>IFERROR((('raw-PriceList'!K94/'raw-PriceList'!K95)-1),"")</f>
        <v>-1.6676889780919302E-2</v>
      </c>
      <c r="J94" s="6">
        <f>IFERROR((('raw-PriceList'!L94/'raw-PriceList'!L95)-1),"")</f>
        <v>-2.5644425465268905E-2</v>
      </c>
      <c r="K94" s="6">
        <f>IFERROR((('raw-PriceList'!M94/'raw-PriceList'!M95)-1),"")</f>
        <v>-2.0984275466471192E-2</v>
      </c>
      <c r="L94" s="6">
        <f>IFERROR((('raw-PriceList'!N94/'raw-PriceList'!N95)-1),"")</f>
        <v>-2.0197140811492376E-2</v>
      </c>
      <c r="M94" s="6">
        <f>IFERROR((('raw-PriceList'!O94/'raw-PriceList'!O95)-1),"")</f>
        <v>-2.0807877489467996E-2</v>
      </c>
      <c r="N94" s="6">
        <f>IFERROR((('raw-PriceList'!P94/'raw-PriceList'!P95)-1),"")</f>
        <v>-1.0857090567097827E-2</v>
      </c>
      <c r="O94" s="6">
        <f>IFERROR((('raw-PriceList'!Q94/'raw-PriceList'!Q95)-1),"")</f>
        <v>-2.4769119913033433E-2</v>
      </c>
      <c r="P94" s="6">
        <f>IFERROR((('raw-PriceList'!R94/'raw-PriceList'!R95)-1),"")</f>
        <v>-2.8173670865906386E-3</v>
      </c>
      <c r="Q94" s="6">
        <f>IFERROR((('raw-PriceList'!S94/'raw-PriceList'!S95)-1),"")</f>
        <v>-1.2197617961194007E-2</v>
      </c>
      <c r="R94" s="6">
        <f>IFERROR((('raw-PriceList'!T94/'raw-PriceList'!T95)-1),"")</f>
        <v>-1.0961436007290826E-2</v>
      </c>
      <c r="S94" s="6">
        <f>IFERROR((('raw-PriceList'!U94/'raw-PriceList'!U95)-1),"")</f>
        <v>-4.0092742108003288E-3</v>
      </c>
      <c r="T94" s="6">
        <f>IFERROR((('raw-PriceList'!V94/'raw-PriceList'!V95)-1),"")</f>
        <v>-2.0772651546246856E-2</v>
      </c>
      <c r="U94" s="6">
        <f>IFERROR((('raw-PriceList'!W94/'raw-PriceList'!W95)-1),"")</f>
        <v>-2.242890913773532E-2</v>
      </c>
      <c r="V94" s="6">
        <f>IFERROR((('raw-PriceList'!X94/'raw-PriceList'!X95)-1),"")</f>
        <v>-5.6384817016985611E-4</v>
      </c>
      <c r="W94" s="6">
        <f>IFERROR((('raw-PriceList'!Y94/'raw-PriceList'!Y95)-1),"")</f>
        <v>-1.2943735543320845E-2</v>
      </c>
      <c r="X94" s="6" t="str">
        <f>IFERROR((('raw-PriceList'!Z94/'raw-PriceList'!Z95)-1),"")</f>
        <v/>
      </c>
      <c r="Y94" s="6">
        <f>IFERROR((('raw-PriceList'!AA94/'raw-PriceList'!AA95)-1),"")</f>
        <v>-2.2429723451947714E-3</v>
      </c>
      <c r="Z94" s="6">
        <f>IFERROR((('raw-PriceList'!AB94/'raw-PriceList'!AB95)-1),"")</f>
        <v>-1.2985083276567999E-2</v>
      </c>
      <c r="AA94" s="6">
        <f>IFERROR((('raw-PriceList'!AC94/'raw-PriceList'!AC95)-1),"")</f>
        <v>-3.0111205279444331E-2</v>
      </c>
      <c r="AB94" s="6">
        <f>IFERROR((('raw-PriceList'!AD94/'raw-PriceList'!AD95)-1),"")</f>
        <v>-2.1506035427733772E-2</v>
      </c>
      <c r="AC94" s="6">
        <f>IFERROR((('raw-PriceList'!AE94/'raw-PriceList'!AE95)-1),"")</f>
        <v>-2.1506035427733772E-2</v>
      </c>
      <c r="AD94" s="6">
        <f>IFERROR((('raw-PriceList'!AF94/'raw-PriceList'!AF95)-1),"")</f>
        <v>-1.7375756199404901E-2</v>
      </c>
      <c r="AE94" s="6">
        <f>IFERROR((('raw-PriceList'!AG94/'raw-PriceList'!AG95)-1),"")</f>
        <v>-1.843566161810184E-2</v>
      </c>
      <c r="AF94" s="6">
        <f>IFERROR((('raw-PriceList'!AH94/'raw-PriceList'!AH95)-1),"")</f>
        <v>7.2336248470130649E-3</v>
      </c>
      <c r="AG94" s="6">
        <f>IFERROR((('raw-PriceList'!AJ94/'raw-PriceList'!AJ95)-1),"")</f>
        <v>-2.0769239861110123E-2</v>
      </c>
      <c r="AH94" s="6">
        <f>IFERROR((('raw-PriceList'!AK94/'raw-PriceList'!AK95)-1),"")</f>
        <v>-1.337379526696858E-2</v>
      </c>
      <c r="AI94" s="6" t="str">
        <f>IFERROR((('raw-PriceList'!AM94/'raw-PriceList'!AM95)-1),"")</f>
        <v/>
      </c>
      <c r="AJ94" s="6">
        <f>IFERROR((('raw-PriceList'!AN94/'raw-PriceList'!AN95)-1),"")</f>
        <v>-2.2337202530621325E-2</v>
      </c>
      <c r="AK94" s="6" t="str">
        <f>IFERROR((('raw-PriceList'!AO94/'raw-PriceList'!AO95)-1),"")</f>
        <v/>
      </c>
      <c r="AL94" s="6">
        <f>IFERROR((('raw-PriceList'!AP94/'raw-PriceList'!AP95)-1),"")</f>
        <v>-2.694729495830861E-2</v>
      </c>
      <c r="AM94" s="6">
        <f>IFERROR((('raw-PriceList'!AQ94/'raw-PriceList'!AQ95)-1),"")</f>
        <v>-1.7006217594848105E-2</v>
      </c>
      <c r="AN94" s="6">
        <f>IFERROR((('raw-PriceList'!AR94/'raw-PriceList'!AR95)-1),"")</f>
        <v>-2.2113060182191835E-2</v>
      </c>
      <c r="AO94" s="6" t="str">
        <f>IFERROR((('raw-PriceList'!AS94/'raw-PriceList'!AS95)-1),"")</f>
        <v/>
      </c>
      <c r="AP94" s="6" t="str">
        <f>IFERROR((('raw-PriceList'!AT94/'raw-PriceList'!AT95)-1),"")</f>
        <v/>
      </c>
      <c r="AQ94" s="6">
        <f>IFERROR((('raw-PriceList'!AU94/'raw-PriceList'!AU95)-1),"")</f>
        <v>-2.335427426353831E-2</v>
      </c>
      <c r="AR94" s="6">
        <f>IFERROR((('raw-PriceList'!AV94/'raw-PriceList'!AV95)-1),"")</f>
        <v>-1.2171890920264827E-2</v>
      </c>
      <c r="AS94" s="6">
        <f>IFERROR((('raw-PriceList'!AW94/'raw-PriceList'!AW95)-1),"")</f>
        <v>-1.8416410771068481E-2</v>
      </c>
    </row>
    <row r="95" spans="1:45" x14ac:dyDescent="0.2">
      <c r="A95" s="2">
        <v>40694</v>
      </c>
      <c r="B95" s="6">
        <f>IFERROR((('raw-PriceList'!B95/'raw-PriceList'!B96)-1),"")</f>
        <v>1.4395035173432547E-2</v>
      </c>
      <c r="C95" s="6">
        <f>IFERROR((('raw-PriceList'!C95/'raw-PriceList'!C96)-1),"")</f>
        <v>2.5553122123173511E-2</v>
      </c>
      <c r="D95" s="6">
        <f>IFERROR((('raw-PriceList'!D95/'raw-PriceList'!D96)-1),"")</f>
        <v>8.9714068827473348E-3</v>
      </c>
      <c r="E95" s="6" t="str">
        <f>IFERROR((('raw-PriceList'!F95/'raw-PriceList'!F96)-1),"")</f>
        <v/>
      </c>
      <c r="F95" s="6">
        <f>IFERROR((('raw-PriceList'!G95/'raw-PriceList'!G96)-1),"")</f>
        <v>4.5926199188903727E-3</v>
      </c>
      <c r="G95" s="6">
        <f>IFERROR((('raw-PriceList'!H95/'raw-PriceList'!H96)-1),"")</f>
        <v>5.7253762398355335E-2</v>
      </c>
      <c r="H95" s="6">
        <f>IFERROR((('raw-PriceList'!J95/'raw-PriceList'!J96)-1),"")</f>
        <v>-1.173438624430545E-2</v>
      </c>
      <c r="I95" s="6">
        <f>IFERROR((('raw-PriceList'!K95/'raw-PriceList'!K96)-1),"")</f>
        <v>-7.708883473773076E-3</v>
      </c>
      <c r="J95" s="6">
        <f>IFERROR((('raw-PriceList'!L95/'raw-PriceList'!L96)-1),"")</f>
        <v>-1.5771154716136992E-2</v>
      </c>
      <c r="K95" s="6">
        <f>IFERROR((('raw-PriceList'!M95/'raw-PriceList'!M96)-1),"")</f>
        <v>-1.9559072561031732E-2</v>
      </c>
      <c r="L95" s="6">
        <f>IFERROR((('raw-PriceList'!N95/'raw-PriceList'!N96)-1),"")</f>
        <v>-1.6694263503186479E-2</v>
      </c>
      <c r="M95" s="6">
        <f>IFERROR((('raw-PriceList'!O95/'raw-PriceList'!O96)-1),"")</f>
        <v>-2.1175404467717596E-2</v>
      </c>
      <c r="N95" s="6">
        <f>IFERROR((('raw-PriceList'!P95/'raw-PriceList'!P96)-1),"")</f>
        <v>9.699373344249862E-3</v>
      </c>
      <c r="O95" s="6">
        <f>IFERROR((('raw-PriceList'!Q95/'raw-PriceList'!Q96)-1),"")</f>
        <v>2.3047742261982362E-2</v>
      </c>
      <c r="P95" s="6">
        <f>IFERROR((('raw-PriceList'!R95/'raw-PriceList'!R96)-1),"")</f>
        <v>4.8438498465370738E-3</v>
      </c>
      <c r="Q95" s="6">
        <f>IFERROR((('raw-PriceList'!S95/'raw-PriceList'!S96)-1),"")</f>
        <v>-2.7101560248319334E-2</v>
      </c>
      <c r="R95" s="6">
        <f>IFERROR((('raw-PriceList'!T95/'raw-PriceList'!T96)-1),"")</f>
        <v>-3.1602223076008795E-2</v>
      </c>
      <c r="S95" s="6">
        <f>IFERROR((('raw-PriceList'!U95/'raw-PriceList'!U96)-1),"")</f>
        <v>1.7240100561276339E-2</v>
      </c>
      <c r="T95" s="6">
        <f>IFERROR((('raw-PriceList'!V95/'raw-PriceList'!V96)-1),"")</f>
        <v>-2.834173019184727E-2</v>
      </c>
      <c r="U95" s="6">
        <f>IFERROR((('raw-PriceList'!W95/'raw-PriceList'!W96)-1),"")</f>
        <v>3.0119943196590393E-2</v>
      </c>
      <c r="V95" s="6">
        <f>IFERROR((('raw-PriceList'!X95/'raw-PriceList'!X96)-1),"")</f>
        <v>4.0493065138078599E-3</v>
      </c>
      <c r="W95" s="6">
        <f>IFERROR((('raw-PriceList'!Y95/'raw-PriceList'!Y96)-1),"")</f>
        <v>-1.2622135237436827E-2</v>
      </c>
      <c r="X95" s="6" t="str">
        <f>IFERROR((('raw-PriceList'!Z95/'raw-PriceList'!Z96)-1),"")</f>
        <v/>
      </c>
      <c r="Y95" s="6">
        <f>IFERROR((('raw-PriceList'!AA95/'raw-PriceList'!AA96)-1),"")</f>
        <v>9.196576578208715E-3</v>
      </c>
      <c r="Z95" s="6">
        <f>IFERROR((('raw-PriceList'!AB95/'raw-PriceList'!AB96)-1),"")</f>
        <v>-4.2598478828470565E-3</v>
      </c>
      <c r="AA95" s="6">
        <f>IFERROR((('raw-PriceList'!AC95/'raw-PriceList'!AC96)-1),"")</f>
        <v>-5.5953640505996827E-3</v>
      </c>
      <c r="AB95" s="6">
        <f>IFERROR((('raw-PriceList'!AD95/'raw-PriceList'!AD96)-1),"")</f>
        <v>-1.1571035818713327E-2</v>
      </c>
      <c r="AC95" s="6">
        <f>IFERROR((('raw-PriceList'!AE95/'raw-PriceList'!AE96)-1),"")</f>
        <v>-1.1571035818713327E-2</v>
      </c>
      <c r="AD95" s="6">
        <f>IFERROR((('raw-PriceList'!AF95/'raw-PriceList'!AF96)-1),"")</f>
        <v>-2.9053830395348035E-3</v>
      </c>
      <c r="AE95" s="6">
        <f>IFERROR((('raw-PriceList'!AG95/'raw-PriceList'!AG96)-1),"")</f>
        <v>3.7017785260735181E-2</v>
      </c>
      <c r="AF95" s="6">
        <f>IFERROR((('raw-PriceList'!AH95/'raw-PriceList'!AH96)-1),"")</f>
        <v>-2.8638334109456376E-2</v>
      </c>
      <c r="AG95" s="6">
        <f>IFERROR((('raw-PriceList'!AJ95/'raw-PriceList'!AJ96)-1),"")</f>
        <v>-2.1222147057361029E-2</v>
      </c>
      <c r="AH95" s="6">
        <f>IFERROR((('raw-PriceList'!AK95/'raw-PriceList'!AK96)-1),"")</f>
        <v>-2.2734125981240472E-2</v>
      </c>
      <c r="AI95" s="6" t="str">
        <f>IFERROR((('raw-PriceList'!AM95/'raw-PriceList'!AM96)-1),"")</f>
        <v/>
      </c>
      <c r="AJ95" s="6">
        <f>IFERROR((('raw-PriceList'!AN95/'raw-PriceList'!AN96)-1),"")</f>
        <v>-1.0511170797579239E-2</v>
      </c>
      <c r="AK95" s="6" t="str">
        <f>IFERROR((('raw-PriceList'!AO95/'raw-PriceList'!AO96)-1),"")</f>
        <v/>
      </c>
      <c r="AL95" s="6">
        <f>IFERROR((('raw-PriceList'!AP95/'raw-PriceList'!AP96)-1),"")</f>
        <v>-1.3688604997882714E-2</v>
      </c>
      <c r="AM95" s="6">
        <f>IFERROR((('raw-PriceList'!AQ95/'raw-PriceList'!AQ96)-1),"")</f>
        <v>-7.3245805646537931E-3</v>
      </c>
      <c r="AN95" s="6">
        <f>IFERROR((('raw-PriceList'!AR95/'raw-PriceList'!AR96)-1),"")</f>
        <v>-1.0003842776897587E-2</v>
      </c>
      <c r="AO95" s="6" t="str">
        <f>IFERROR((('raw-PriceList'!AS95/'raw-PriceList'!AS96)-1),"")</f>
        <v/>
      </c>
      <c r="AP95" s="6" t="str">
        <f>IFERROR((('raw-PriceList'!AT95/'raw-PriceList'!AT96)-1),"")</f>
        <v/>
      </c>
      <c r="AQ95" s="6">
        <f>IFERROR((('raw-PriceList'!AU95/'raw-PriceList'!AU96)-1),"")</f>
        <v>-1.3444833019940372E-2</v>
      </c>
      <c r="AR95" s="6">
        <f>IFERROR((('raw-PriceList'!AV95/'raw-PriceList'!AV96)-1),"")</f>
        <v>-3.0031230746906612E-2</v>
      </c>
      <c r="AS95" s="6">
        <f>IFERROR((('raw-PriceList'!AW95/'raw-PriceList'!AW96)-1),"")</f>
        <v>-5.9697226389702207E-3</v>
      </c>
    </row>
    <row r="96" spans="1:45" x14ac:dyDescent="0.2">
      <c r="A96" s="2">
        <v>40663</v>
      </c>
      <c r="B96" s="6">
        <f>IFERROR((('raw-PriceList'!B96/'raw-PriceList'!B97)-1),"")</f>
        <v>1.8092516560023419E-2</v>
      </c>
      <c r="C96" s="6">
        <f>IFERROR((('raw-PriceList'!C96/'raw-PriceList'!C97)-1),"")</f>
        <v>2.3425243083883052E-2</v>
      </c>
      <c r="D96" s="6">
        <f>IFERROR((('raw-PriceList'!D96/'raw-PriceList'!D97)-1),"")</f>
        <v>1.1808446969900466E-2</v>
      </c>
      <c r="E96" s="6" t="str">
        <f>IFERROR((('raw-PriceList'!F96/'raw-PriceList'!F97)-1),"")</f>
        <v/>
      </c>
      <c r="F96" s="6">
        <f>IFERROR((('raw-PriceList'!G96/'raw-PriceList'!G97)-1),"")</f>
        <v>7.7824696132369198E-3</v>
      </c>
      <c r="G96" s="6">
        <f>IFERROR((('raw-PriceList'!H96/'raw-PriceList'!H97)-1),"")</f>
        <v>3.1123186894667532E-2</v>
      </c>
      <c r="H96" s="6">
        <f>IFERROR((('raw-PriceList'!J96/'raw-PriceList'!J97)-1),"")</f>
        <v>3.0289635728600439E-2</v>
      </c>
      <c r="I96" s="6">
        <f>IFERROR((('raw-PriceList'!K96/'raw-PriceList'!K97)-1),"")</f>
        <v>3.107342565362381E-2</v>
      </c>
      <c r="J96" s="6">
        <f>IFERROR((('raw-PriceList'!L96/'raw-PriceList'!L97)-1),"")</f>
        <v>3.0142516382674511E-2</v>
      </c>
      <c r="K96" s="6">
        <f>IFERROR((('raw-PriceList'!M96/'raw-PriceList'!M97)-1),"")</f>
        <v>2.9362942257028513E-2</v>
      </c>
      <c r="L96" s="6">
        <f>IFERROR((('raw-PriceList'!N96/'raw-PriceList'!N97)-1),"")</f>
        <v>3.3062631502657647E-2</v>
      </c>
      <c r="M96" s="6">
        <f>IFERROR((('raw-PriceList'!O96/'raw-PriceList'!O97)-1),"")</f>
        <v>2.3306509173862455E-2</v>
      </c>
      <c r="N96" s="6">
        <f>IFERROR((('raw-PriceList'!P96/'raw-PriceList'!P97)-1),"")</f>
        <v>1.7604875750003801E-2</v>
      </c>
      <c r="O96" s="6">
        <f>IFERROR((('raw-PriceList'!Q96/'raw-PriceList'!Q97)-1),"")</f>
        <v>2.2751380448682967E-2</v>
      </c>
      <c r="P96" s="6">
        <f>IFERROR((('raw-PriceList'!R96/'raw-PriceList'!R97)-1),"")</f>
        <v>9.9419669852149894E-3</v>
      </c>
      <c r="Q96" s="6">
        <f>IFERROR((('raw-PriceList'!S96/'raw-PriceList'!S97)-1),"")</f>
        <v>6.2027392854271168E-2</v>
      </c>
      <c r="R96" s="6">
        <f>IFERROR((('raw-PriceList'!T96/'raw-PriceList'!T97)-1),"")</f>
        <v>5.4346138016466927E-2</v>
      </c>
      <c r="S96" s="6">
        <f>IFERROR((('raw-PriceList'!U96/'raw-PriceList'!U97)-1),"")</f>
        <v>1.4036383387420193E-2</v>
      </c>
      <c r="T96" s="6">
        <f>IFERROR((('raw-PriceList'!V96/'raw-PriceList'!V97)-1),"")</f>
        <v>8.2992739254107661E-2</v>
      </c>
      <c r="U96" s="6">
        <f>IFERROR((('raw-PriceList'!W96/'raw-PriceList'!W97)-1),"")</f>
        <v>1.8443017000120632E-2</v>
      </c>
      <c r="V96" s="6">
        <f>IFERROR((('raw-PriceList'!X96/'raw-PriceList'!X97)-1),"")</f>
        <v>2.5267575492831096E-3</v>
      </c>
      <c r="W96" s="6">
        <f>IFERROR((('raw-PriceList'!Y96/'raw-PriceList'!Y97)-1),"")</f>
        <v>3.5014433286114199E-2</v>
      </c>
      <c r="X96" s="6" t="str">
        <f>IFERROR((('raw-PriceList'!Z96/'raw-PriceList'!Z97)-1),"")</f>
        <v/>
      </c>
      <c r="Y96" s="6">
        <f>IFERROR((('raw-PriceList'!AA96/'raw-PriceList'!AA97)-1),"")</f>
        <v>1.2470778932719417E-2</v>
      </c>
      <c r="Z96" s="6">
        <f>IFERROR((('raw-PriceList'!AB96/'raw-PriceList'!AB97)-1),"")</f>
        <v>4.473933008516795E-2</v>
      </c>
      <c r="AA96" s="6">
        <f>IFERROR((('raw-PriceList'!AC96/'raw-PriceList'!AC97)-1),"")</f>
        <v>2.9228326435017049E-2</v>
      </c>
      <c r="AB96" s="6">
        <f>IFERROR((('raw-PriceList'!AD96/'raw-PriceList'!AD97)-1),"")</f>
        <v>2.924103467946626E-2</v>
      </c>
      <c r="AC96" s="6">
        <f>IFERROR((('raw-PriceList'!AE96/'raw-PriceList'!AE97)-1),"")</f>
        <v>2.924103467946626E-2</v>
      </c>
      <c r="AD96" s="6">
        <f>IFERROR((('raw-PriceList'!AF96/'raw-PriceList'!AF97)-1),"")</f>
        <v>2.5031774380635863E-2</v>
      </c>
      <c r="AE96" s="6">
        <f>IFERROR((('raw-PriceList'!AG96/'raw-PriceList'!AG97)-1),"")</f>
        <v>2.0908003036709699E-2</v>
      </c>
      <c r="AF96" s="6">
        <f>IFERROR((('raw-PriceList'!AH96/'raw-PriceList'!AH97)-1),"")</f>
        <v>3.5109798726963515E-2</v>
      </c>
      <c r="AG96" s="6">
        <f>IFERROR((('raw-PriceList'!AJ96/'raw-PriceList'!AJ97)-1),"")</f>
        <v>5.1612361403085005E-2</v>
      </c>
      <c r="AH96" s="6">
        <f>IFERROR((('raw-PriceList'!AK96/'raw-PriceList'!AK97)-1),"")</f>
        <v>4.3533622707132347E-2</v>
      </c>
      <c r="AI96" s="6" t="str">
        <f>IFERROR((('raw-PriceList'!AM96/'raw-PriceList'!AM97)-1),"")</f>
        <v/>
      </c>
      <c r="AJ96" s="6">
        <f>IFERROR((('raw-PriceList'!AN96/'raw-PriceList'!AN97)-1),"")</f>
        <v>2.8983214399550539E-2</v>
      </c>
      <c r="AK96" s="6" t="str">
        <f>IFERROR((('raw-PriceList'!AO96/'raw-PriceList'!AO97)-1),"")</f>
        <v/>
      </c>
      <c r="AL96" s="6">
        <f>IFERROR((('raw-PriceList'!AP96/'raw-PriceList'!AP97)-1),"")</f>
        <v>2.9572305604995908E-2</v>
      </c>
      <c r="AM96" s="6">
        <f>IFERROR((('raw-PriceList'!AQ96/'raw-PriceList'!AQ97)-1),"")</f>
        <v>3.0930342615872908E-2</v>
      </c>
      <c r="AN96" s="6">
        <f>IFERROR((('raw-PriceList'!AR96/'raw-PriceList'!AR97)-1),"")</f>
        <v>2.9846399154862091E-2</v>
      </c>
      <c r="AO96" s="6" t="str">
        <f>IFERROR((('raw-PriceList'!AS96/'raw-PriceList'!AS97)-1),"")</f>
        <v/>
      </c>
      <c r="AP96" s="6" t="str">
        <f>IFERROR((('raw-PriceList'!AT96/'raw-PriceList'!AT97)-1),"")</f>
        <v/>
      </c>
      <c r="AQ96" s="6">
        <f>IFERROR((('raw-PriceList'!AU96/'raw-PriceList'!AU97)-1),"")</f>
        <v>2.7399354855096369E-2</v>
      </c>
      <c r="AR96" s="6">
        <f>IFERROR((('raw-PriceList'!AV96/'raw-PriceList'!AV97)-1),"")</f>
        <v>5.1712180584687184E-2</v>
      </c>
      <c r="AS96" s="6">
        <f>IFERROR((('raw-PriceList'!AW96/'raw-PriceList'!AW97)-1),"")</f>
        <v>4.0176404240920505E-2</v>
      </c>
    </row>
    <row r="97" spans="1:45" x14ac:dyDescent="0.2">
      <c r="A97" s="2">
        <v>40633</v>
      </c>
      <c r="B97" s="6">
        <f>IFERROR((('raw-PriceList'!B97/'raw-PriceList'!B98)-1),"")</f>
        <v>-9.7418571533317566E-3</v>
      </c>
      <c r="C97" s="6">
        <f>IFERROR((('raw-PriceList'!C97/'raw-PriceList'!C98)-1),"")</f>
        <v>-7.6605053429040781E-3</v>
      </c>
      <c r="D97" s="6">
        <f>IFERROR((('raw-PriceList'!D97/'raw-PriceList'!D98)-1),"")</f>
        <v>-4.1001423425447436E-3</v>
      </c>
      <c r="E97" s="6" t="str">
        <f>IFERROR((('raw-PriceList'!F97/'raw-PriceList'!F98)-1),"")</f>
        <v/>
      </c>
      <c r="F97" s="6">
        <f>IFERROR((('raw-PriceList'!G97/'raw-PriceList'!G98)-1),"")</f>
        <v>-3.478559677376758E-3</v>
      </c>
      <c r="G97" s="6">
        <f>IFERROR((('raw-PriceList'!H97/'raw-PriceList'!H98)-1),"")</f>
        <v>-1.1076903095620705E-2</v>
      </c>
      <c r="H97" s="6">
        <f>IFERROR((('raw-PriceList'!J97/'raw-PriceList'!J98)-1),"")</f>
        <v>-6.529513250060015E-3</v>
      </c>
      <c r="I97" s="6">
        <f>IFERROR((('raw-PriceList'!K97/'raw-PriceList'!K98)-1),"")</f>
        <v>-3.6540394352685412E-3</v>
      </c>
      <c r="J97" s="6">
        <f>IFERROR((('raw-PriceList'!L97/'raw-PriceList'!L98)-1),"")</f>
        <v>-9.0318365553412328E-3</v>
      </c>
      <c r="K97" s="6">
        <f>IFERROR((('raw-PriceList'!M97/'raw-PriceList'!M98)-1),"")</f>
        <v>2.3446458348719501E-2</v>
      </c>
      <c r="L97" s="6">
        <f>IFERROR((('raw-PriceList'!N97/'raw-PriceList'!N98)-1),"")</f>
        <v>3.1864855270993697E-2</v>
      </c>
      <c r="M97" s="6">
        <f>IFERROR((('raw-PriceList'!O97/'raw-PriceList'!O98)-1),"")</f>
        <v>1.4675756189262312E-2</v>
      </c>
      <c r="N97" s="6">
        <f>IFERROR((('raw-PriceList'!P97/'raw-PriceList'!P98)-1),"")</f>
        <v>-4.7052004269335646E-3</v>
      </c>
      <c r="O97" s="6">
        <f>IFERROR((('raw-PriceList'!Q97/'raw-PriceList'!Q98)-1),"")</f>
        <v>-1.1317616756851057E-2</v>
      </c>
      <c r="P97" s="6">
        <f>IFERROR((('raw-PriceList'!R97/'raw-PriceList'!R98)-1),"")</f>
        <v>-3.6250142195268786E-3</v>
      </c>
      <c r="Q97" s="6">
        <f>IFERROR((('raw-PriceList'!S97/'raw-PriceList'!S98)-1),"")</f>
        <v>-2.5304616799381452E-2</v>
      </c>
      <c r="R97" s="6">
        <f>IFERROR((('raw-PriceList'!T97/'raw-PriceList'!T98)-1),"")</f>
        <v>-2.1467063705853384E-3</v>
      </c>
      <c r="S97" s="6">
        <f>IFERROR((('raw-PriceList'!U97/'raw-PriceList'!U98)-1),"")</f>
        <v>-3.4660480644440606E-3</v>
      </c>
      <c r="T97" s="6">
        <f>IFERROR((('raw-PriceList'!V97/'raw-PriceList'!V98)-1),"")</f>
        <v>-1.0202168689573021E-2</v>
      </c>
      <c r="U97" s="6">
        <f>IFERROR((('raw-PriceList'!W97/'raw-PriceList'!W98)-1),"")</f>
        <v>-4.3463835881201174E-3</v>
      </c>
      <c r="V97" s="6">
        <f>IFERROR((('raw-PriceList'!X97/'raw-PriceList'!X98)-1),"")</f>
        <v>-1.5068718538417958E-3</v>
      </c>
      <c r="W97" s="6">
        <f>IFERROR((('raw-PriceList'!Y97/'raw-PriceList'!Y98)-1),"")</f>
        <v>5.5009253046549578E-3</v>
      </c>
      <c r="X97" s="6" t="str">
        <f>IFERROR((('raw-PriceList'!Z97/'raw-PriceList'!Z98)-1),"")</f>
        <v/>
      </c>
      <c r="Y97" s="6">
        <f>IFERROR((('raw-PriceList'!AA97/'raw-PriceList'!AA98)-1),"")</f>
        <v>-3.6329446577854085E-3</v>
      </c>
      <c r="Z97" s="6">
        <f>IFERROR((('raw-PriceList'!AB97/'raw-PriceList'!AB98)-1),"")</f>
        <v>-1.1765007838073771E-3</v>
      </c>
      <c r="AA97" s="6">
        <f>IFERROR((('raw-PriceList'!AC97/'raw-PriceList'!AC98)-1),"")</f>
        <v>1.2780677659093964E-2</v>
      </c>
      <c r="AB97" s="6">
        <f>IFERROR((('raw-PriceList'!AD97/'raw-PriceList'!AD98)-1),"")</f>
        <v>-4.491062462176898E-3</v>
      </c>
      <c r="AC97" s="6">
        <f>IFERROR((('raw-PriceList'!AE97/'raw-PriceList'!AE98)-1),"")</f>
        <v>-4.491062462176898E-3</v>
      </c>
      <c r="AD97" s="6">
        <f>IFERROR((('raw-PriceList'!AF97/'raw-PriceList'!AF98)-1),"")</f>
        <v>2.0033173000677529E-2</v>
      </c>
      <c r="AE97" s="6">
        <f>IFERROR((('raw-PriceList'!AG97/'raw-PriceList'!AG98)-1),"")</f>
        <v>3.7284427305841694E-2</v>
      </c>
      <c r="AF97" s="6">
        <f>IFERROR((('raw-PriceList'!AH97/'raw-PriceList'!AH98)-1),"")</f>
        <v>-6.0154211264482726E-2</v>
      </c>
      <c r="AG97" s="6">
        <f>IFERROR((('raw-PriceList'!AJ97/'raw-PriceList'!AJ98)-1),"")</f>
        <v>1.3384098994032589E-2</v>
      </c>
      <c r="AH97" s="6">
        <f>IFERROR((('raw-PriceList'!AK97/'raw-PriceList'!AK98)-1),"")</f>
        <v>-5.7606238310636826E-4</v>
      </c>
      <c r="AI97" s="6" t="str">
        <f>IFERROR((('raw-PriceList'!AM97/'raw-PriceList'!AM98)-1),"")</f>
        <v/>
      </c>
      <c r="AJ97" s="6">
        <f>IFERROR((('raw-PriceList'!AN97/'raw-PriceList'!AN98)-1),"")</f>
        <v>-6.796447277257478E-5</v>
      </c>
      <c r="AK97" s="6" t="str">
        <f>IFERROR((('raw-PriceList'!AO97/'raw-PriceList'!AO98)-1),"")</f>
        <v/>
      </c>
      <c r="AL97" s="6">
        <f>IFERROR((('raw-PriceList'!AP97/'raw-PriceList'!AP98)-1),"")</f>
        <v>-5.9225437478740428E-3</v>
      </c>
      <c r="AM97" s="6">
        <f>IFERROR((('raw-PriceList'!AQ97/'raw-PriceList'!AQ98)-1),"")</f>
        <v>2.0995680488633539E-5</v>
      </c>
      <c r="AN97" s="6">
        <f>IFERROR((('raw-PriceList'!AR97/'raw-PriceList'!AR98)-1),"")</f>
        <v>-3.1617071742457981E-3</v>
      </c>
      <c r="AO97" s="6" t="str">
        <f>IFERROR((('raw-PriceList'!AS97/'raw-PriceList'!AS98)-1),"")</f>
        <v/>
      </c>
      <c r="AP97" s="6" t="str">
        <f>IFERROR((('raw-PriceList'!AT97/'raw-PriceList'!AT98)-1),"")</f>
        <v/>
      </c>
      <c r="AQ97" s="6">
        <f>IFERROR((('raw-PriceList'!AU97/'raw-PriceList'!AU98)-1),"")</f>
        <v>2.0700218341856758E-2</v>
      </c>
      <c r="AR97" s="6">
        <f>IFERROR((('raw-PriceList'!AV97/'raw-PriceList'!AV98)-1),"")</f>
        <v>-2.48195498429582E-3</v>
      </c>
      <c r="AS97" s="6">
        <f>IFERROR((('raw-PriceList'!AW97/'raw-PriceList'!AW98)-1),"")</f>
        <v>8.1892561921925733E-5</v>
      </c>
    </row>
    <row r="98" spans="1:45" x14ac:dyDescent="0.2">
      <c r="A98" s="2">
        <v>40602</v>
      </c>
      <c r="B98" s="6">
        <f>IFERROR((('raw-PriceList'!B98/'raw-PriceList'!B99)-1),"")</f>
        <v>-2.5659969796490989E-3</v>
      </c>
      <c r="C98" s="6">
        <f>IFERROR((('raw-PriceList'!C98/'raw-PriceList'!C99)-1),"")</f>
        <v>1.0180167040353849E-2</v>
      </c>
      <c r="D98" s="6">
        <f>IFERROR((('raw-PriceList'!D98/'raw-PriceList'!D99)-1),"")</f>
        <v>6.2108368772850753E-5</v>
      </c>
      <c r="E98" s="6" t="str">
        <f>IFERROR((('raw-PriceList'!F98/'raw-PriceList'!F99)-1),"")</f>
        <v/>
      </c>
      <c r="F98" s="6">
        <f>IFERROR((('raw-PriceList'!G98/'raw-PriceList'!G99)-1),"")</f>
        <v>-3.88671426080478E-3</v>
      </c>
      <c r="G98" s="6">
        <f>IFERROR((('raw-PriceList'!H98/'raw-PriceList'!H99)-1),"")</f>
        <v>2.7059181627012041E-2</v>
      </c>
      <c r="H98" s="6">
        <f>IFERROR((('raw-PriceList'!J98/'raw-PriceList'!J99)-1),"")</f>
        <v>3.2314136735386523E-2</v>
      </c>
      <c r="I98" s="6">
        <f>IFERROR((('raw-PriceList'!K98/'raw-PriceList'!K99)-1),"")</f>
        <v>2.3902737367706095E-2</v>
      </c>
      <c r="J98" s="6">
        <f>IFERROR((('raw-PriceList'!L98/'raw-PriceList'!L99)-1),"")</f>
        <v>4.0684904341085293E-2</v>
      </c>
      <c r="K98" s="6">
        <f>IFERROR((('raw-PriceList'!M98/'raw-PriceList'!M99)-1),"")</f>
        <v>5.5255934781494043E-2</v>
      </c>
      <c r="L98" s="6">
        <f>IFERROR((('raw-PriceList'!N98/'raw-PriceList'!N99)-1),"")</f>
        <v>6.2208723231619745E-2</v>
      </c>
      <c r="M98" s="6">
        <f>IFERROR((('raw-PriceList'!O98/'raw-PriceList'!O99)-1),"")</f>
        <v>4.690435703566842E-2</v>
      </c>
      <c r="N98" s="6">
        <f>IFERROR((('raw-PriceList'!P98/'raw-PriceList'!P99)-1),"")</f>
        <v>2.5225220213351829E-3</v>
      </c>
      <c r="O98" s="6">
        <f>IFERROR((('raw-PriceList'!Q98/'raw-PriceList'!Q99)-1),"")</f>
        <v>1.3413098335536944E-2</v>
      </c>
      <c r="P98" s="6">
        <f>IFERROR((('raw-PriceList'!R98/'raw-PriceList'!R99)-1),"")</f>
        <v>2.4836532506178344E-5</v>
      </c>
      <c r="Q98" s="6">
        <f>IFERROR((('raw-PriceList'!S98/'raw-PriceList'!S99)-1),"")</f>
        <v>3.6414884370761014E-2</v>
      </c>
      <c r="R98" s="6">
        <f>IFERROR((('raw-PriceList'!T98/'raw-PriceList'!T99)-1),"")</f>
        <v>2.7357707228511163E-2</v>
      </c>
      <c r="S98" s="6">
        <f>IFERROR((('raw-PriceList'!U98/'raw-PriceList'!U99)-1),"")</f>
        <v>-7.5420637414324032E-3</v>
      </c>
      <c r="T98" s="6">
        <f>IFERROR((('raw-PriceList'!V98/'raw-PriceList'!V99)-1),"")</f>
        <v>3.1279158250130834E-2</v>
      </c>
      <c r="U98" s="6">
        <f>IFERROR((('raw-PriceList'!W98/'raw-PriceList'!W99)-1),"")</f>
        <v>1.0712327159848378E-2</v>
      </c>
      <c r="V98" s="6">
        <f>IFERROR((('raw-PriceList'!X98/'raw-PriceList'!X99)-1),"")</f>
        <v>-1.094093346587055E-3</v>
      </c>
      <c r="W98" s="6">
        <f>IFERROR((('raw-PriceList'!Y98/'raw-PriceList'!Y99)-1),"")</f>
        <v>3.4265594469871763E-2</v>
      </c>
      <c r="X98" s="6" t="str">
        <f>IFERROR((('raw-PriceList'!Z98/'raw-PriceList'!Z99)-1),"")</f>
        <v/>
      </c>
      <c r="Y98" s="6">
        <f>IFERROR((('raw-PriceList'!AA98/'raw-PriceList'!AA99)-1),"")</f>
        <v>6.6155435473502777E-5</v>
      </c>
      <c r="Z98" s="6">
        <f>IFERROR((('raw-PriceList'!AB98/'raw-PriceList'!AB99)-1),"")</f>
        <v>1.1424963347222317E-2</v>
      </c>
      <c r="AA98" s="6">
        <f>IFERROR((('raw-PriceList'!AC98/'raw-PriceList'!AC99)-1),"")</f>
        <v>3.7192866340059805E-2</v>
      </c>
      <c r="AB98" s="6">
        <f>IFERROR((('raw-PriceList'!AD98/'raw-PriceList'!AD99)-1),"")</f>
        <v>3.4558774433173678E-2</v>
      </c>
      <c r="AC98" s="6">
        <f>IFERROR((('raw-PriceList'!AE98/'raw-PriceList'!AE99)-1),"")</f>
        <v>3.4558774433173678E-2</v>
      </c>
      <c r="AD98" s="6">
        <f>IFERROR((('raw-PriceList'!AF98/'raw-PriceList'!AF99)-1),"")</f>
        <v>4.3598690860463973E-2</v>
      </c>
      <c r="AE98" s="6">
        <f>IFERROR((('raw-PriceList'!AG98/'raw-PriceList'!AG99)-1),"")</f>
        <v>2.4055226085077486E-2</v>
      </c>
      <c r="AF98" s="6">
        <f>IFERROR((('raw-PriceList'!AH98/'raw-PriceList'!AH99)-1),"")</f>
        <v>4.2565574640874182E-2</v>
      </c>
      <c r="AG98" s="6">
        <f>IFERROR((('raw-PriceList'!AJ98/'raw-PriceList'!AJ99)-1),"")</f>
        <v>1.7393848123370859E-2</v>
      </c>
      <c r="AH98" s="6">
        <f>IFERROR((('raw-PriceList'!AK98/'raw-PriceList'!AK99)-1),"")</f>
        <v>2.9270093081194215E-2</v>
      </c>
      <c r="AI98" s="6" t="str">
        <f>IFERROR((('raw-PriceList'!AM98/'raw-PriceList'!AM99)-1),"")</f>
        <v/>
      </c>
      <c r="AJ98" s="6">
        <f>IFERROR((('raw-PriceList'!AN98/'raw-PriceList'!AN99)-1),"")</f>
        <v>3.7042308236799215E-2</v>
      </c>
      <c r="AK98" s="6" t="str">
        <f>IFERROR((('raw-PriceList'!AO98/'raw-PriceList'!AO99)-1),"")</f>
        <v/>
      </c>
      <c r="AL98" s="6">
        <f>IFERROR((('raw-PriceList'!AP98/'raw-PriceList'!AP99)-1),"")</f>
        <v>4.0350252185657576E-2</v>
      </c>
      <c r="AM98" s="6">
        <f>IFERROR((('raw-PriceList'!AQ98/'raw-PriceList'!AQ99)-1),"")</f>
        <v>2.7633405956088763E-2</v>
      </c>
      <c r="AN98" s="6">
        <f>IFERROR((('raw-PriceList'!AR98/'raw-PriceList'!AR99)-1),"")</f>
        <v>3.4311285385485224E-2</v>
      </c>
      <c r="AO98" s="6" t="str">
        <f>IFERROR((('raw-PriceList'!AS98/'raw-PriceList'!AS99)-1),"")</f>
        <v/>
      </c>
      <c r="AP98" s="6" t="str">
        <f>IFERROR((('raw-PriceList'!AT98/'raw-PriceList'!AT99)-1),"")</f>
        <v/>
      </c>
      <c r="AQ98" s="6">
        <f>IFERROR((('raw-PriceList'!AU98/'raw-PriceList'!AU99)-1),"")</f>
        <v>4.6990879808910258E-2</v>
      </c>
      <c r="AR98" s="6" t="str">
        <f>IFERROR((('raw-PriceList'!AV98/'raw-PriceList'!AV99)-1),"")</f>
        <v/>
      </c>
      <c r="AS98" s="6">
        <f>IFERROR((('raw-PriceList'!AW98/'raw-PriceList'!AW99)-1),"")</f>
        <v>3.4958933304941375E-2</v>
      </c>
    </row>
    <row r="99" spans="1:45" x14ac:dyDescent="0.2">
      <c r="A99" s="1">
        <v>40574</v>
      </c>
      <c r="B99" s="6" t="str">
        <f>IFERROR((('raw-PriceList'!B99/'raw-PriceList'!B100)-1),"")</f>
        <v/>
      </c>
      <c r="C99" s="6" t="str">
        <f>IFERROR((('raw-PriceList'!C99/'raw-PriceList'!C100)-1),"")</f>
        <v/>
      </c>
      <c r="D99" s="6" t="str">
        <f>IFERROR((('raw-PriceList'!D99/'raw-PriceList'!D100)-1),"")</f>
        <v/>
      </c>
      <c r="E99" s="6" t="str">
        <f>IFERROR((('raw-PriceList'!F99/'raw-PriceList'!F100)-1),"")</f>
        <v/>
      </c>
      <c r="F99" s="6" t="str">
        <f>IFERROR((('raw-PriceList'!G99/'raw-PriceList'!G100)-1),"")</f>
        <v/>
      </c>
      <c r="G99" s="6" t="str">
        <f>IFERROR((('raw-PriceList'!H99/'raw-PriceList'!H100)-1),"")</f>
        <v/>
      </c>
      <c r="H99" s="6" t="str">
        <f>IFERROR((('raw-PriceList'!J99/'raw-PriceList'!J100)-1),"")</f>
        <v/>
      </c>
      <c r="I99" s="6" t="str">
        <f>IFERROR((('raw-PriceList'!K99/'raw-PriceList'!K100)-1),"")</f>
        <v/>
      </c>
      <c r="J99" s="6" t="str">
        <f>IFERROR((('raw-PriceList'!L99/'raw-PriceList'!L100)-1),"")</f>
        <v/>
      </c>
      <c r="K99" s="6" t="str">
        <f>IFERROR((('raw-PriceList'!M99/'raw-PriceList'!M100)-1),"")</f>
        <v/>
      </c>
      <c r="L99" s="6" t="str">
        <f>IFERROR((('raw-PriceList'!N99/'raw-PriceList'!N100)-1),"")</f>
        <v/>
      </c>
      <c r="M99" s="6" t="str">
        <f>IFERROR((('raw-PriceList'!O99/'raw-PriceList'!O100)-1),"")</f>
        <v/>
      </c>
      <c r="N99" s="6" t="str">
        <f>IFERROR((('raw-PriceList'!P99/'raw-PriceList'!P100)-1),"")</f>
        <v/>
      </c>
      <c r="O99" s="6" t="str">
        <f>IFERROR((('raw-PriceList'!Q99/'raw-PriceList'!Q100)-1),"")</f>
        <v/>
      </c>
      <c r="P99" s="6" t="str">
        <f>IFERROR((('raw-PriceList'!R99/'raw-PriceList'!R100)-1),"")</f>
        <v/>
      </c>
      <c r="Q99" s="6" t="str">
        <f>IFERROR((('raw-PriceList'!S99/'raw-PriceList'!S100)-1),"")</f>
        <v/>
      </c>
      <c r="R99" s="6" t="str">
        <f>IFERROR((('raw-PriceList'!T99/'raw-PriceList'!T100)-1),"")</f>
        <v/>
      </c>
      <c r="S99" s="6" t="str">
        <f>IFERROR((('raw-PriceList'!U99/'raw-PriceList'!U100)-1),"")</f>
        <v/>
      </c>
      <c r="T99" s="6" t="str">
        <f>IFERROR((('raw-PriceList'!V99/'raw-PriceList'!V100)-1),"")</f>
        <v/>
      </c>
      <c r="U99" s="6" t="str">
        <f>IFERROR((('raw-PriceList'!W99/'raw-PriceList'!W100)-1),"")</f>
        <v/>
      </c>
      <c r="V99" s="6" t="str">
        <f>IFERROR((('raw-PriceList'!X99/'raw-PriceList'!X100)-1),"")</f>
        <v/>
      </c>
      <c r="W99" s="6" t="str">
        <f>IFERROR((('raw-PriceList'!Y99/'raw-PriceList'!Y100)-1),"")</f>
        <v/>
      </c>
      <c r="X99" s="6" t="str">
        <f>IFERROR((('raw-PriceList'!Z99/'raw-PriceList'!Z100)-1),"")</f>
        <v/>
      </c>
      <c r="Y99" s="6" t="str">
        <f>IFERROR((('raw-PriceList'!AA99/'raw-PriceList'!AA100)-1),"")</f>
        <v/>
      </c>
      <c r="Z99" s="6" t="str">
        <f>IFERROR((('raw-PriceList'!AB99/'raw-PriceList'!AB100)-1),"")</f>
        <v/>
      </c>
      <c r="AA99" s="6" t="str">
        <f>IFERROR((('raw-PriceList'!AC99/'raw-PriceList'!AC100)-1),"")</f>
        <v/>
      </c>
      <c r="AB99" s="6" t="str">
        <f>IFERROR((('raw-PriceList'!AD99/'raw-PriceList'!AD100)-1),"")</f>
        <v/>
      </c>
      <c r="AC99" s="6" t="str">
        <f>IFERROR((('raw-PriceList'!AE99/'raw-PriceList'!AE100)-1),"")</f>
        <v/>
      </c>
      <c r="AD99" s="6" t="str">
        <f>IFERROR((('raw-PriceList'!AF99/'raw-PriceList'!AF100)-1),"")</f>
        <v/>
      </c>
      <c r="AE99" s="6" t="str">
        <f>IFERROR((('raw-PriceList'!AG99/'raw-PriceList'!AG100)-1),"")</f>
        <v/>
      </c>
      <c r="AF99" s="6" t="str">
        <f>IFERROR((('raw-PriceList'!AH99/'raw-PriceList'!AH100)-1),"")</f>
        <v/>
      </c>
      <c r="AG99" s="6" t="str">
        <f>IFERROR((('raw-PriceList'!AJ99/'raw-PriceList'!AJ100)-1),"")</f>
        <v/>
      </c>
      <c r="AH99" s="6" t="str">
        <f>IFERROR((('raw-PriceList'!AK99/'raw-PriceList'!AK100)-1),"")</f>
        <v/>
      </c>
      <c r="AI99" s="6" t="str">
        <f>IFERROR((('raw-PriceList'!AM99/'raw-PriceList'!AM100)-1),"")</f>
        <v/>
      </c>
      <c r="AJ99" s="6" t="str">
        <f>IFERROR((('raw-PriceList'!AN99/'raw-PriceList'!AN100)-1),"")</f>
        <v/>
      </c>
      <c r="AK99" s="6" t="str">
        <f>IFERROR((('raw-PriceList'!AO99/'raw-PriceList'!AO100)-1),"")</f>
        <v/>
      </c>
      <c r="AL99" s="6" t="str">
        <f>IFERROR((('raw-PriceList'!AP99/'raw-PriceList'!AP100)-1),"")</f>
        <v/>
      </c>
      <c r="AM99" s="6" t="str">
        <f>IFERROR((('raw-PriceList'!AQ99/'raw-PriceList'!AQ100)-1),"")</f>
        <v/>
      </c>
      <c r="AN99" s="6" t="str">
        <f>IFERROR((('raw-PriceList'!AR99/'raw-PriceList'!AR100)-1),"")</f>
        <v/>
      </c>
      <c r="AO99" s="6" t="str">
        <f>IFERROR((('raw-PriceList'!AS99/'raw-PriceList'!AS100)-1),"")</f>
        <v/>
      </c>
      <c r="AP99" s="6" t="str">
        <f>IFERROR((('raw-PriceList'!AT99/'raw-PriceList'!AT100)-1),"")</f>
        <v/>
      </c>
      <c r="AQ99" s="6" t="str">
        <f>IFERROR((('raw-PriceList'!AU99/'raw-PriceList'!AU100)-1),"")</f>
        <v/>
      </c>
      <c r="AR99" s="6" t="str">
        <f>IFERROR((('raw-PriceList'!AV99/'raw-PriceList'!AV100)-1),"")</f>
        <v/>
      </c>
      <c r="AS99" s="6" t="str">
        <f>IFERROR((('raw-PriceList'!AW99/'raw-PriceList'!AW100)-1),"")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9.9978637043366805E-2"/>
  </sheetPr>
  <dimension ref="A1:AX99"/>
  <sheetViews>
    <sheetView showGridLines="0" topLeftCell="J25" zoomScale="58" workbookViewId="0">
      <selection activeCell="AV2" sqref="AV2:AV99"/>
    </sheetView>
  </sheetViews>
  <sheetFormatPr defaultRowHeight="14.25" x14ac:dyDescent="0.2"/>
  <cols>
    <col min="1" max="1" width="10.875" bestFit="1" customWidth="1"/>
    <col min="2" max="48" width="9.625" bestFit="1" customWidth="1"/>
    <col min="49" max="49" width="6" bestFit="1" customWidth="1"/>
    <col min="50" max="50" width="6.375" bestFit="1" customWidth="1"/>
    <col min="51" max="51" width="8.375" bestFit="1" customWidth="1"/>
    <col min="52" max="52" width="7.875" bestFit="1" customWidth="1"/>
    <col min="53" max="54" width="8.375" bestFit="1" customWidth="1"/>
    <col min="55" max="55" width="7.875" bestFit="1" customWidth="1"/>
    <col min="56" max="57" width="8.375" bestFit="1" customWidth="1"/>
    <col min="58" max="58" width="8.375" customWidth="1"/>
    <col min="59" max="59" width="8.375" bestFit="1" customWidth="1"/>
    <col min="60" max="60" width="7.875" bestFit="1" customWidth="1"/>
    <col min="65" max="65" width="9.875" bestFit="1" customWidth="1"/>
    <col min="125" max="125" width="9.875" bestFit="1" customWidth="1"/>
    <col min="126" max="132" width="6.875" customWidth="1"/>
    <col min="134" max="138" width="6.875" customWidth="1"/>
    <col min="140" max="141" width="6.875" customWidth="1"/>
    <col min="142" max="142" width="5.875" customWidth="1"/>
    <col min="143" max="145" width="6.875" customWidth="1"/>
    <col min="146" max="146" width="7.875" customWidth="1"/>
    <col min="147" max="162" width="6.875" customWidth="1"/>
    <col min="163" max="163" width="5.875" customWidth="1"/>
    <col min="164" max="175" width="6.875" customWidth="1"/>
  </cols>
  <sheetData>
    <row r="1" spans="1:50" x14ac:dyDescent="0.2">
      <c r="A1" s="4" t="s">
        <v>132</v>
      </c>
      <c r="B1" s="4" t="s">
        <v>74</v>
      </c>
      <c r="C1" s="4" t="s">
        <v>76</v>
      </c>
      <c r="D1" s="4" t="s">
        <v>81</v>
      </c>
      <c r="E1" s="4" t="s">
        <v>103</v>
      </c>
      <c r="F1" s="4" t="s">
        <v>104</v>
      </c>
      <c r="G1" s="4" t="s">
        <v>79</v>
      </c>
      <c r="H1" s="4" t="s">
        <v>73</v>
      </c>
      <c r="I1" s="4" t="s">
        <v>87</v>
      </c>
      <c r="J1" s="4" t="s">
        <v>91</v>
      </c>
      <c r="K1" s="4" t="s">
        <v>92</v>
      </c>
      <c r="L1" s="4" t="s">
        <v>93</v>
      </c>
      <c r="M1" s="4" t="s">
        <v>100</v>
      </c>
      <c r="N1" s="4" t="s">
        <v>101</v>
      </c>
      <c r="O1" s="4" t="s">
        <v>102</v>
      </c>
      <c r="P1" s="4" t="s">
        <v>82</v>
      </c>
      <c r="Q1" s="4" t="s">
        <v>83</v>
      </c>
      <c r="R1" s="4" t="s">
        <v>84</v>
      </c>
      <c r="S1" s="4" t="s">
        <v>110</v>
      </c>
      <c r="T1" s="4" t="s">
        <v>108</v>
      </c>
      <c r="U1" s="4" t="s">
        <v>75</v>
      </c>
      <c r="V1" s="4" t="s">
        <v>111</v>
      </c>
      <c r="W1" s="4" t="s">
        <v>77</v>
      </c>
      <c r="X1" s="4" t="s">
        <v>80</v>
      </c>
      <c r="Y1" s="4" t="s">
        <v>86</v>
      </c>
      <c r="Z1" s="4" t="s">
        <v>114</v>
      </c>
      <c r="AA1" s="4" t="s">
        <v>78</v>
      </c>
      <c r="AB1" s="4" t="s">
        <v>113</v>
      </c>
      <c r="AC1" s="4" t="s">
        <v>99</v>
      </c>
      <c r="AD1" s="4" t="s">
        <v>94</v>
      </c>
      <c r="AE1" s="4" t="s">
        <v>187</v>
      </c>
      <c r="AF1" s="4" t="s">
        <v>98</v>
      </c>
      <c r="AG1" s="4" t="s">
        <v>117</v>
      </c>
      <c r="AH1" s="4" t="s">
        <v>112</v>
      </c>
      <c r="AI1" s="4" t="s">
        <v>107</v>
      </c>
      <c r="AJ1" s="4" t="s">
        <v>109</v>
      </c>
      <c r="AK1" s="4" t="s">
        <v>106</v>
      </c>
      <c r="AL1" s="4" t="s">
        <v>142</v>
      </c>
      <c r="AM1" s="4" t="s">
        <v>85</v>
      </c>
      <c r="AN1" s="4" t="s">
        <v>95</v>
      </c>
      <c r="AO1" s="4" t="s">
        <v>141</v>
      </c>
      <c r="AP1" s="4" t="s">
        <v>96</v>
      </c>
      <c r="AQ1" s="4" t="s">
        <v>88</v>
      </c>
      <c r="AR1" s="4" t="s">
        <v>90</v>
      </c>
      <c r="AS1" s="4" t="s">
        <v>105</v>
      </c>
      <c r="AT1" s="4" t="s">
        <v>188</v>
      </c>
      <c r="AU1" s="4" t="s">
        <v>97</v>
      </c>
      <c r="AV1" s="4" t="s">
        <v>116</v>
      </c>
      <c r="AW1" s="4" t="s">
        <v>89</v>
      </c>
      <c r="AX1" s="4" t="s">
        <v>115</v>
      </c>
    </row>
    <row r="2" spans="1:50" x14ac:dyDescent="0.2">
      <c r="A2" s="2">
        <v>43524</v>
      </c>
      <c r="B2" s="6">
        <f>IFERROR('raw-Return'!B3-Table14[[#This Row],[RF]],"")</f>
        <v>-1.3378513439287785E-2</v>
      </c>
      <c r="C2" s="6">
        <f>IFERROR('raw-Return'!C3-Table14[[#This Row],[RF]],"")</f>
        <v>-1.0866055057927957E-2</v>
      </c>
      <c r="D2" s="6">
        <f>IFERROR('raw-Return'!D3-Table14[[#This Row],[RF]],"")</f>
        <v>-1.838801638379409E-2</v>
      </c>
      <c r="E2" s="6">
        <f>IFERROR('raw-Return'!E3-Table14[[#This Row],[RF]],"")</f>
        <v>-1.9546250767973481E-2</v>
      </c>
      <c r="F2" s="6">
        <f>IFERROR('raw-Return'!F3-Table14[[#This Row],[RF]],"")</f>
        <v>-2.3265306410765661E-2</v>
      </c>
      <c r="G2" s="6">
        <f>IFERROR('raw-Return'!G3-Table14[[#This Row],[RF]],"")</f>
        <v>-2.772454374370251E-2</v>
      </c>
      <c r="H2" s="6">
        <f>IFERROR('raw-Return'!H3-Table14[[#This Row],[RF]],"")</f>
        <v>4.5896171782999623E-2</v>
      </c>
      <c r="I2" s="6">
        <f>IFERROR('raw-Return'!I3-Table14[[#This Row],[RF]],"")</f>
        <v>5.8875525052435179E-2</v>
      </c>
      <c r="J2" s="6">
        <f>IFERROR('raw-Return'!J3-Table14[[#This Row],[RF]],"")</f>
        <v>3.4728143483341828E-2</v>
      </c>
      <c r="K2" s="6">
        <f>IFERROR('raw-Return'!K3-Table14[[#This Row],[RF]],"")</f>
        <v>8.7623939967679115E-2</v>
      </c>
      <c r="L2" s="6">
        <f>IFERROR('raw-Return'!L3-Table14[[#This Row],[RF]],"")</f>
        <v>9.6040275518767565E-2</v>
      </c>
      <c r="M2" s="6">
        <f>IFERROR('raw-Return'!M3-Table14[[#This Row],[RF]],"")</f>
        <v>8.2188606827823113E-2</v>
      </c>
      <c r="N2" s="6">
        <f>IFERROR('raw-Return'!N3-Table14[[#This Row],[RF]],"")</f>
        <v>-1.7461950574696773E-3</v>
      </c>
      <c r="O2" s="6">
        <f>IFERROR('raw-Return'!O3-Table14[[#This Row],[RF]],"")</f>
        <v>1.0775666555372512E-2</v>
      </c>
      <c r="P2" s="6">
        <f>IFERROR('raw-Return'!P3-Table14[[#This Row],[RF]],"")</f>
        <v>-1.616321957503267E-2</v>
      </c>
      <c r="Q2" s="6">
        <f>IFERROR('raw-Return'!Q3-Table14[[#This Row],[RF]],"")</f>
        <v>4.5149684138232477E-2</v>
      </c>
      <c r="R2" s="6">
        <f>IFERROR('raw-Return'!R3-Table14[[#This Row],[RF]],"")</f>
        <v>4.62017660293573E-2</v>
      </c>
      <c r="S2" s="6">
        <f>IFERROR('raw-Return'!S3-Table14[[#This Row],[RF]],"")</f>
        <v>-2.5087696598012386E-2</v>
      </c>
      <c r="T2" s="6">
        <f>IFERROR('raw-Return'!T3-Table14[[#This Row],[RF]],"")</f>
        <v>3.7340476848150755E-2</v>
      </c>
      <c r="U2" s="6">
        <f>IFERROR('raw-Return'!U3-Table14[[#This Row],[RF]],"")</f>
        <v>-2.4686887410322021E-2</v>
      </c>
      <c r="V2" s="6">
        <f>IFERROR('raw-Return'!V3-Table14[[#This Row],[RF]],"")</f>
        <v>-2.7496322988210063E-2</v>
      </c>
      <c r="W2" s="6">
        <f>IFERROR('raw-Return'!W3-Table14[[#This Row],[RF]],"")</f>
        <v>3.3675082881563595E-2</v>
      </c>
      <c r="X2" s="6">
        <f>IFERROR('raw-Return'!X3-Table14[[#This Row],[RF]],"")</f>
        <v>3.8904174017632659E-2</v>
      </c>
      <c r="Y2" s="6">
        <f>IFERROR('raw-Return'!Y3-Table14[[#This Row],[RF]],"")</f>
        <v>-2.1147507614096926E-2</v>
      </c>
      <c r="Z2" s="6">
        <f>IFERROR('raw-Return'!Z3-Table14[[#This Row],[RF]],"")</f>
        <v>6.5138427780957769E-2</v>
      </c>
      <c r="AA2" s="6">
        <f>IFERROR('raw-Return'!AA3-Table14[[#This Row],[RF]],"")</f>
        <v>6.8823886522374783E-2</v>
      </c>
      <c r="AB2" s="6">
        <f>IFERROR('raw-Return'!AB3-Table14[[#This Row],[RF]],"")</f>
        <v>4.9705322012253278E-2</v>
      </c>
      <c r="AC2" s="6">
        <f>IFERROR('raw-Return'!AC3-Table14[[#This Row],[RF]],"")</f>
        <v>4.9705322012253278E-2</v>
      </c>
      <c r="AD2" s="6">
        <f>IFERROR('raw-Return'!AD3-Table14[[#This Row],[RF]],"")</f>
        <v>8.1136906641329304E-2</v>
      </c>
      <c r="AE2" s="6">
        <f>IFERROR('raw-Return'!AE3-Table14[[#This Row],[RF]],"")</f>
        <v>7.6073516679454029E-2</v>
      </c>
      <c r="AF2" s="6">
        <f>IFERROR('raw-Return'!AF3-Table14[[#This Row],[RF]],"")</f>
        <v>4.422451390516477E-2</v>
      </c>
      <c r="AG2" s="6">
        <f>IFERROR('raw-Return'!AG3-Table14[[#This Row],[RF]],"")</f>
        <v>4.5275836201337988E-2</v>
      </c>
      <c r="AH2" s="6">
        <f>IFERROR('raw-Return'!AH3-Table14[[#This Row],[RF]],"")</f>
        <v>5.0398044685269955E-2</v>
      </c>
      <c r="AI2" s="6">
        <f>IFERROR('raw-Return'!AI3-Table14[[#This Row],[RF]],"")</f>
        <v>-2.4799159027816407E-2</v>
      </c>
      <c r="AJ2" s="6">
        <f>IFERROR('raw-Return'!AJ3-Table14[[#This Row],[RF]],"")</f>
        <v>5.5887988114192794E-2</v>
      </c>
      <c r="AK2" s="6">
        <f>IFERROR('raw-Return'!AK3-Table14[[#This Row],[RF]],"")</f>
        <v>-2.1987479131886509E-2</v>
      </c>
      <c r="AL2" s="6">
        <f>IFERROR('raw-Return'!AL3-Table14[[#This Row],[RF]],"")</f>
        <v>4.0037949819500346E-2</v>
      </c>
      <c r="AM2" s="6">
        <f>IFERROR('raw-Return'!AM3-Table14[[#This Row],[RF]],"")</f>
        <v>6.2467709178636838E-2</v>
      </c>
      <c r="AN2" s="6">
        <f>IFERROR('raw-Return'!AN3-Table14[[#This Row],[RF]],"")</f>
        <v>5.1162130663227806E-2</v>
      </c>
      <c r="AO2" s="6">
        <f>IFERROR('raw-Return'!AO3-Table14[[#This Row],[RF]],"")</f>
        <v>6.5940192554206599E-3</v>
      </c>
      <c r="AP2" s="6">
        <f>IFERROR('raw-Return'!AP3-Table14[[#This Row],[RF]],"")</f>
        <v>6.5940192554206599E-3</v>
      </c>
      <c r="AQ2" s="6">
        <f>IFERROR('raw-Return'!AQ3-Table14[[#This Row],[RF]],"")</f>
        <v>8.6031404545416773E-2</v>
      </c>
      <c r="AR2" s="6">
        <f>IFERROR('raw-Return'!AR3-Table14[[#This Row],[RF]],"")</f>
        <v>4.7161500739310774E-2</v>
      </c>
      <c r="AS2" s="6">
        <f>IFERROR('raw-Return'!AS3-Table14[[#This Row],[RF]],"")</f>
        <v>3.1536729153665538E-2</v>
      </c>
      <c r="AT2" s="6">
        <f>IFERROR('raw-Return'!AT3-Table14[[#This Row],[RF]],"")</f>
        <v>-2.9500000000000002E-2</v>
      </c>
      <c r="AU2" s="6">
        <f>IFERROR('raw-Return'!AU3-Table14[[#This Row],[RF]],"")</f>
        <v>-2.9500000000000002E-2</v>
      </c>
      <c r="AV2" s="6">
        <f>IFERROR('raw-Return'!AV3-Table14[[#This Row],[RF]],"")</f>
        <v>-2.9500000000000002E-2</v>
      </c>
    </row>
    <row r="3" spans="1:50" x14ac:dyDescent="0.2">
      <c r="A3" s="2">
        <v>43496</v>
      </c>
      <c r="B3" s="6">
        <f>IFERROR('raw-Return'!B4-Table14[[#This Row],[RF]],"")</f>
        <v>-5.9736306739854875E-2</v>
      </c>
      <c r="C3" s="6">
        <f>IFERROR('raw-Return'!C4-Table14[[#This Row],[RF]],"")</f>
        <v>-3.772704411637863E-2</v>
      </c>
      <c r="D3" s="6">
        <f>IFERROR('raw-Return'!D4-Table14[[#This Row],[RF]],"")</f>
        <v>-6.1012203890407082E-2</v>
      </c>
      <c r="E3" s="6">
        <f>IFERROR('raw-Return'!E4-Table14[[#This Row],[RF]],"")</f>
        <v>-8.4019895610448994E-2</v>
      </c>
      <c r="F3" s="6">
        <f>IFERROR('raw-Return'!F4-Table14[[#This Row],[RF]],"")</f>
        <v>-6.8425933380754658E-2</v>
      </c>
      <c r="G3" s="6">
        <f>IFERROR('raw-Return'!G4-Table14[[#This Row],[RF]],"")</f>
        <v>-1.9418795828865104E-3</v>
      </c>
      <c r="H3" s="6">
        <f>IFERROR('raw-Return'!H4-Table14[[#This Row],[RF]],"")</f>
        <v>-0.16601499067150316</v>
      </c>
      <c r="I3" s="6">
        <f>IFERROR('raw-Return'!I4-Table14[[#This Row],[RF]],"")</f>
        <v>-0.15909342166677864</v>
      </c>
      <c r="J3" s="6">
        <f>IFERROR('raw-Return'!J4-Table14[[#This Row],[RF]],"")</f>
        <v>-0.17058942666521626</v>
      </c>
      <c r="K3" s="6">
        <f>IFERROR('raw-Return'!K4-Table14[[#This Row],[RF]],"")</f>
        <v>-0.19085230887128246</v>
      </c>
      <c r="L3" s="6">
        <f>IFERROR('raw-Return'!L4-Table14[[#This Row],[RF]],"")</f>
        <v>-0.18448556629119839</v>
      </c>
      <c r="M3" s="6">
        <f>IFERROR('raw-Return'!M4-Table14[[#This Row],[RF]],"")</f>
        <v>-0.19557359154082787</v>
      </c>
      <c r="N3" s="6">
        <f>IFERROR('raw-Return'!N4-Table14[[#This Row],[RF]],"")</f>
        <v>-6.5570089061875794E-2</v>
      </c>
      <c r="O3" s="6">
        <f>IFERROR('raw-Return'!O4-Table14[[#This Row],[RF]],"")</f>
        <v>-5.4594343628474165E-2</v>
      </c>
      <c r="P3" s="6">
        <f>IFERROR('raw-Return'!P4-Table14[[#This Row],[RF]],"")</f>
        <v>-7.1356814331543075E-2</v>
      </c>
      <c r="Q3" s="6">
        <f>IFERROR('raw-Return'!Q4-Table14[[#This Row],[RF]],"")</f>
        <v>-0.141385064582218</v>
      </c>
      <c r="R3" s="6">
        <f>IFERROR('raw-Return'!R4-Table14[[#This Row],[RF]],"")</f>
        <v>-0.13356126707401483</v>
      </c>
      <c r="S3" s="6">
        <f>IFERROR('raw-Return'!S4-Table14[[#This Row],[RF]],"")</f>
        <v>-5.805117974527009E-2</v>
      </c>
      <c r="T3" s="6">
        <f>IFERROR('raw-Return'!T4-Table14[[#This Row],[RF]],"")</f>
        <v>-0.12934426049382786</v>
      </c>
      <c r="U3" s="6">
        <f>IFERROR('raw-Return'!U4-Table14[[#This Row],[RF]],"")</f>
        <v>-2.3473185126005061E-2</v>
      </c>
      <c r="V3" s="6">
        <f>IFERROR('raw-Return'!V4-Table14[[#This Row],[RF]],"")</f>
        <v>-7.0030887814803724E-2</v>
      </c>
      <c r="W3" s="6">
        <f>IFERROR('raw-Return'!W4-Table14[[#This Row],[RF]],"")</f>
        <v>-0.16731916401099156</v>
      </c>
      <c r="X3" s="6">
        <f>IFERROR('raw-Return'!X4-Table14[[#This Row],[RF]],"")</f>
        <v>-0.12026061661273925</v>
      </c>
      <c r="Y3" s="6">
        <f>IFERROR('raw-Return'!Y4-Table14[[#This Row],[RF]],"")</f>
        <v>-6.3312913300451981E-2</v>
      </c>
      <c r="Z3" s="6">
        <f>IFERROR('raw-Return'!Z4-Table14[[#This Row],[RF]],"")</f>
        <v>-0.12282291691753112</v>
      </c>
      <c r="AA3" s="6">
        <f>IFERROR('raw-Return'!AA4-Table14[[#This Row],[RF]],"")</f>
        <v>-0.18866319371739437</v>
      </c>
      <c r="AB3" s="6">
        <f>IFERROR('raw-Return'!AB4-Table14[[#This Row],[RF]],"")</f>
        <v>-0.16804826305660048</v>
      </c>
      <c r="AC3" s="6">
        <f>IFERROR('raw-Return'!AC4-Table14[[#This Row],[RF]],"")</f>
        <v>-0.16804826305660048</v>
      </c>
      <c r="AD3" s="6">
        <f>IFERROR('raw-Return'!AD4-Table14[[#This Row],[RF]],"")</f>
        <v>-0.16717328640073614</v>
      </c>
      <c r="AE3" s="6">
        <f>IFERROR('raw-Return'!AE4-Table14[[#This Row],[RF]],"")</f>
        <v>-0.16037064774521792</v>
      </c>
      <c r="AF3" s="6">
        <f>IFERROR('raw-Return'!AF4-Table14[[#This Row],[RF]],"")</f>
        <v>-0.15060884378770867</v>
      </c>
      <c r="AG3" s="6">
        <f>IFERROR('raw-Return'!AG4-Table14[[#This Row],[RF]],"")</f>
        <v>-0.14610033895778329</v>
      </c>
      <c r="AH3" s="6">
        <f>IFERROR('raw-Return'!AH4-Table14[[#This Row],[RF]],"")</f>
        <v>-0.15415444006094225</v>
      </c>
      <c r="AI3" s="6">
        <f>IFERROR('raw-Return'!AI4-Table14[[#This Row],[RF]],"")</f>
        <v>-6.4588285179483687E-2</v>
      </c>
      <c r="AJ3" s="6">
        <f>IFERROR('raw-Return'!AJ4-Table14[[#This Row],[RF]],"")</f>
        <v>-0.17178240675533274</v>
      </c>
      <c r="AK3" s="6">
        <f>IFERROR('raw-Return'!AK4-Table14[[#This Row],[RF]],"")</f>
        <v>-8.0091269153534386E-2</v>
      </c>
      <c r="AL3" s="6">
        <f>IFERROR('raw-Return'!AL4-Table14[[#This Row],[RF]],"")</f>
        <v>-0.17282838695373215</v>
      </c>
      <c r="AM3" s="6">
        <f>IFERROR('raw-Return'!AM4-Table14[[#This Row],[RF]],"")</f>
        <v>-0.16257176839927434</v>
      </c>
      <c r="AN3" s="6">
        <f>IFERROR('raw-Return'!AN4-Table14[[#This Row],[RF]],"")</f>
        <v>-0.16791572978975289</v>
      </c>
      <c r="AO3" s="6">
        <f>IFERROR('raw-Return'!AO4-Table14[[#This Row],[RF]],"")</f>
        <v>-6.8214967707839205E-2</v>
      </c>
      <c r="AP3" s="6">
        <f>IFERROR('raw-Return'!AP4-Table14[[#This Row],[RF]],"")</f>
        <v>-6.8214967707839205E-2</v>
      </c>
      <c r="AQ3" s="6">
        <f>IFERROR('raw-Return'!AQ4-Table14[[#This Row],[RF]],"")</f>
        <v>-0.18602085097699106</v>
      </c>
      <c r="AR3" s="6">
        <f>IFERROR('raw-Return'!AR4-Table14[[#This Row],[RF]],"")</f>
        <v>-0.13424392531107776</v>
      </c>
      <c r="AS3" s="6">
        <f>IFERROR('raw-Return'!AS4-Table14[[#This Row],[RF]],"")</f>
        <v>-0.17016125971400886</v>
      </c>
      <c r="AT3" s="6">
        <f>IFERROR('raw-Return'!AT4-Table14[[#This Row],[RF]],"")</f>
        <v>-7.4700000000000003E-2</v>
      </c>
      <c r="AU3" s="6">
        <f>IFERROR('raw-Return'!AU4-Table14[[#This Row],[RF]],"")</f>
        <v>-7.4700000000000003E-2</v>
      </c>
      <c r="AV3" s="6">
        <f>IFERROR('raw-Return'!AV4-Table14[[#This Row],[RF]],"")</f>
        <v>-7.4700000000000003E-2</v>
      </c>
    </row>
    <row r="4" spans="1:50" x14ac:dyDescent="0.2">
      <c r="A4" s="2">
        <v>43465</v>
      </c>
      <c r="B4" s="6">
        <f>IFERROR('raw-Return'!B5-Table14[[#This Row],[RF]],"")</f>
        <v>9.801557700053895E-2</v>
      </c>
      <c r="C4" s="6">
        <f>IFERROR('raw-Return'!C5-Table14[[#This Row],[RF]],"")</f>
        <v>9.6097468814297787E-2</v>
      </c>
      <c r="D4" s="6">
        <f>IFERROR('raw-Return'!D5-Table14[[#This Row],[RF]],"")</f>
        <v>9.936371163491739E-2</v>
      </c>
      <c r="E4" s="6">
        <f>IFERROR('raw-Return'!E5-Table14[[#This Row],[RF]],"")</f>
        <v>9.9742150270636015E-2</v>
      </c>
      <c r="F4" s="6">
        <f>IFERROR('raw-Return'!F5-Table14[[#This Row],[RF]],"")</f>
        <v>9.7297021506778186E-2</v>
      </c>
      <c r="G4" s="6">
        <f>IFERROR('raw-Return'!G5-Table14[[#This Row],[RF]],"")</f>
        <v>0.1172647212829426</v>
      </c>
      <c r="H4" s="6">
        <f>IFERROR('raw-Return'!H5-Table14[[#This Row],[RF]],"")</f>
        <v>0.11468516788474301</v>
      </c>
      <c r="I4" s="6">
        <f>IFERROR('raw-Return'!I5-Table14[[#This Row],[RF]],"")</f>
        <v>9.4985939051921514E-2</v>
      </c>
      <c r="J4" s="6">
        <f>IFERROR('raw-Return'!J5-Table14[[#This Row],[RF]],"")</f>
        <v>0.13140626629869309</v>
      </c>
      <c r="K4" s="6">
        <f>IFERROR('raw-Return'!K5-Table14[[#This Row],[RF]],"")</f>
        <v>0.11745519886541919</v>
      </c>
      <c r="L4" s="6">
        <f>IFERROR('raw-Return'!L5-Table14[[#This Row],[RF]],"")</f>
        <v>0.11523727041120199</v>
      </c>
      <c r="M4" s="6">
        <f>IFERROR('raw-Return'!M5-Table14[[#This Row],[RF]],"")</f>
        <v>0.11905475353389158</v>
      </c>
      <c r="N4" s="6">
        <f>IFERROR('raw-Return'!N5-Table14[[#This Row],[RF]],"")</f>
        <v>9.0182088235251506E-2</v>
      </c>
      <c r="O4" s="6">
        <f>IFERROR('raw-Return'!O5-Table14[[#This Row],[RF]],"")</f>
        <v>8.3336606212492143E-2</v>
      </c>
      <c r="P4" s="6">
        <f>IFERROR('raw-Return'!P5-Table14[[#This Row],[RF]],"")</f>
        <v>9.2297765172440122E-2</v>
      </c>
      <c r="Q4" s="6">
        <f>IFERROR('raw-Return'!Q5-Table14[[#This Row],[RF]],"")</f>
        <v>0.1005799027154762</v>
      </c>
      <c r="R4" s="6">
        <f>IFERROR('raw-Return'!R5-Table14[[#This Row],[RF]],"")</f>
        <v>0.11017614697140141</v>
      </c>
      <c r="S4" s="6">
        <f>IFERROR('raw-Return'!S5-Table14[[#This Row],[RF]],"")</f>
        <v>0.1032584886314348</v>
      </c>
      <c r="T4" s="6">
        <f>IFERROR('raw-Return'!T5-Table14[[#This Row],[RF]],"")</f>
        <v>8.873532393795E-2</v>
      </c>
      <c r="U4" s="6">
        <f>IFERROR('raw-Return'!U5-Table14[[#This Row],[RF]],"")</f>
        <v>0.11150944675442939</v>
      </c>
      <c r="V4" s="6">
        <f>IFERROR('raw-Return'!V5-Table14[[#This Row],[RF]],"")</f>
        <v>9.7672991201520926E-2</v>
      </c>
      <c r="W4" s="6">
        <f>IFERROR('raw-Return'!W5-Table14[[#This Row],[RF]],"")</f>
        <v>0.13682951071590152</v>
      </c>
      <c r="X4" s="6">
        <f>IFERROR('raw-Return'!X5-Table14[[#This Row],[RF]],"")</f>
        <v>0.12431374222184952</v>
      </c>
      <c r="Y4" s="6">
        <f>IFERROR('raw-Return'!Y5-Table14[[#This Row],[RF]],"")</f>
        <v>0.10183427456298064</v>
      </c>
      <c r="Z4" s="6">
        <f>IFERROR('raw-Return'!Z5-Table14[[#This Row],[RF]],"")</f>
        <v>0.1357421101375543</v>
      </c>
      <c r="AA4" s="6">
        <f>IFERROR('raw-Return'!AA5-Table14[[#This Row],[RF]],"")</f>
        <v>0.11825142683953746</v>
      </c>
      <c r="AB4" s="6">
        <f>IFERROR('raw-Return'!AB5-Table14[[#This Row],[RF]],"")</f>
        <v>0.11431654617109563</v>
      </c>
      <c r="AC4" s="6">
        <f>IFERROR('raw-Return'!AC5-Table14[[#This Row],[RF]],"")</f>
        <v>0.11431654617109563</v>
      </c>
      <c r="AD4" s="6">
        <f>IFERROR('raw-Return'!AD5-Table14[[#This Row],[RF]],"")</f>
        <v>0.12031857405098187</v>
      </c>
      <c r="AE4" s="6">
        <f>IFERROR('raw-Return'!AE5-Table14[[#This Row],[RF]],"")</f>
        <v>8.8148510298959731E-2</v>
      </c>
      <c r="AF4" s="6">
        <f>IFERROR('raw-Return'!AF5-Table14[[#This Row],[RF]],"")</f>
        <v>0.1196967019341407</v>
      </c>
      <c r="AG4" s="6">
        <f>IFERROR('raw-Return'!AG5-Table14[[#This Row],[RF]],"")</f>
        <v>0.10679950115244549</v>
      </c>
      <c r="AH4" s="6">
        <f>IFERROR('raw-Return'!AH5-Table14[[#This Row],[RF]],"")</f>
        <v>0.11280882771815856</v>
      </c>
      <c r="AI4" s="6">
        <f>IFERROR('raw-Return'!AI5-Table14[[#This Row],[RF]],"")</f>
        <v>0.10307424120026751</v>
      </c>
      <c r="AJ4" s="6">
        <f>IFERROR('raw-Return'!AJ5-Table14[[#This Row],[RF]],"")</f>
        <v>0.11571750232468023</v>
      </c>
      <c r="AK4" s="6">
        <f>IFERROR('raw-Return'!AK5-Table14[[#This Row],[RF]],"")</f>
        <v>9.5918400485053817E-2</v>
      </c>
      <c r="AL4" s="6">
        <f>IFERROR('raw-Return'!AL5-Table14[[#This Row],[RF]],"")</f>
        <v>0.1281967307833288</v>
      </c>
      <c r="AM4" s="6">
        <f>IFERROR('raw-Return'!AM5-Table14[[#This Row],[RF]],"")</f>
        <v>0.1011380240776841</v>
      </c>
      <c r="AN4" s="6">
        <f>IFERROR('raw-Return'!AN5-Table14[[#This Row],[RF]],"")</f>
        <v>0.11471670299747258</v>
      </c>
      <c r="AO4" s="6">
        <f>IFERROR('raw-Return'!AO5-Table14[[#This Row],[RF]],"")</f>
        <v>8.9591939964499295E-2</v>
      </c>
      <c r="AP4" s="6">
        <f>IFERROR('raw-Return'!AP5-Table14[[#This Row],[RF]],"")</f>
        <v>8.9591939964499295E-2</v>
      </c>
      <c r="AQ4" s="6">
        <f>IFERROR('raw-Return'!AQ5-Table14[[#This Row],[RF]],"")</f>
        <v>0.11386292828690867</v>
      </c>
      <c r="AR4" s="6">
        <f>IFERROR('raw-Return'!AR5-Table14[[#This Row],[RF]],"")</f>
        <v>0.11230021336690163</v>
      </c>
      <c r="AS4" s="6">
        <f>IFERROR('raw-Return'!AS5-Table14[[#This Row],[RF]],"")</f>
        <v>0.13106236902461585</v>
      </c>
      <c r="AT4" s="6">
        <f>IFERROR('raw-Return'!AT5-Table14[[#This Row],[RF]],"")</f>
        <v>9.5500000000000002E-2</v>
      </c>
      <c r="AU4" s="6">
        <f>IFERROR('raw-Return'!AU5-Table14[[#This Row],[RF]],"")</f>
        <v>9.5500000000000002E-2</v>
      </c>
      <c r="AV4" s="6">
        <f>IFERROR('raw-Return'!AV5-Table14[[#This Row],[RF]],"")</f>
        <v>9.5500000000000002E-2</v>
      </c>
    </row>
    <row r="5" spans="1:50" x14ac:dyDescent="0.2">
      <c r="A5" s="2">
        <v>43434</v>
      </c>
      <c r="B5" s="6">
        <f>IFERROR('raw-Return'!B6-Table14[[#This Row],[RF]],"")</f>
        <v>-2.424135459945484E-2</v>
      </c>
      <c r="C5" s="6">
        <f>IFERROR('raw-Return'!C6-Table14[[#This Row],[RF]],"")</f>
        <v>-5.2251627909530279E-2</v>
      </c>
      <c r="D5" s="6">
        <f>IFERROR('raw-Return'!D6-Table14[[#This Row],[RF]],"")</f>
        <v>-2.7830510830447158E-2</v>
      </c>
      <c r="E5" s="6">
        <f>IFERROR('raw-Return'!E6-Table14[[#This Row],[RF]],"")</f>
        <v>-1.7084455126706505E-2</v>
      </c>
      <c r="F5" s="6">
        <f>IFERROR('raw-Return'!F6-Table14[[#This Row],[RF]],"")</f>
        <v>-1.8061593792803782E-2</v>
      </c>
      <c r="G5" s="6">
        <f>IFERROR('raw-Return'!G6-Table14[[#This Row],[RF]],"")</f>
        <v>-6.2915769883640088E-2</v>
      </c>
      <c r="H5" s="6">
        <f>IFERROR('raw-Return'!H6-Table14[[#This Row],[RF]],"")</f>
        <v>-8.3368192266543878E-2</v>
      </c>
      <c r="I5" s="6">
        <f>IFERROR('raw-Return'!I6-Table14[[#This Row],[RF]],"")</f>
        <v>-0.10459731298567551</v>
      </c>
      <c r="J5" s="6">
        <f>IFERROR('raw-Return'!J6-Table14[[#This Row],[RF]],"")</f>
        <v>-6.3511582968747676E-2</v>
      </c>
      <c r="K5" s="6">
        <f>IFERROR('raw-Return'!K6-Table14[[#This Row],[RF]],"")</f>
        <v>-0.11811001809313079</v>
      </c>
      <c r="L5" s="6">
        <f>IFERROR('raw-Return'!L6-Table14[[#This Row],[RF]],"")</f>
        <v>-0.1313174879285027</v>
      </c>
      <c r="M5" s="6">
        <f>IFERROR('raw-Return'!M6-Table14[[#This Row],[RF]],"")</f>
        <v>-0.10738651027049503</v>
      </c>
      <c r="N5" s="6">
        <f>IFERROR('raw-Return'!N6-Table14[[#This Row],[RF]],"")</f>
        <v>-2.8655951151729891E-2</v>
      </c>
      <c r="O5" s="6">
        <f>IFERROR('raw-Return'!O6-Table14[[#This Row],[RF]],"")</f>
        <v>-5.6220786513469928E-2</v>
      </c>
      <c r="P5" s="6">
        <f>IFERROR('raw-Return'!P6-Table14[[#This Row],[RF]],"")</f>
        <v>-1.9851613119901107E-2</v>
      </c>
      <c r="Q5" s="6">
        <f>IFERROR('raw-Return'!Q6-Table14[[#This Row],[RF]],"")</f>
        <v>-0.10286954092294262</v>
      </c>
      <c r="R5" s="6">
        <f>IFERROR('raw-Return'!R6-Table14[[#This Row],[RF]],"")</f>
        <v>-9.9907078910855124E-2</v>
      </c>
      <c r="S5" s="6">
        <f>IFERROR('raw-Return'!S6-Table14[[#This Row],[RF]],"")</f>
        <v>-1.9157836960303126E-2</v>
      </c>
      <c r="T5" s="6">
        <f>IFERROR('raw-Return'!T6-Table14[[#This Row],[RF]],"")</f>
        <v>-9.5862113127001075E-2</v>
      </c>
      <c r="U5" s="6">
        <f>IFERROR('raw-Return'!U6-Table14[[#This Row],[RF]],"")</f>
        <v>-4.7657904905851173E-2</v>
      </c>
      <c r="V5" s="6">
        <f>IFERROR('raw-Return'!V6-Table14[[#This Row],[RF]],"")</f>
        <v>-1.7408196424948591E-2</v>
      </c>
      <c r="W5" s="6">
        <f>IFERROR('raw-Return'!W6-Table14[[#This Row],[RF]],"")</f>
        <v>-8.0432609058964183E-2</v>
      </c>
      <c r="X5" s="6">
        <f>IFERROR('raw-Return'!X6-Table14[[#This Row],[RF]],"")</f>
        <v>-0.10646922575488313</v>
      </c>
      <c r="Y5" s="6">
        <f>IFERROR('raw-Return'!Y6-Table14[[#This Row],[RF]],"")</f>
        <v>-2.4931459162795017E-2</v>
      </c>
      <c r="Z5" s="6">
        <f>IFERROR('raw-Return'!Z6-Table14[[#This Row],[RF]],"")</f>
        <v>-7.4593824370917633E-2</v>
      </c>
      <c r="AA5" s="6">
        <f>IFERROR('raw-Return'!AA6-Table14[[#This Row],[RF]],"")</f>
        <v>-8.725315377746598E-2</v>
      </c>
      <c r="AB5" s="6">
        <f>IFERROR('raw-Return'!AB6-Table14[[#This Row],[RF]],"")</f>
        <v>-8.5278017489766017E-2</v>
      </c>
      <c r="AC5" s="6">
        <f>IFERROR('raw-Return'!AC6-Table14[[#This Row],[RF]],"")</f>
        <v>-8.5278017489766017E-2</v>
      </c>
      <c r="AD5" s="6">
        <f>IFERROR('raw-Return'!AD6-Table14[[#This Row],[RF]],"")</f>
        <v>-0.11387653510667803</v>
      </c>
      <c r="AE5" s="6">
        <f>IFERROR('raw-Return'!AE6-Table14[[#This Row],[RF]],"")</f>
        <v>-7.8849879960225494E-2</v>
      </c>
      <c r="AF5" s="6">
        <f>IFERROR('raw-Return'!AF6-Table14[[#This Row],[RF]],"")</f>
        <v>-0.11592020159115965</v>
      </c>
      <c r="AG5" s="6">
        <f>IFERROR('raw-Return'!AG6-Table14[[#This Row],[RF]],"")</f>
        <v>-0.11801547921098884</v>
      </c>
      <c r="AH5" s="6">
        <f>IFERROR('raw-Return'!AH6-Table14[[#This Row],[RF]],"")</f>
        <v>-9.5101672103812901E-2</v>
      </c>
      <c r="AI5" s="6">
        <f>IFERROR('raw-Return'!AI6-Table14[[#This Row],[RF]],"")</f>
        <v>-2.3840205737355541E-2</v>
      </c>
      <c r="AJ5" s="6">
        <f>IFERROR('raw-Return'!AJ6-Table14[[#This Row],[RF]],"")</f>
        <v>-9.103158832535882E-2</v>
      </c>
      <c r="AK5" s="6">
        <f>IFERROR('raw-Return'!AK6-Table14[[#This Row],[RF]],"")</f>
        <v>-2.1253302872410867E-2</v>
      </c>
      <c r="AL5" s="6">
        <f>IFERROR('raw-Return'!AL6-Table14[[#This Row],[RF]],"")</f>
        <v>-6.6666248194524685E-2</v>
      </c>
      <c r="AM5" s="6">
        <f>IFERROR('raw-Return'!AM6-Table14[[#This Row],[RF]],"")</f>
        <v>-0.10750212393350331</v>
      </c>
      <c r="AN5" s="6">
        <f>IFERROR('raw-Return'!AN6-Table14[[#This Row],[RF]],"")</f>
        <v>-8.6098124325770881E-2</v>
      </c>
      <c r="AO5" s="6">
        <f>IFERROR('raw-Return'!AO6-Table14[[#This Row],[RF]],"")</f>
        <v>-3.4443396935048581E-2</v>
      </c>
      <c r="AP5" s="6">
        <f>IFERROR('raw-Return'!AP6-Table14[[#This Row],[RF]],"")</f>
        <v>-3.4443396935048581E-2</v>
      </c>
      <c r="AQ5" s="6">
        <f>IFERROR('raw-Return'!AQ6-Table14[[#This Row],[RF]],"")</f>
        <v>-0.11747521882846321</v>
      </c>
      <c r="AR5" s="6">
        <f>IFERROR('raw-Return'!AR6-Table14[[#This Row],[RF]],"")</f>
        <v>-0.10246512772991687</v>
      </c>
      <c r="AS5" s="6">
        <f>IFERROR('raw-Return'!AS6-Table14[[#This Row],[RF]],"")</f>
        <v>-6.0876107876709801E-2</v>
      </c>
      <c r="AT5" s="6">
        <f>IFERROR('raw-Return'!AT6-Table14[[#This Row],[RF]],"")</f>
        <v>-1.6899999999999998E-2</v>
      </c>
      <c r="AU5" s="6">
        <f>IFERROR('raw-Return'!AU6-Table14[[#This Row],[RF]],"")</f>
        <v>-1.6899999999999998E-2</v>
      </c>
      <c r="AV5" s="6">
        <f>IFERROR('raw-Return'!AV6-Table14[[#This Row],[RF]],"")</f>
        <v>-1.6899999999999998E-2</v>
      </c>
    </row>
    <row r="6" spans="1:50" x14ac:dyDescent="0.2">
      <c r="A6" s="2">
        <v>43404</v>
      </c>
      <c r="B6" s="6">
        <f>IFERROR('raw-Return'!B7-Table14[[#This Row],[RF]],"")</f>
        <v>6.757744597730321E-2</v>
      </c>
      <c r="C6" s="6">
        <f>IFERROR('raw-Return'!C7-Table14[[#This Row],[RF]],"")</f>
        <v>6.0818325740189319E-2</v>
      </c>
      <c r="D6" s="6">
        <f>IFERROR('raw-Return'!D7-Table14[[#This Row],[RF]],"")</f>
        <v>6.8981422959084951E-2</v>
      </c>
      <c r="E6" s="6">
        <f>IFERROR('raw-Return'!E7-Table14[[#This Row],[RF]],"")</f>
        <v>7.3507552398912504E-2</v>
      </c>
      <c r="F6" s="6">
        <f>IFERROR('raw-Return'!F7-Table14[[#This Row],[RF]],"")</f>
        <v>7.3488083192223455E-2</v>
      </c>
      <c r="G6" s="6">
        <f>IFERROR('raw-Return'!G7-Table14[[#This Row],[RF]],"")</f>
        <v>2.834950041972252E-2</v>
      </c>
      <c r="H6" s="6">
        <f>IFERROR('raw-Return'!H7-Table14[[#This Row],[RF]],"")</f>
        <v>7.9028662619914383E-2</v>
      </c>
      <c r="I6" s="6">
        <f>IFERROR('raw-Return'!I7-Table14[[#This Row],[RF]],"")</f>
        <v>7.9647472776953623E-2</v>
      </c>
      <c r="J6" s="6">
        <f>IFERROR('raw-Return'!J7-Table14[[#This Row],[RF]],"")</f>
        <v>7.8554934893942954E-2</v>
      </c>
      <c r="K6" s="6">
        <f>IFERROR('raw-Return'!K7-Table14[[#This Row],[RF]],"")</f>
        <v>5.8184300764536859E-2</v>
      </c>
      <c r="L6" s="6">
        <f>IFERROR('raw-Return'!L7-Table14[[#This Row],[RF]],"")</f>
        <v>6.3084253300942486E-2</v>
      </c>
      <c r="M6" s="6">
        <f>IFERROR('raw-Return'!M7-Table14[[#This Row],[RF]],"")</f>
        <v>5.4597984517988599E-2</v>
      </c>
      <c r="N6" s="6">
        <f>IFERROR('raw-Return'!N7-Table14[[#This Row],[RF]],"")</f>
        <v>6.9220393758863144E-2</v>
      </c>
      <c r="O6" s="6">
        <f>IFERROR('raw-Return'!O7-Table14[[#This Row],[RF]],"")</f>
        <v>7.0595556627786063E-2</v>
      </c>
      <c r="P6" s="6">
        <f>IFERROR('raw-Return'!P7-Table14[[#This Row],[RF]],"")</f>
        <v>7.3739309528331534E-2</v>
      </c>
      <c r="Q6" s="6">
        <f>IFERROR('raw-Return'!Q7-Table14[[#This Row],[RF]],"")</f>
        <v>8.0280537238362606E-2</v>
      </c>
      <c r="R6" s="6">
        <f>IFERROR('raw-Return'!R7-Table14[[#This Row],[RF]],"")</f>
        <v>7.6036899581552145E-2</v>
      </c>
      <c r="S6" s="6">
        <f>IFERROR('raw-Return'!S7-Table14[[#This Row],[RF]],"")</f>
        <v>6.7396177430602458E-2</v>
      </c>
      <c r="T6" s="6">
        <f>IFERROR('raw-Return'!T7-Table14[[#This Row],[RF]],"")</f>
        <v>7.3615403510768909E-2</v>
      </c>
      <c r="U6" s="6">
        <f>IFERROR('raw-Return'!U7-Table14[[#This Row],[RF]],"")</f>
        <v>4.6949610863348937E-2</v>
      </c>
      <c r="V6" s="6">
        <f>IFERROR('raw-Return'!V7-Table14[[#This Row],[RF]],"")</f>
        <v>7.363000320703951E-2</v>
      </c>
      <c r="W6" s="6">
        <f>IFERROR('raw-Return'!W7-Table14[[#This Row],[RF]],"")</f>
        <v>8.9034706434072866E-2</v>
      </c>
      <c r="X6" s="6">
        <f>IFERROR('raw-Return'!X7-Table14[[#This Row],[RF]],"")</f>
        <v>6.0618652617138849E-2</v>
      </c>
      <c r="Y6" s="6">
        <f>IFERROR('raw-Return'!Y7-Table14[[#This Row],[RF]],"")</f>
        <v>6.8428041365723793E-2</v>
      </c>
      <c r="Z6" s="6">
        <f>IFERROR('raw-Return'!Z7-Table14[[#This Row],[RF]],"")</f>
        <v>4.8599291076589238E-2</v>
      </c>
      <c r="AA6" s="6">
        <f>IFERROR('raw-Return'!AA7-Table14[[#This Row],[RF]],"")</f>
        <v>6.3295108121229862E-2</v>
      </c>
      <c r="AB6" s="6">
        <f>IFERROR('raw-Return'!AB7-Table14[[#This Row],[RF]],"")</f>
        <v>7.8014649957700147E-2</v>
      </c>
      <c r="AC6" s="6">
        <f>IFERROR('raw-Return'!AC7-Table14[[#This Row],[RF]],"")</f>
        <v>7.8014649957700147E-2</v>
      </c>
      <c r="AD6" s="6">
        <f>IFERROR('raw-Return'!AD7-Table14[[#This Row],[RF]],"")</f>
        <v>7.1890928807609625E-2</v>
      </c>
      <c r="AE6" s="6">
        <f>IFERROR('raw-Return'!AE7-Table14[[#This Row],[RF]],"")</f>
        <v>7.8989718632272124E-2</v>
      </c>
      <c r="AF6" s="6">
        <f>IFERROR('raw-Return'!AF7-Table14[[#This Row],[RF]],"")</f>
        <v>9.4408259905352857E-2</v>
      </c>
      <c r="AG6" s="6">
        <f>IFERROR('raw-Return'!AG7-Table14[[#This Row],[RF]],"")</f>
        <v>5.6136018958463221E-2</v>
      </c>
      <c r="AH6" s="6">
        <f>IFERROR('raw-Return'!AH7-Table14[[#This Row],[RF]],"")</f>
        <v>7.2867233752119023E-2</v>
      </c>
      <c r="AI6" s="6">
        <f>IFERROR('raw-Return'!AI7-Table14[[#This Row],[RF]],"")</f>
        <v>6.71777923352921E-2</v>
      </c>
      <c r="AJ6" s="6">
        <f>IFERROR('raw-Return'!AJ7-Table14[[#This Row],[RF]],"")</f>
        <v>7.4030354562328329E-2</v>
      </c>
      <c r="AK6" s="6">
        <f>IFERROR('raw-Return'!AK7-Table14[[#This Row],[RF]],"")</f>
        <v>6.3950557175857417E-2</v>
      </c>
      <c r="AL6" s="6">
        <f>IFERROR('raw-Return'!AL7-Table14[[#This Row],[RF]],"")</f>
        <v>7.6480795024521223E-2</v>
      </c>
      <c r="AM6" s="6">
        <f>IFERROR('raw-Return'!AM7-Table14[[#This Row],[RF]],"")</f>
        <v>7.8650299785643321E-2</v>
      </c>
      <c r="AN6" s="6">
        <f>IFERROR('raw-Return'!AN7-Table14[[#This Row],[RF]],"")</f>
        <v>7.7111525989606258E-2</v>
      </c>
      <c r="AO6" s="6">
        <f>IFERROR('raw-Return'!AO7-Table14[[#This Row],[RF]],"")</f>
        <v>8.9067716798211252E-2</v>
      </c>
      <c r="AP6" s="6">
        <f>IFERROR('raw-Return'!AP7-Table14[[#This Row],[RF]],"")</f>
        <v>8.9067716798211252E-2</v>
      </c>
      <c r="AQ6" s="6">
        <f>IFERROR('raw-Return'!AQ7-Table14[[#This Row],[RF]],"")</f>
        <v>5.6971185413988504E-2</v>
      </c>
      <c r="AR6" s="6">
        <f>IFERROR('raw-Return'!AR7-Table14[[#This Row],[RF]],"")</f>
        <v>7.4035639693916702E-2</v>
      </c>
      <c r="AS6" s="6">
        <f>IFERROR('raw-Return'!AS7-Table14[[#This Row],[RF]],"")</f>
        <v>7.3131217950067176E-2</v>
      </c>
      <c r="AT6" s="6">
        <f>IFERROR('raw-Return'!AT7-Table14[[#This Row],[RF]],"")</f>
        <v>7.6799999999999993E-2</v>
      </c>
      <c r="AU6" s="6">
        <f>IFERROR('raw-Return'!AU7-Table14[[#This Row],[RF]],"")</f>
        <v>7.6799999999999993E-2</v>
      </c>
      <c r="AV6" s="6">
        <f>IFERROR('raw-Return'!AV7-Table14[[#This Row],[RF]],"")</f>
        <v>7.6799999999999993E-2</v>
      </c>
    </row>
    <row r="7" spans="1:50" x14ac:dyDescent="0.2">
      <c r="A7" s="2">
        <v>43373</v>
      </c>
      <c r="B7" s="6">
        <f>IFERROR('raw-Return'!B8-Table14[[#This Row],[RF]],"")</f>
        <v>4.4670193486346273E-3</v>
      </c>
      <c r="C7" s="6">
        <f>IFERROR('raw-Return'!C8-Table14[[#This Row],[RF]],"")</f>
        <v>8.5964191546066329E-4</v>
      </c>
      <c r="D7" s="6">
        <f>IFERROR('raw-Return'!D8-Table14[[#This Row],[RF]],"")</f>
        <v>3.7029766570639173E-3</v>
      </c>
      <c r="E7" s="6">
        <f>IFERROR('raw-Return'!E8-Table14[[#This Row],[RF]],"")</f>
        <v>-9.6993450058486749E-4</v>
      </c>
      <c r="F7" s="6">
        <f>IFERROR('raw-Return'!F8-Table14[[#This Row],[RF]],"")</f>
        <v>1.443251555061021E-3</v>
      </c>
      <c r="G7" s="6">
        <f>IFERROR('raw-Return'!G8-Table14[[#This Row],[RF]],"")</f>
        <v>1.5901021736334165E-2</v>
      </c>
      <c r="H7" s="6">
        <f>IFERROR('raw-Return'!H8-Table14[[#This Row],[RF]],"")</f>
        <v>3.350556257738406E-2</v>
      </c>
      <c r="I7" s="6">
        <f>IFERROR('raw-Return'!I8-Table14[[#This Row],[RF]],"")</f>
        <v>4.640750480032467E-2</v>
      </c>
      <c r="J7" s="6">
        <f>IFERROR('raw-Return'!J8-Table14[[#This Row],[RF]],"")</f>
        <v>2.2058229970494048E-2</v>
      </c>
      <c r="K7" s="6">
        <f>IFERROR('raw-Return'!K8-Table14[[#This Row],[RF]],"")</f>
        <v>4.4581503155953925E-2</v>
      </c>
      <c r="L7" s="6">
        <f>IFERROR('raw-Return'!L8-Table14[[#This Row],[RF]],"")</f>
        <v>6.9448187791539759E-2</v>
      </c>
      <c r="M7" s="6">
        <f>IFERROR('raw-Return'!M8-Table14[[#This Row],[RF]],"")</f>
        <v>2.3533404134999204E-2</v>
      </c>
      <c r="N7" s="6">
        <f>IFERROR('raw-Return'!N8-Table14[[#This Row],[RF]],"")</f>
        <v>2.130758114778631E-3</v>
      </c>
      <c r="O7" s="6">
        <f>IFERROR('raw-Return'!O8-Table14[[#This Row],[RF]],"")</f>
        <v>-7.5591692918564705E-3</v>
      </c>
      <c r="P7" s="6">
        <f>IFERROR('raw-Return'!P8-Table14[[#This Row],[RF]],"")</f>
        <v>2.4530188718351782E-3</v>
      </c>
      <c r="Q7" s="6">
        <f>IFERROR('raw-Return'!Q8-Table14[[#This Row],[RF]],"")</f>
        <v>-1.7914003734317129E-2</v>
      </c>
      <c r="R7" s="6">
        <f>IFERROR('raw-Return'!R8-Table14[[#This Row],[RF]],"")</f>
        <v>-2.403927369109966E-2</v>
      </c>
      <c r="S7" s="6">
        <f>IFERROR('raw-Return'!S8-Table14[[#This Row],[RF]],"")</f>
        <v>4.6749814637889082E-3</v>
      </c>
      <c r="T7" s="6">
        <f>IFERROR('raw-Return'!T8-Table14[[#This Row],[RF]],"")</f>
        <v>-2.887766020736755E-2</v>
      </c>
      <c r="U7" s="6">
        <f>IFERROR('raw-Return'!U8-Table14[[#This Row],[RF]],"")</f>
        <v>1.0155209837123747E-2</v>
      </c>
      <c r="V7" s="6">
        <f>IFERROR('raw-Return'!V8-Table14[[#This Row],[RF]],"")</f>
        <v>1.4338069408261107E-3</v>
      </c>
      <c r="W7" s="6">
        <f>IFERROR('raw-Return'!W8-Table14[[#This Row],[RF]],"")</f>
        <v>2.7355375099109725E-2</v>
      </c>
      <c r="X7" s="6">
        <f>IFERROR('raw-Return'!X8-Table14[[#This Row],[RF]],"")</f>
        <v>-1.4359284282893858E-2</v>
      </c>
      <c r="Y7" s="6">
        <f>IFERROR('raw-Return'!Y8-Table14[[#This Row],[RF]],"")</f>
        <v>2.1379825028821527E-3</v>
      </c>
      <c r="Z7" s="6">
        <f>IFERROR('raw-Return'!Z8-Table14[[#This Row],[RF]],"")</f>
        <v>-2.092359651115101E-2</v>
      </c>
      <c r="AA7" s="6">
        <f>IFERROR('raw-Return'!AA8-Table14[[#This Row],[RF]],"")</f>
        <v>4.770077027385012E-3</v>
      </c>
      <c r="AB7" s="6">
        <f>IFERROR('raw-Return'!AB8-Table14[[#This Row],[RF]],"")</f>
        <v>3.1672045722808059E-2</v>
      </c>
      <c r="AC7" s="6">
        <f>IFERROR('raw-Return'!AC8-Table14[[#This Row],[RF]],"")</f>
        <v>3.1672045722808059E-2</v>
      </c>
      <c r="AD7" s="6">
        <f>IFERROR('raw-Return'!AD8-Table14[[#This Row],[RF]],"")</f>
        <v>4.5860345282015366E-2</v>
      </c>
      <c r="AE7" s="6">
        <f>IFERROR('raw-Return'!AE8-Table14[[#This Row],[RF]],"")</f>
        <v>2.7710380907334176E-2</v>
      </c>
      <c r="AF7" s="6">
        <f>IFERROR('raw-Return'!AF8-Table14[[#This Row],[RF]],"")</f>
        <v>-1.0102924494746878E-2</v>
      </c>
      <c r="AG7" s="6">
        <f>IFERROR('raw-Return'!AG8-Table14[[#This Row],[RF]],"")</f>
        <v>-1.7764397935233055E-2</v>
      </c>
      <c r="AH7" s="6">
        <f>IFERROR('raw-Return'!AH8-Table14[[#This Row],[RF]],"")</f>
        <v>8.0045139019994556E-3</v>
      </c>
      <c r="AI7" s="6">
        <f>IFERROR('raw-Return'!AI8-Table14[[#This Row],[RF]],"")</f>
        <v>-1.1682957222812311E-3</v>
      </c>
      <c r="AJ7" s="6">
        <f>IFERROR('raw-Return'!AJ8-Table14[[#This Row],[RF]],"")</f>
        <v>3.3716166887108587E-2</v>
      </c>
      <c r="AK7" s="6">
        <f>IFERROR('raw-Return'!AK8-Table14[[#This Row],[RF]],"")</f>
        <v>4.0983175331882789E-3</v>
      </c>
      <c r="AL7" s="6">
        <f>IFERROR('raw-Return'!AL8-Table14[[#This Row],[RF]],"")</f>
        <v>1.828740362736141E-2</v>
      </c>
      <c r="AM7" s="6">
        <f>IFERROR('raw-Return'!AM8-Table14[[#This Row],[RF]],"")</f>
        <v>4.6089025861713193E-2</v>
      </c>
      <c r="AN7" s="6">
        <f>IFERROR('raw-Return'!AN8-Table14[[#This Row],[RF]],"")</f>
        <v>3.1886436974447971E-2</v>
      </c>
      <c r="AO7" s="6">
        <f>IFERROR('raw-Return'!AO8-Table14[[#This Row],[RF]],"")</f>
        <v>-2.1751324265686333E-2</v>
      </c>
      <c r="AP7" s="6">
        <f>IFERROR('raw-Return'!AP8-Table14[[#This Row],[RF]],"")</f>
        <v>-2.1751324265686333E-2</v>
      </c>
      <c r="AQ7" s="6">
        <f>IFERROR('raw-Return'!AQ8-Table14[[#This Row],[RF]],"")</f>
        <v>4.4079060119547694E-2</v>
      </c>
      <c r="AR7" s="6">
        <f>IFERROR('raw-Return'!AR8-Table14[[#This Row],[RF]],"")</f>
        <v>-2.45734996442863E-2</v>
      </c>
      <c r="AS7" s="6">
        <f>IFERROR('raw-Return'!AS8-Table14[[#This Row],[RF]],"")</f>
        <v>1.0500880500816812E-2</v>
      </c>
      <c r="AT7" s="6">
        <f>IFERROR('raw-Return'!AT8-Table14[[#This Row],[RF]],"")</f>
        <v>-5.9999999999999995E-4</v>
      </c>
      <c r="AU7" s="6">
        <f>IFERROR('raw-Return'!AU8-Table14[[#This Row],[RF]],"")</f>
        <v>-5.9999999999999995E-4</v>
      </c>
      <c r="AV7" s="6">
        <f>IFERROR('raw-Return'!AV8-Table14[[#This Row],[RF]],"")</f>
        <v>-5.9999999999999995E-4</v>
      </c>
    </row>
    <row r="8" spans="1:50" x14ac:dyDescent="0.2">
      <c r="A8" s="2">
        <v>43343</v>
      </c>
      <c r="B8" s="6">
        <f>IFERROR('raw-Return'!B9-Table14[[#This Row],[RF]],"")</f>
        <v>-3.624007149342813E-2</v>
      </c>
      <c r="C8" s="6">
        <f>IFERROR('raw-Return'!C9-Table14[[#This Row],[RF]],"")</f>
        <v>-3.3491040572961608E-2</v>
      </c>
      <c r="D8" s="6">
        <f>IFERROR('raw-Return'!D9-Table14[[#This Row],[RF]],"")</f>
        <v>-3.7059147610473478E-2</v>
      </c>
      <c r="E8" s="6">
        <f>IFERROR('raw-Return'!E9-Table14[[#This Row],[RF]],"")</f>
        <v>-3.3831347815350035E-2</v>
      </c>
      <c r="F8" s="6">
        <f>IFERROR('raw-Return'!F9-Table14[[#This Row],[RF]],"")</f>
        <v>-3.5415473893997143E-2</v>
      </c>
      <c r="G8" s="6">
        <f>IFERROR('raw-Return'!G9-Table14[[#This Row],[RF]],"")</f>
        <v>-5.6596481023793568E-2</v>
      </c>
      <c r="H8" s="6">
        <f>IFERROR('raw-Return'!H9-Table14[[#This Row],[RF]],"")</f>
        <v>3.8267527305242272E-3</v>
      </c>
      <c r="I8" s="6">
        <f>IFERROR('raw-Return'!I9-Table14[[#This Row],[RF]],"")</f>
        <v>-8.2976154336991265E-3</v>
      </c>
      <c r="J8" s="6">
        <f>IFERROR('raw-Return'!J9-Table14[[#This Row],[RF]],"")</f>
        <v>1.5598709845971767E-2</v>
      </c>
      <c r="K8" s="6">
        <f>IFERROR('raw-Return'!K9-Table14[[#This Row],[RF]],"")</f>
        <v>-1.6180383276187996E-2</v>
      </c>
      <c r="L8" s="6">
        <f>IFERROR('raw-Return'!L9-Table14[[#This Row],[RF]],"")</f>
        <v>-2.4729596243307853E-2</v>
      </c>
      <c r="M8" s="6">
        <f>IFERROR('raw-Return'!M9-Table14[[#This Row],[RF]],"")</f>
        <v>-9.5161248977642249E-3</v>
      </c>
      <c r="N8" s="6">
        <f>IFERROR('raw-Return'!N9-Table14[[#This Row],[RF]],"")</f>
        <v>-2.93740356504988E-2</v>
      </c>
      <c r="O8" s="6">
        <f>IFERROR('raw-Return'!O9-Table14[[#This Row],[RF]],"")</f>
        <v>-1.6261648219572336E-2</v>
      </c>
      <c r="P8" s="6">
        <f>IFERROR('raw-Return'!P9-Table14[[#This Row],[RF]],"")</f>
        <v>-3.3605761335314691E-2</v>
      </c>
      <c r="Q8" s="6">
        <f>IFERROR('raw-Return'!Q9-Table14[[#This Row],[RF]],"")</f>
        <v>-1.1538510698905671E-2</v>
      </c>
      <c r="R8" s="6">
        <f>IFERROR('raw-Return'!R9-Table14[[#This Row],[RF]],"")</f>
        <v>-5.466818825751632E-3</v>
      </c>
      <c r="S8" s="6">
        <f>IFERROR('raw-Return'!S9-Table14[[#This Row],[RF]],"")</f>
        <v>-3.9189071901041608E-2</v>
      </c>
      <c r="T8" s="6">
        <f>IFERROR('raw-Return'!T9-Table14[[#This Row],[RF]],"")</f>
        <v>-3.6187798746835365E-4</v>
      </c>
      <c r="U8" s="6">
        <f>IFERROR('raw-Return'!U9-Table14[[#This Row],[RF]],"")</f>
        <v>-5.0201995254640877E-2</v>
      </c>
      <c r="V8" s="6">
        <f>IFERROR('raw-Return'!V9-Table14[[#This Row],[RF]],"")</f>
        <v>-3.6240475439466083E-2</v>
      </c>
      <c r="W8" s="6">
        <f>IFERROR('raw-Return'!W9-Table14[[#This Row],[RF]],"")</f>
        <v>1.2548381294928732E-2</v>
      </c>
      <c r="X8" s="6">
        <f>IFERROR('raw-Return'!X9-Table14[[#This Row],[RF]],"")</f>
        <v>-9.0137577771916139E-3</v>
      </c>
      <c r="Y8" s="6">
        <f>IFERROR('raw-Return'!Y9-Table14[[#This Row],[RF]],"")</f>
        <v>-3.6741763214068537E-2</v>
      </c>
      <c r="Z8" s="6">
        <f>IFERROR('raw-Return'!Z9-Table14[[#This Row],[RF]],"")</f>
        <v>-1.8565212917693211E-2</v>
      </c>
      <c r="AA8" s="6">
        <f>IFERROR('raw-Return'!AA9-Table14[[#This Row],[RF]],"")</f>
        <v>-2.2521721008646051E-3</v>
      </c>
      <c r="AB8" s="6">
        <f>IFERROR('raw-Return'!AB9-Table14[[#This Row],[RF]],"")</f>
        <v>1.2197542328060557E-3</v>
      </c>
      <c r="AC8" s="6">
        <f>IFERROR('raw-Return'!AC9-Table14[[#This Row],[RF]],"")</f>
        <v>1.2197542328060557E-3</v>
      </c>
      <c r="AD8" s="6">
        <f>IFERROR('raw-Return'!AD9-Table14[[#This Row],[RF]],"")</f>
        <v>-1.6211357253129513E-2</v>
      </c>
      <c r="AE8" s="6">
        <f>IFERROR('raw-Return'!AE9-Table14[[#This Row],[RF]],"")</f>
        <v>-4.0287524576002168E-2</v>
      </c>
      <c r="AF8" s="6">
        <f>IFERROR('raw-Return'!AF9-Table14[[#This Row],[RF]],"")</f>
        <v>-2.6383209911262431E-2</v>
      </c>
      <c r="AG8" s="6">
        <f>IFERROR('raw-Return'!AG9-Table14[[#This Row],[RF]],"")</f>
        <v>-2.4673199251199276E-2</v>
      </c>
      <c r="AH8" s="6">
        <f>IFERROR('raw-Return'!AH9-Table14[[#This Row],[RF]],"")</f>
        <v>-5.641290051045425E-3</v>
      </c>
      <c r="AI8" s="6">
        <f>IFERROR('raw-Return'!AI9-Table14[[#This Row],[RF]],"")</f>
        <v>-3.3414506410710323E-2</v>
      </c>
      <c r="AJ8" s="6">
        <f>IFERROR('raw-Return'!AJ9-Table14[[#This Row],[RF]],"")</f>
        <v>-1.2620662203253336E-3</v>
      </c>
      <c r="AK8" s="6">
        <f>IFERROR('raw-Return'!AK9-Table14[[#This Row],[RF]],"")</f>
        <v>-3.602599529007923E-2</v>
      </c>
      <c r="AL8" s="6">
        <f>IFERROR('raw-Return'!AL9-Table14[[#This Row],[RF]],"")</f>
        <v>1.2216818436672425E-2</v>
      </c>
      <c r="AM8" s="6">
        <f>IFERROR('raw-Return'!AM9-Table14[[#This Row],[RF]],"")</f>
        <v>-9.2551112582657385E-3</v>
      </c>
      <c r="AN8" s="6">
        <f>IFERROR('raw-Return'!AN9-Table14[[#This Row],[RF]],"")</f>
        <v>1.7888231560760776E-3</v>
      </c>
      <c r="AO8" s="6">
        <f>IFERROR('raw-Return'!AO9-Table14[[#This Row],[RF]],"")</f>
        <v>-1.80718085578251E-2</v>
      </c>
      <c r="AP8" s="6">
        <f>IFERROR('raw-Return'!AP9-Table14[[#This Row],[RF]],"")</f>
        <v>-1.80718085578251E-2</v>
      </c>
      <c r="AQ8" s="6">
        <f>IFERROR('raw-Return'!AQ9-Table14[[#This Row],[RF]],"")</f>
        <v>-1.7829198305559638E-2</v>
      </c>
      <c r="AR8" s="6">
        <f>IFERROR('raw-Return'!AR9-Table14[[#This Row],[RF]],"")</f>
        <v>-8.8918763431140718E-3</v>
      </c>
      <c r="AS8" s="6">
        <f>IFERROR('raw-Return'!AS9-Table14[[#This Row],[RF]],"")</f>
        <v>6.550079410089657E-3</v>
      </c>
      <c r="AT8" s="6">
        <f>IFERROR('raw-Return'!AT9-Table14[[#This Row],[RF]],"")</f>
        <v>-3.44E-2</v>
      </c>
      <c r="AU8" s="6">
        <f>IFERROR('raw-Return'!AU9-Table14[[#This Row],[RF]],"")</f>
        <v>-3.44E-2</v>
      </c>
      <c r="AV8" s="6">
        <f>IFERROR('raw-Return'!AV9-Table14[[#This Row],[RF]],"")</f>
        <v>-3.44E-2</v>
      </c>
    </row>
    <row r="9" spans="1:50" x14ac:dyDescent="0.2">
      <c r="A9" s="2">
        <v>43312</v>
      </c>
      <c r="B9" s="6">
        <f>IFERROR('raw-Return'!B10-Table14[[#This Row],[RF]],"")</f>
        <v>-3.4112590310468829E-2</v>
      </c>
      <c r="C9" s="6">
        <f>IFERROR('raw-Return'!C10-Table14[[#This Row],[RF]],"")</f>
        <v>-4.1047629366357377E-2</v>
      </c>
      <c r="D9" s="6">
        <f>IFERROR('raw-Return'!D10-Table14[[#This Row],[RF]],"")</f>
        <v>-3.4655711461659092E-2</v>
      </c>
      <c r="E9" s="6">
        <f>IFERROR('raw-Return'!E10-Table14[[#This Row],[RF]],"")</f>
        <v>-2.6776670625920443E-2</v>
      </c>
      <c r="F9" s="6">
        <f>IFERROR('raw-Return'!F10-Table14[[#This Row],[RF]],"")</f>
        <v>-3.3054275910256628E-2</v>
      </c>
      <c r="G9" s="6">
        <f>IFERROR('raw-Return'!G10-Table14[[#This Row],[RF]],"")</f>
        <v>-2.5939461124354593E-2</v>
      </c>
      <c r="H9" s="6">
        <f>IFERROR('raw-Return'!H10-Table14[[#This Row],[RF]],"")</f>
        <v>-3.0721393266675626E-2</v>
      </c>
      <c r="I9" s="6">
        <f>IFERROR('raw-Return'!I10-Table14[[#This Row],[RF]],"")</f>
        <v>-2.309526348236153E-2</v>
      </c>
      <c r="J9" s="6">
        <f>IFERROR('raw-Return'!J10-Table14[[#This Row],[RF]],"")</f>
        <v>-3.8973410924502197E-2</v>
      </c>
      <c r="K9" s="6">
        <f>IFERROR('raw-Return'!K10-Table14[[#This Row],[RF]],"")</f>
        <v>-2.7487660470266698E-2</v>
      </c>
      <c r="L9" s="6">
        <f>IFERROR('raw-Return'!L10-Table14[[#This Row],[RF]],"")</f>
        <v>-2.1259534670289695E-2</v>
      </c>
      <c r="M9" s="6">
        <f>IFERROR('raw-Return'!M10-Table14[[#This Row],[RF]],"")</f>
        <v>-3.1978866066494097E-2</v>
      </c>
      <c r="N9" s="6">
        <f>IFERROR('raw-Return'!N10-Table14[[#This Row],[RF]],"")</f>
        <v>-3.6678761251758021E-2</v>
      </c>
      <c r="O9" s="6">
        <f>IFERROR('raw-Return'!O10-Table14[[#This Row],[RF]],"")</f>
        <v>-4.6749772612856802E-2</v>
      </c>
      <c r="P9" s="6">
        <f>IFERROR('raw-Return'!P10-Table14[[#This Row],[RF]],"")</f>
        <v>-3.4319103290435041E-2</v>
      </c>
      <c r="Q9" s="6">
        <f>IFERROR('raw-Return'!Q10-Table14[[#This Row],[RF]],"")</f>
        <v>-6.0672471595314817E-2</v>
      </c>
      <c r="R9" s="6">
        <f>IFERROR('raw-Return'!R10-Table14[[#This Row],[RF]],"")</f>
        <v>-6.4562815391640174E-2</v>
      </c>
      <c r="S9" s="6">
        <f>IFERROR('raw-Return'!S10-Table14[[#This Row],[RF]],"")</f>
        <v>-3.2862027577167122E-2</v>
      </c>
      <c r="T9" s="6">
        <f>IFERROR('raw-Return'!T10-Table14[[#This Row],[RF]],"")</f>
        <v>-6.3462809105020848E-2</v>
      </c>
      <c r="U9" s="6">
        <f>IFERROR('raw-Return'!U10-Table14[[#This Row],[RF]],"")</f>
        <v>-2.8549838710846001E-2</v>
      </c>
      <c r="V9" s="6">
        <f>IFERROR('raw-Return'!V10-Table14[[#This Row],[RF]],"")</f>
        <v>-3.3315233795223012E-2</v>
      </c>
      <c r="W9" s="6">
        <f>IFERROR('raw-Return'!W10-Table14[[#This Row],[RF]],"")</f>
        <v>-3.46113500611442E-2</v>
      </c>
      <c r="X9" s="6">
        <f>IFERROR('raw-Return'!X10-Table14[[#This Row],[RF]],"")</f>
        <v>-5.1439897502668488E-2</v>
      </c>
      <c r="Y9" s="6">
        <f>IFERROR('raw-Return'!Y10-Table14[[#This Row],[RF]],"")</f>
        <v>-3.3456609004483065E-2</v>
      </c>
      <c r="Z9" s="6">
        <f>IFERROR('raw-Return'!Z10-Table14[[#This Row],[RF]],"")</f>
        <v>-7.0169379925829681E-2</v>
      </c>
      <c r="AA9" s="6">
        <f>IFERROR('raw-Return'!AA10-Table14[[#This Row],[RF]],"")</f>
        <v>-2.6978757707920534E-2</v>
      </c>
      <c r="AB9" s="6">
        <f>IFERROR('raw-Return'!AB10-Table14[[#This Row],[RF]],"")</f>
        <v>-2.9014678177405398E-2</v>
      </c>
      <c r="AC9" s="6">
        <f>IFERROR('raw-Return'!AC10-Table14[[#This Row],[RF]],"")</f>
        <v>-2.9014678177405398E-2</v>
      </c>
      <c r="AD9" s="6">
        <f>IFERROR('raw-Return'!AD10-Table14[[#This Row],[RF]],"")</f>
        <v>-2.3832006007870013E-2</v>
      </c>
      <c r="AE9" s="6">
        <f>IFERROR('raw-Return'!AE10-Table14[[#This Row],[RF]],"")</f>
        <v>-3.568281856547631E-3</v>
      </c>
      <c r="AF9" s="6">
        <f>IFERROR('raw-Return'!AF10-Table14[[#This Row],[RF]],"")</f>
        <v>-6.5206198070656377E-2</v>
      </c>
      <c r="AG9" s="6">
        <f>IFERROR('raw-Return'!AG10-Table14[[#This Row],[RF]],"")</f>
        <v>-6.5658134354025746E-2</v>
      </c>
      <c r="AH9" s="6">
        <f>IFERROR('raw-Return'!AH10-Table14[[#This Row],[RF]],"")</f>
        <v>-4.5209076492695413E-2</v>
      </c>
      <c r="AI9" s="6">
        <f>IFERROR('raw-Return'!AI10-Table14[[#This Row],[RF]],"")</f>
        <v>-3.2865533189101084E-2</v>
      </c>
      <c r="AJ9" s="6">
        <f>IFERROR('raw-Return'!AJ10-Table14[[#This Row],[RF]],"")</f>
        <v>-2.9061947922176493E-2</v>
      </c>
      <c r="AK9" s="6">
        <f>IFERROR('raw-Return'!AK10-Table14[[#This Row],[RF]],"")</f>
        <v>-3.5768694407399673E-2</v>
      </c>
      <c r="AL9" s="6">
        <f>IFERROR('raw-Return'!AL10-Table14[[#This Row],[RF]],"")</f>
        <v>-3.6027069817839166E-2</v>
      </c>
      <c r="AM9" s="6">
        <f>IFERROR('raw-Return'!AM10-Table14[[#This Row],[RF]],"")</f>
        <v>-2.3157542020610891E-2</v>
      </c>
      <c r="AN9" s="6">
        <f>IFERROR('raw-Return'!AN10-Table14[[#This Row],[RF]],"")</f>
        <v>-3.0354864287439789E-2</v>
      </c>
      <c r="AO9" s="6">
        <f>IFERROR('raw-Return'!AO10-Table14[[#This Row],[RF]],"")</f>
        <v>-4.4484685448428832E-2</v>
      </c>
      <c r="AP9" s="6">
        <f>IFERROR('raw-Return'!AP10-Table14[[#This Row],[RF]],"")</f>
        <v>-4.4484685448428832E-2</v>
      </c>
      <c r="AQ9" s="6">
        <f>IFERROR('raw-Return'!AQ10-Table14[[#This Row],[RF]],"")</f>
        <v>-2.7195518601716942E-2</v>
      </c>
      <c r="AR9" s="6">
        <f>IFERROR('raw-Return'!AR10-Table14[[#This Row],[RF]],"")</f>
        <v>-6.3752228850721251E-2</v>
      </c>
      <c r="AS9" s="6">
        <f>IFERROR('raw-Return'!AS10-Table14[[#This Row],[RF]],"")</f>
        <v>-4.2264905888627927E-2</v>
      </c>
      <c r="AT9" s="6">
        <f>IFERROR('raw-Return'!AT10-Table14[[#This Row],[RF]],"")</f>
        <v>-3.1899999999999998E-2</v>
      </c>
      <c r="AU9" s="6">
        <f>IFERROR('raw-Return'!AU10-Table14[[#This Row],[RF]],"")</f>
        <v>-3.1899999999999998E-2</v>
      </c>
      <c r="AV9" s="6">
        <f>IFERROR('raw-Return'!AV10-Table14[[#This Row],[RF]],"")</f>
        <v>-3.1899999999999998E-2</v>
      </c>
    </row>
    <row r="10" spans="1:50" x14ac:dyDescent="0.2">
      <c r="A10" s="2">
        <v>43281</v>
      </c>
      <c r="B10" s="6">
        <f>IFERROR('raw-Return'!B11-Table14[[#This Row],[RF]],"")</f>
        <v>3.7655353585211351E-4</v>
      </c>
      <c r="C10" s="6">
        <f>IFERROR('raw-Return'!C11-Table14[[#This Row],[RF]],"")</f>
        <v>4.6477734818250174E-3</v>
      </c>
      <c r="D10" s="6">
        <f>IFERROR('raw-Return'!D11-Table14[[#This Row],[RF]],"")</f>
        <v>-2.4971076504573617E-4</v>
      </c>
      <c r="E10" s="6">
        <f>IFERROR('raw-Return'!E11-Table14[[#This Row],[RF]],"")</f>
        <v>-7.9064637376541069E-3</v>
      </c>
      <c r="F10" s="6">
        <f>IFERROR('raw-Return'!F11-Table14[[#This Row],[RF]],"")</f>
        <v>-2.7412408352776871E-3</v>
      </c>
      <c r="G10" s="6">
        <f>IFERROR('raw-Return'!G11-Table14[[#This Row],[RF]],"")</f>
        <v>1.8685900068771938E-2</v>
      </c>
      <c r="H10" s="6">
        <f>IFERROR('raw-Return'!H11-Table14[[#This Row],[RF]],"")</f>
        <v>2.0138023307763181E-2</v>
      </c>
      <c r="I10" s="6">
        <f>IFERROR('raw-Return'!I11-Table14[[#This Row],[RF]],"")</f>
        <v>4.155768170687027E-2</v>
      </c>
      <c r="J10" s="6">
        <f>IFERROR('raw-Return'!J11-Table14[[#This Row],[RF]],"")</f>
        <v>2.4392659310960288E-3</v>
      </c>
      <c r="K10" s="6">
        <f>IFERROR('raw-Return'!K11-Table14[[#This Row],[RF]],"")</f>
        <v>4.6150186994066283E-2</v>
      </c>
      <c r="L10" s="6">
        <f>IFERROR('raw-Return'!L11-Table14[[#This Row],[RF]],"")</f>
        <v>5.3414328103715963E-2</v>
      </c>
      <c r="M10" s="6">
        <f>IFERROR('raw-Return'!M11-Table14[[#This Row],[RF]],"")</f>
        <v>4.0325779641219667E-2</v>
      </c>
      <c r="N10" s="6">
        <f>IFERROR('raw-Return'!N11-Table14[[#This Row],[RF]],"")</f>
        <v>-1.7809509478630978E-3</v>
      </c>
      <c r="O10" s="6">
        <f>IFERROR('raw-Return'!O11-Table14[[#This Row],[RF]],"")</f>
        <v>-3.2183640586332671E-3</v>
      </c>
      <c r="P10" s="6">
        <f>IFERROR('raw-Return'!P11-Table14[[#This Row],[RF]],"")</f>
        <v>-3.170178840215949E-3</v>
      </c>
      <c r="Q10" s="6">
        <f>IFERROR('raw-Return'!Q11-Table14[[#This Row],[RF]],"")</f>
        <v>-1.9068778919958479E-2</v>
      </c>
      <c r="R10" s="6">
        <f>IFERROR('raw-Return'!R11-Table14[[#This Row],[RF]],"")</f>
        <v>-2.4728274378847254E-2</v>
      </c>
      <c r="S10" s="6">
        <f>IFERROR('raw-Return'!S11-Table14[[#This Row],[RF]],"")</f>
        <v>1.4575696406943497E-3</v>
      </c>
      <c r="T10" s="6">
        <f>IFERROR('raw-Return'!T11-Table14[[#This Row],[RF]],"")</f>
        <v>-2.9052415014275107E-2</v>
      </c>
      <c r="U10" s="6">
        <f>IFERROR('raw-Return'!U11-Table14[[#This Row],[RF]],"")</f>
        <v>1.1726125675915716E-2</v>
      </c>
      <c r="V10" s="6">
        <f>IFERROR('raw-Return'!V11-Table14[[#This Row],[RF]],"")</f>
        <v>-2.381166409369446E-3</v>
      </c>
      <c r="W10" s="6">
        <f>IFERROR('raw-Return'!W11-Table14[[#This Row],[RF]],"")</f>
        <v>1.2982134317610333E-2</v>
      </c>
      <c r="X10" s="6">
        <f>IFERROR('raw-Return'!X11-Table14[[#This Row],[RF]],"")</f>
        <v>4.5313158066048456E-3</v>
      </c>
      <c r="Y10" s="6">
        <f>IFERROR('raw-Return'!Y11-Table14[[#This Row],[RF]],"")</f>
        <v>4.6999113630943803E-4</v>
      </c>
      <c r="Z10" s="6">
        <f>IFERROR('raw-Return'!Z11-Table14[[#This Row],[RF]],"")</f>
        <v>-1.866159179042623E-2</v>
      </c>
      <c r="AA10" s="6">
        <f>IFERROR('raw-Return'!AA11-Table14[[#This Row],[RF]],"")</f>
        <v>-4.4267691945612817E-3</v>
      </c>
      <c r="AB10" s="6">
        <f>IFERROR('raw-Return'!AB11-Table14[[#This Row],[RF]],"")</f>
        <v>1.9311580312046633E-2</v>
      </c>
      <c r="AC10" s="6">
        <f>IFERROR('raw-Return'!AC11-Table14[[#This Row],[RF]],"")</f>
        <v>1.9311580312046633E-2</v>
      </c>
      <c r="AD10" s="6">
        <f>IFERROR('raw-Return'!AD11-Table14[[#This Row],[RF]],"")</f>
        <v>3.2684330561921021E-2</v>
      </c>
      <c r="AE10" s="6">
        <f>IFERROR('raw-Return'!AE11-Table14[[#This Row],[RF]],"")</f>
        <v>-3.1091245550661534E-2</v>
      </c>
      <c r="AF10" s="6">
        <f>IFERROR('raw-Return'!AF11-Table14[[#This Row],[RF]],"")</f>
        <v>-1.5853754967926154E-2</v>
      </c>
      <c r="AG10" s="6">
        <f>IFERROR('raw-Return'!AG11-Table14[[#This Row],[RF]],"")</f>
        <v>-6.1733867972596232E-3</v>
      </c>
      <c r="AH10" s="6">
        <f>IFERROR('raw-Return'!AH11-Table14[[#This Row],[RF]],"")</f>
        <v>8.6397686370945272E-4</v>
      </c>
      <c r="AI10" s="6">
        <f>IFERROR('raw-Return'!AI11-Table14[[#This Row],[RF]],"")</f>
        <v>5.0849539237813038E-3</v>
      </c>
      <c r="AJ10" s="6">
        <f>IFERROR('raw-Return'!AJ11-Table14[[#This Row],[RF]],"")</f>
        <v>2.2368630631215997E-2</v>
      </c>
      <c r="AK10" s="6">
        <f>IFERROR('raw-Return'!AK11-Table14[[#This Row],[RF]],"")</f>
        <v>-1.7195650573132723E-3</v>
      </c>
      <c r="AL10" s="6">
        <f>IFERROR('raw-Return'!AL11-Table14[[#This Row],[RF]],"")</f>
        <v>1.3464749986150928E-3</v>
      </c>
      <c r="AM10" s="6">
        <f>IFERROR('raw-Return'!AM11-Table14[[#This Row],[RF]],"")</f>
        <v>3.8972194594473125E-2</v>
      </c>
      <c r="AN10" s="6">
        <f>IFERROR('raw-Return'!AN11-Table14[[#This Row],[RF]],"")</f>
        <v>1.9731657477980585E-2</v>
      </c>
      <c r="AO10" s="6">
        <f>IFERROR('raw-Return'!AO11-Table14[[#This Row],[RF]],"")</f>
        <v>-1.3996292951470618E-2</v>
      </c>
      <c r="AP10" s="6">
        <f>IFERROR('raw-Return'!AP11-Table14[[#This Row],[RF]],"")</f>
        <v>-1.3996292951470618E-2</v>
      </c>
      <c r="AQ10" s="6">
        <f>IFERROR('raw-Return'!AQ11-Table14[[#This Row],[RF]],"")</f>
        <v>4.3838800817461859E-2</v>
      </c>
      <c r="AR10" s="6">
        <f>IFERROR('raw-Return'!AR11-Table14[[#This Row],[RF]],"")</f>
        <v>-2.1176786670161402E-2</v>
      </c>
      <c r="AS10" s="6">
        <f>IFERROR('raw-Return'!AS11-Table14[[#This Row],[RF]],"")</f>
        <v>1.1170720768982761E-2</v>
      </c>
      <c r="AT10" s="6">
        <f>IFERROR('raw-Return'!AT11-Table14[[#This Row],[RF]],"")</f>
        <v>-4.7999999999999996E-3</v>
      </c>
      <c r="AU10" s="6">
        <f>IFERROR('raw-Return'!AU11-Table14[[#This Row],[RF]],"")</f>
        <v>-4.7999999999999996E-3</v>
      </c>
      <c r="AV10" s="6">
        <f>IFERROR('raw-Return'!AV11-Table14[[#This Row],[RF]],"")</f>
        <v>-4.7999999999999996E-3</v>
      </c>
    </row>
    <row r="11" spans="1:50" x14ac:dyDescent="0.2">
      <c r="A11" s="2">
        <v>43251</v>
      </c>
      <c r="B11" s="6">
        <f>IFERROR('raw-Return'!B12-Table14[[#This Row],[RF]],"")</f>
        <v>-3.9200164033645263E-2</v>
      </c>
      <c r="C11" s="6">
        <f>IFERROR('raw-Return'!C12-Table14[[#This Row],[RF]],"")</f>
        <v>-5.1682641691409043E-2</v>
      </c>
      <c r="D11" s="6">
        <f>IFERROR('raw-Return'!D12-Table14[[#This Row],[RF]],"")</f>
        <v>-3.7503457800644485E-2</v>
      </c>
      <c r="E11" s="6">
        <f>IFERROR('raw-Return'!E12-Table14[[#This Row],[RF]],"")</f>
        <v>-2.8880623924822744E-2</v>
      </c>
      <c r="F11" s="6">
        <f>IFERROR('raw-Return'!F12-Table14[[#This Row],[RF]],"")</f>
        <v>-3.0340234123864138E-2</v>
      </c>
      <c r="G11" s="6">
        <f>IFERROR('raw-Return'!G12-Table14[[#This Row],[RF]],"")</f>
        <v>-5.4190376958970471E-2</v>
      </c>
      <c r="H11" s="6">
        <f>IFERROR('raw-Return'!H12-Table14[[#This Row],[RF]],"")</f>
        <v>-2.1856630103882089E-2</v>
      </c>
      <c r="I11" s="6">
        <f>IFERROR('raw-Return'!I12-Table14[[#This Row],[RF]],"")</f>
        <v>-2.2366274938690398E-2</v>
      </c>
      <c r="J11" s="6">
        <f>IFERROR('raw-Return'!J12-Table14[[#This Row],[RF]],"")</f>
        <v>-2.1892245794419982E-2</v>
      </c>
      <c r="K11" s="6">
        <f>IFERROR('raw-Return'!K12-Table14[[#This Row],[RF]],"")</f>
        <v>-2.2768146494154737E-2</v>
      </c>
      <c r="L11" s="6">
        <f>IFERROR('raw-Return'!L12-Table14[[#This Row],[RF]],"")</f>
        <v>-2.3919644770242807E-2</v>
      </c>
      <c r="M11" s="6">
        <f>IFERROR('raw-Return'!M12-Table14[[#This Row],[RF]],"")</f>
        <v>-2.2474435809030333E-2</v>
      </c>
      <c r="N11" s="6">
        <f>IFERROR('raw-Return'!N12-Table14[[#This Row],[RF]],"")</f>
        <v>-4.0292731140164767E-2</v>
      </c>
      <c r="O11" s="6">
        <f>IFERROR('raw-Return'!O12-Table14[[#This Row],[RF]],"")</f>
        <v>-5.5072379281757594E-2</v>
      </c>
      <c r="P11" s="6">
        <f>IFERROR('raw-Return'!P12-Table14[[#This Row],[RF]],"")</f>
        <v>-2.9918840906595943E-2</v>
      </c>
      <c r="Q11" s="6">
        <f>IFERROR('raw-Return'!Q12-Table14[[#This Row],[RF]],"")</f>
        <v>-1.3868839249818552E-2</v>
      </c>
      <c r="R11" s="6">
        <f>IFERROR('raw-Return'!R12-Table14[[#This Row],[RF]],"")</f>
        <v>-2.0811706980812725E-2</v>
      </c>
      <c r="S11" s="6">
        <f>IFERROR('raw-Return'!S12-Table14[[#This Row],[RF]],"")</f>
        <v>-3.6949602354292482E-2</v>
      </c>
      <c r="T11" s="6">
        <f>IFERROR('raw-Return'!T12-Table14[[#This Row],[RF]],"")</f>
        <v>-5.005725758924693E-3</v>
      </c>
      <c r="U11" s="6">
        <f>IFERROR('raw-Return'!U12-Table14[[#This Row],[RF]],"")</f>
        <v>-4.9195039620547193E-2</v>
      </c>
      <c r="V11" s="6">
        <f>IFERROR('raw-Return'!V12-Table14[[#This Row],[RF]],"")</f>
        <v>-2.9511812407208047E-2</v>
      </c>
      <c r="W11" s="6">
        <f>IFERROR('raw-Return'!W12-Table14[[#This Row],[RF]],"")</f>
        <v>-3.5773302036367888E-2</v>
      </c>
      <c r="X11" s="6">
        <f>IFERROR('raw-Return'!X12-Table14[[#This Row],[RF]],"")</f>
        <v>-1.0520332057145896E-2</v>
      </c>
      <c r="Y11" s="6">
        <f>IFERROR('raw-Return'!Y12-Table14[[#This Row],[RF]],"")</f>
        <v>-3.3832762774775121E-2</v>
      </c>
      <c r="Z11" s="6">
        <f>IFERROR('raw-Return'!Z12-Table14[[#This Row],[RF]],"")</f>
        <v>-2.1255435879909777E-2</v>
      </c>
      <c r="AA11" s="6">
        <f>IFERROR('raw-Return'!AA12-Table14[[#This Row],[RF]],"")</f>
        <v>-2.2000988881053316E-2</v>
      </c>
      <c r="AB11" s="6">
        <f>IFERROR('raw-Return'!AB12-Table14[[#This Row],[RF]],"")</f>
        <v>-2.3001266693721188E-2</v>
      </c>
      <c r="AC11" s="6">
        <f>IFERROR('raw-Return'!AC12-Table14[[#This Row],[RF]],"")</f>
        <v>-2.3001266693721188E-2</v>
      </c>
      <c r="AD11" s="6">
        <f>IFERROR('raw-Return'!AD12-Table14[[#This Row],[RF]],"")</f>
        <v>-3.4898113252386703E-2</v>
      </c>
      <c r="AE11" s="6">
        <f>IFERROR('raw-Return'!AE12-Table14[[#This Row],[RF]],"")</f>
        <v>-1.2871226785597299E-2</v>
      </c>
      <c r="AF11" s="6">
        <f>IFERROR('raw-Return'!AF12-Table14[[#This Row],[RF]],"")</f>
        <v>-2.3085078856275563E-2</v>
      </c>
      <c r="AG11" s="6">
        <f>IFERROR('raw-Return'!AG12-Table14[[#This Row],[RF]],"")</f>
        <v>-2.3486652948999241E-2</v>
      </c>
      <c r="AH11" s="6">
        <f>IFERROR('raw-Return'!AH12-Table14[[#This Row],[RF]],"")</f>
        <v>-2.2272221776296983E-2</v>
      </c>
      <c r="AI11" s="6">
        <f>IFERROR('raw-Return'!AI12-Table14[[#This Row],[RF]],"")</f>
        <v>-3.2211382445778286E-2</v>
      </c>
      <c r="AJ11" s="6">
        <f>IFERROR('raw-Return'!AJ12-Table14[[#This Row],[RF]],"")</f>
        <v>-2.1989095528360179E-2</v>
      </c>
      <c r="AK11" s="6">
        <f>IFERROR('raw-Return'!AK12-Table14[[#This Row],[RF]],"")</f>
        <v>-2.6918935388876828E-2</v>
      </c>
      <c r="AL11" s="6">
        <f>IFERROR('raw-Return'!AL12-Table14[[#This Row],[RF]],"")</f>
        <v>-2.2218806313641291E-2</v>
      </c>
      <c r="AM11" s="6">
        <f>IFERROR('raw-Return'!AM12-Table14[[#This Row],[RF]],"")</f>
        <v>-2.3716448902342511E-2</v>
      </c>
      <c r="AN11" s="6">
        <f>IFERROR('raw-Return'!AN12-Table14[[#This Row],[RF]],"")</f>
        <v>-2.3550938094529825E-2</v>
      </c>
      <c r="AO11" s="6">
        <f>IFERROR('raw-Return'!AO12-Table14[[#This Row],[RF]],"")</f>
        <v>-4.5394522324658043E-2</v>
      </c>
      <c r="AP11" s="6">
        <f>IFERROR('raw-Return'!AP12-Table14[[#This Row],[RF]],"")</f>
        <v>-4.5394522324658043E-2</v>
      </c>
      <c r="AQ11" s="6">
        <f>IFERROR('raw-Return'!AQ12-Table14[[#This Row],[RF]],"")</f>
        <v>-2.4317345590712667E-2</v>
      </c>
      <c r="AR11" s="6">
        <f>IFERROR('raw-Return'!AR12-Table14[[#This Row],[RF]],"")</f>
        <v>-2.1890419953308125E-2</v>
      </c>
      <c r="AS11" s="6">
        <f>IFERROR('raw-Return'!AS12-Table14[[#This Row],[RF]],"")</f>
        <v>-2.517258294629102E-2</v>
      </c>
      <c r="AT11" s="6">
        <f>IFERROR('raw-Return'!AT12-Table14[[#This Row],[RF]],"")</f>
        <v>-2.6499999999999999E-2</v>
      </c>
      <c r="AU11" s="6">
        <f>IFERROR('raw-Return'!AU12-Table14[[#This Row],[RF]],"")</f>
        <v>-2.6499999999999999E-2</v>
      </c>
      <c r="AV11" s="6">
        <f>IFERROR('raw-Return'!AV12-Table14[[#This Row],[RF]],"")</f>
        <v>-2.6499999999999999E-2</v>
      </c>
    </row>
    <row r="12" spans="1:50" x14ac:dyDescent="0.2">
      <c r="A12" s="2">
        <v>43220</v>
      </c>
      <c r="B12" s="6">
        <f>IFERROR('raw-Return'!B13-Table14[[#This Row],[RF]],"")</f>
        <v>2.8413863676325646E-4</v>
      </c>
      <c r="C12" s="6">
        <f>IFERROR('raw-Return'!C13-Table14[[#This Row],[RF]],"")</f>
        <v>9.1346194855613932E-3</v>
      </c>
      <c r="D12" s="6">
        <f>IFERROR('raw-Return'!D13-Table14[[#This Row],[RF]],"")</f>
        <v>1.8705893356020381E-3</v>
      </c>
      <c r="E12" s="6">
        <f>IFERROR('raw-Return'!E13-Table14[[#This Row],[RF]],"")</f>
        <v>7.7773335972858432E-3</v>
      </c>
      <c r="F12" s="6">
        <f>IFERROR('raw-Return'!F13-Table14[[#This Row],[RF]],"")</f>
        <v>-1.9978671256527386E-3</v>
      </c>
      <c r="G12" s="6">
        <f>IFERROR('raw-Return'!G13-Table14[[#This Row],[RF]],"")</f>
        <v>3.0918200582114821E-2</v>
      </c>
      <c r="H12" s="6">
        <f>IFERROR('raw-Return'!H13-Table14[[#This Row],[RF]],"")</f>
        <v>-3.7747270114100603E-2</v>
      </c>
      <c r="I12" s="6">
        <f>IFERROR('raw-Return'!I13-Table14[[#This Row],[RF]],"")</f>
        <v>-3.6819371449696478E-2</v>
      </c>
      <c r="J12" s="6">
        <f>IFERROR('raw-Return'!J13-Table14[[#This Row],[RF]],"")</f>
        <v>-3.4788363016798315E-2</v>
      </c>
      <c r="K12" s="6">
        <f>IFERROR('raw-Return'!K13-Table14[[#This Row],[RF]],"")</f>
        <v>5.060273139659302E-3</v>
      </c>
      <c r="L12" s="6">
        <f>IFERROR('raw-Return'!L13-Table14[[#This Row],[RF]],"")</f>
        <v>1.0623126964790855E-2</v>
      </c>
      <c r="M12" s="6">
        <f>IFERROR('raw-Return'!M13-Table14[[#This Row],[RF]],"")</f>
        <v>8.1158467975485371E-4</v>
      </c>
      <c r="N12" s="6">
        <f>IFERROR('raw-Return'!N13-Table14[[#This Row],[RF]],"")</f>
        <v>-2.914615724893363E-3</v>
      </c>
      <c r="O12" s="6">
        <f>IFERROR('raw-Return'!O13-Table14[[#This Row],[RF]],"")</f>
        <v>3.2903216352658943E-3</v>
      </c>
      <c r="P12" s="6">
        <f>IFERROR('raw-Return'!P13-Table14[[#This Row],[RF]],"")</f>
        <v>-3.2965017103995103E-3</v>
      </c>
      <c r="Q12" s="6">
        <f>IFERROR('raw-Return'!Q13-Table14[[#This Row],[RF]],"")</f>
        <v>-1.0502756638451224E-2</v>
      </c>
      <c r="R12" s="6">
        <f>IFERROR('raw-Return'!R13-Table14[[#This Row],[RF]],"")</f>
        <v>-1.0179167427423849E-2</v>
      </c>
      <c r="S12" s="6">
        <f>IFERROR('raw-Return'!S13-Table14[[#This Row],[RF]],"")</f>
        <v>2.7778678286519837E-3</v>
      </c>
      <c r="T12" s="6">
        <f>IFERROR('raw-Return'!T13-Table14[[#This Row],[RF]],"")</f>
        <v>-1.1259231221529928E-2</v>
      </c>
      <c r="U12" s="6">
        <f>IFERROR('raw-Return'!U13-Table14[[#This Row],[RF]],"")</f>
        <v>2.3664041752935808E-2</v>
      </c>
      <c r="V12" s="6">
        <f>IFERROR('raw-Return'!V13-Table14[[#This Row],[RF]],"")</f>
        <v>-2.2138229263143211E-3</v>
      </c>
      <c r="W12" s="6">
        <f>IFERROR('raw-Return'!W13-Table14[[#This Row],[RF]],"")</f>
        <v>-2.0206698476834747E-2</v>
      </c>
      <c r="X12" s="6">
        <f>IFERROR('raw-Return'!X13-Table14[[#This Row],[RF]],"")</f>
        <v>-6.7603338900384807E-3</v>
      </c>
      <c r="Y12" s="6">
        <f>IFERROR('raw-Return'!Y13-Table14[[#This Row],[RF]],"")</f>
        <v>7.5859327876205696E-4</v>
      </c>
      <c r="Z12" s="6">
        <f>IFERROR('raw-Return'!Z13-Table14[[#This Row],[RF]],"")</f>
        <v>2.4093201673460199E-2</v>
      </c>
      <c r="AA12" s="6">
        <f>IFERROR('raw-Return'!AA13-Table14[[#This Row],[RF]],"")</f>
        <v>-1.0609631342316725E-2</v>
      </c>
      <c r="AB12" s="6">
        <f>IFERROR('raw-Return'!AB13-Table14[[#This Row],[RF]],"")</f>
        <v>-3.2032127387770712E-2</v>
      </c>
      <c r="AC12" s="6">
        <f>IFERROR('raw-Return'!AC13-Table14[[#This Row],[RF]],"")</f>
        <v>-3.2032127387770712E-2</v>
      </c>
      <c r="AD12" s="6">
        <f>IFERROR('raw-Return'!AD13-Table14[[#This Row],[RF]],"")</f>
        <v>-3.3783097111678012E-3</v>
      </c>
      <c r="AE12" s="6">
        <f>IFERROR('raw-Return'!AE13-Table14[[#This Row],[RF]],"")</f>
        <v>-4.0286367754587146E-2</v>
      </c>
      <c r="AF12" s="6">
        <f>IFERROR('raw-Return'!AF13-Table14[[#This Row],[RF]],"")</f>
        <v>-7.661563045621253E-3</v>
      </c>
      <c r="AG12" s="6">
        <f>IFERROR('raw-Return'!AG13-Table14[[#This Row],[RF]],"")</f>
        <v>-9.13636742149046E-4</v>
      </c>
      <c r="AH12" s="6">
        <f>IFERROR('raw-Return'!AH13-Table14[[#This Row],[RF]],"")</f>
        <v>-1.9204983879785406E-2</v>
      </c>
      <c r="AI12" s="6">
        <f>IFERROR('raw-Return'!AI13-Table14[[#This Row],[RF]],"")</f>
        <v>-3.389299611854385E-4</v>
      </c>
      <c r="AJ12" s="6">
        <f>IFERROR('raw-Return'!AJ13-Table14[[#This Row],[RF]],"")</f>
        <v>-2.6500000633091533E-2</v>
      </c>
      <c r="AK12" s="6">
        <f>IFERROR('raw-Return'!AK13-Table14[[#This Row],[RF]],"")</f>
        <v>3.0630064066529267E-3</v>
      </c>
      <c r="AL12" s="6">
        <f>IFERROR('raw-Return'!AL13-Table14[[#This Row],[RF]],"")</f>
        <v>-3.3279764204046866E-2</v>
      </c>
      <c r="AM12" s="6">
        <f>IFERROR('raw-Return'!AM13-Table14[[#This Row],[RF]],"")</f>
        <v>-3.0132897089024654E-2</v>
      </c>
      <c r="AN12" s="6">
        <f>IFERROR('raw-Return'!AN13-Table14[[#This Row],[RF]],"")</f>
        <v>-3.129382525690548E-2</v>
      </c>
      <c r="AO12" s="6">
        <f>IFERROR('raw-Return'!AO13-Table14[[#This Row],[RF]],"")</f>
        <v>-1.2264635814625974E-3</v>
      </c>
      <c r="AP12" s="6">
        <f>IFERROR('raw-Return'!AP13-Table14[[#This Row],[RF]],"")</f>
        <v>-1.2264635814625974E-3</v>
      </c>
      <c r="AQ12" s="6">
        <f>IFERROR('raw-Return'!AQ13-Table14[[#This Row],[RF]],"")</f>
        <v>1.0485382516610825E-3</v>
      </c>
      <c r="AR12" s="6">
        <f>IFERROR('raw-Return'!AR13-Table14[[#This Row],[RF]],"")</f>
        <v>-9.2492163899537821E-3</v>
      </c>
      <c r="AS12" s="6">
        <f>IFERROR('raw-Return'!AS13-Table14[[#This Row],[RF]],"")</f>
        <v>-3.17319922693685E-2</v>
      </c>
      <c r="AT12" s="6">
        <f>IFERROR('raw-Return'!AT13-Table14[[#This Row],[RF]],"")</f>
        <v>-2.8999999999999998E-3</v>
      </c>
      <c r="AU12" s="6">
        <f>IFERROR('raw-Return'!AU13-Table14[[#This Row],[RF]],"")</f>
        <v>-2.8999999999999998E-3</v>
      </c>
      <c r="AV12" s="6">
        <f>IFERROR('raw-Return'!AV13-Table14[[#This Row],[RF]],"")</f>
        <v>-2.8999999999999998E-3</v>
      </c>
    </row>
    <row r="13" spans="1:50" x14ac:dyDescent="0.2">
      <c r="A13" s="2">
        <v>43190</v>
      </c>
      <c r="B13" s="6">
        <f>IFERROR('raw-Return'!B14-Table14[[#This Row],[RF]],"")</f>
        <v>1.1043137476308175E-2</v>
      </c>
      <c r="C13" s="6">
        <f>IFERROR('raw-Return'!C14-Table14[[#This Row],[RF]],"")</f>
        <v>-1.0802930852319613E-2</v>
      </c>
      <c r="D13" s="6">
        <f>IFERROR('raw-Return'!D14-Table14[[#This Row],[RF]],"")</f>
        <v>1.0973780093154008E-2</v>
      </c>
      <c r="E13" s="6">
        <f>IFERROR('raw-Return'!E14-Table14[[#This Row],[RF]],"")</f>
        <v>2.5169042689424583E-2</v>
      </c>
      <c r="F13" s="6">
        <f>IFERROR('raw-Return'!F14-Table14[[#This Row],[RF]],"")</f>
        <v>1.9040573225299319E-2</v>
      </c>
      <c r="G13" s="6">
        <f>IFERROR('raw-Return'!G14-Table14[[#This Row],[RF]],"")</f>
        <v>-1.9409653784955148E-2</v>
      </c>
      <c r="H13" s="6">
        <f>IFERROR('raw-Return'!H14-Table14[[#This Row],[RF]],"")</f>
        <v>-1.1356076972829664E-2</v>
      </c>
      <c r="I13" s="6">
        <f>IFERROR('raw-Return'!I14-Table14[[#This Row],[RF]],"")</f>
        <v>-4.4117226976186572E-3</v>
      </c>
      <c r="J13" s="6">
        <f>IFERROR('raw-Return'!J14-Table14[[#This Row],[RF]],"")</f>
        <v>-2.0259064831285888E-2</v>
      </c>
      <c r="K13" s="6">
        <f>IFERROR('raw-Return'!K14-Table14[[#This Row],[RF]],"")</f>
        <v>-1.6220844336980754E-2</v>
      </c>
      <c r="L13" s="6">
        <f>IFERROR('raw-Return'!L14-Table14[[#This Row],[RF]],"")</f>
        <v>-8.3159648944619233E-3</v>
      </c>
      <c r="M13" s="6">
        <f>IFERROR('raw-Return'!M14-Table14[[#This Row],[RF]],"")</f>
        <v>-2.3801382148795201E-2</v>
      </c>
      <c r="N13" s="6">
        <f>IFERROR('raw-Return'!N14-Table14[[#This Row],[RF]],"")</f>
        <v>5.6628433686513394E-3</v>
      </c>
      <c r="O13" s="6">
        <f>IFERROR('raw-Return'!O14-Table14[[#This Row],[RF]],"")</f>
        <v>-1.791284627407793E-2</v>
      </c>
      <c r="P13" s="6">
        <f>IFERROR('raw-Return'!P14-Table14[[#This Row],[RF]],"")</f>
        <v>1.6298713202730276E-2</v>
      </c>
      <c r="Q13" s="6">
        <f>IFERROR('raw-Return'!Q14-Table14[[#This Row],[RF]],"")</f>
        <v>-2.7581542254866941E-2</v>
      </c>
      <c r="R13" s="6">
        <f>IFERROR('raw-Return'!R14-Table14[[#This Row],[RF]],"")</f>
        <v>-2.9561574511190757E-2</v>
      </c>
      <c r="S13" s="6">
        <f>IFERROR('raw-Return'!S14-Table14[[#This Row],[RF]],"")</f>
        <v>1.7280605429306796E-2</v>
      </c>
      <c r="T13" s="6">
        <f>IFERROR('raw-Return'!T14-Table14[[#This Row],[RF]],"")</f>
        <v>-3.7943493804049676E-2</v>
      </c>
      <c r="U13" s="6">
        <f>IFERROR('raw-Return'!U14-Table14[[#This Row],[RF]],"")</f>
        <v>-8.6643479385985697E-3</v>
      </c>
      <c r="V13" s="6">
        <f>IFERROR('raw-Return'!V14-Table14[[#This Row],[RF]],"")</f>
        <v>2.2025654510209138E-2</v>
      </c>
      <c r="W13" s="6">
        <f>IFERROR('raw-Return'!W14-Table14[[#This Row],[RF]],"")</f>
        <v>-1.6863439972517345E-2</v>
      </c>
      <c r="X13" s="6">
        <f>IFERROR('raw-Return'!X14-Table14[[#This Row],[RF]],"")</f>
        <v>-3.7902457009875455E-2</v>
      </c>
      <c r="Y13" s="6">
        <f>IFERROR('raw-Return'!Y14-Table14[[#This Row],[RF]],"")</f>
        <v>1.5069518108563197E-2</v>
      </c>
      <c r="Z13" s="6">
        <f>IFERROR('raw-Return'!Z14-Table14[[#This Row],[RF]],"")</f>
        <v>-4.7027489153883849E-2</v>
      </c>
      <c r="AA13" s="6">
        <f>IFERROR('raw-Return'!AA14-Table14[[#This Row],[RF]],"")</f>
        <v>-2.3347148927825488E-2</v>
      </c>
      <c r="AB13" s="6">
        <f>IFERROR('raw-Return'!AB14-Table14[[#This Row],[RF]],"")</f>
        <v>-1.3745206872275727E-2</v>
      </c>
      <c r="AC13" s="6">
        <f>IFERROR('raw-Return'!AC14-Table14[[#This Row],[RF]],"")</f>
        <v>-1.3745206872275727E-2</v>
      </c>
      <c r="AD13" s="6">
        <f>IFERROR('raw-Return'!AD14-Table14[[#This Row],[RF]],"")</f>
        <v>-9.3288610893515686E-3</v>
      </c>
      <c r="AE13" s="6">
        <f>IFERROR('raw-Return'!AE14-Table14[[#This Row],[RF]],"")</f>
        <v>-3.3659450360362407E-2</v>
      </c>
      <c r="AF13" s="6">
        <f>IFERROR('raw-Return'!AF14-Table14[[#This Row],[RF]],"")</f>
        <v>-1.6575128752672495E-2</v>
      </c>
      <c r="AG13" s="6">
        <f>IFERROR('raw-Return'!AG14-Table14[[#This Row],[RF]],"")</f>
        <v>-2.0709814647761303E-2</v>
      </c>
      <c r="AH13" s="6">
        <f>IFERROR('raw-Return'!AH14-Table14[[#This Row],[RF]],"")</f>
        <v>-2.0922840619304904E-2</v>
      </c>
      <c r="AI13" s="6">
        <f>IFERROR('raw-Return'!AI14-Table14[[#This Row],[RF]],"")</f>
        <v>1.5479583397831544E-2</v>
      </c>
      <c r="AJ13" s="6">
        <f>IFERROR('raw-Return'!AJ14-Table14[[#This Row],[RF]],"")</f>
        <v>-1.4096624314583993E-2</v>
      </c>
      <c r="AK13" s="6">
        <f>IFERROR('raw-Return'!AK14-Table14[[#This Row],[RF]],"")</f>
        <v>2.2868351815500433E-2</v>
      </c>
      <c r="AL13" s="6">
        <f>IFERROR('raw-Return'!AL14-Table14[[#This Row],[RF]],"")</f>
        <v>-2.0760973828011862E-2</v>
      </c>
      <c r="AM13" s="6">
        <f>IFERROR('raw-Return'!AM14-Table14[[#This Row],[RF]],"")</f>
        <v>-5.7548176835917272E-3</v>
      </c>
      <c r="AN13" s="6">
        <f>IFERROR('raw-Return'!AN14-Table14[[#This Row],[RF]],"")</f>
        <v>-1.3624991925725936E-2</v>
      </c>
      <c r="AO13" s="6">
        <f>IFERROR('raw-Return'!AO14-Table14[[#This Row],[RF]],"")</f>
        <v>3.726182801331003E-3</v>
      </c>
      <c r="AP13" s="6">
        <f>IFERROR('raw-Return'!AP14-Table14[[#This Row],[RF]],"")</f>
        <v>3.726182801331003E-3</v>
      </c>
      <c r="AQ13" s="6">
        <f>IFERROR('raw-Return'!AQ14-Table14[[#This Row],[RF]],"")</f>
        <v>-1.3873342928946673E-2</v>
      </c>
      <c r="AR13" s="6">
        <f>IFERROR('raw-Return'!AR14-Table14[[#This Row],[RF]],"")</f>
        <v>-2.8936932591457097E-2</v>
      </c>
      <c r="AS13" s="6">
        <f>IFERROR('raw-Return'!AS14-Table14[[#This Row],[RF]],"")</f>
        <v>-2.3727616977067233E-2</v>
      </c>
      <c r="AT13" s="6">
        <f>IFERROR('raw-Return'!AT14-Table14[[#This Row],[RF]],"")</f>
        <v>2.35E-2</v>
      </c>
      <c r="AU13" s="6">
        <f>IFERROR('raw-Return'!AU14-Table14[[#This Row],[RF]],"")</f>
        <v>2.35E-2</v>
      </c>
      <c r="AV13" s="6">
        <f>IFERROR('raw-Return'!AV14-Table14[[#This Row],[RF]],"")</f>
        <v>2.35E-2</v>
      </c>
    </row>
    <row r="14" spans="1:50" x14ac:dyDescent="0.2">
      <c r="A14" s="2">
        <v>43159</v>
      </c>
      <c r="B14" s="6">
        <f>IFERROR('raw-Return'!B15-Table14[[#This Row],[RF]],"")</f>
        <v>2.1085235928568834E-2</v>
      </c>
      <c r="C14" s="6">
        <f>IFERROR('raw-Return'!C15-Table14[[#This Row],[RF]],"")</f>
        <v>1.4820049978229076E-2</v>
      </c>
      <c r="D14" s="6">
        <f>IFERROR('raw-Return'!D15-Table14[[#This Row],[RF]],"")</f>
        <v>2.4083342149689567E-2</v>
      </c>
      <c r="E14" s="6">
        <f>IFERROR('raw-Return'!E15-Table14[[#This Row],[RF]],"")</f>
        <v>3.0767702065433243E-2</v>
      </c>
      <c r="F14" s="6">
        <f>IFERROR('raw-Return'!F15-Table14[[#This Row],[RF]],"")</f>
        <v>3.1723436036243301E-2</v>
      </c>
      <c r="G14" s="6">
        <f>IFERROR('raw-Return'!G15-Table14[[#This Row],[RF]],"")</f>
        <v>-6.1243354438933265E-3</v>
      </c>
      <c r="H14" s="6">
        <f>IFERROR('raw-Return'!H15-Table14[[#This Row],[RF]],"")</f>
        <v>9.5987016014121879E-2</v>
      </c>
      <c r="I14" s="6">
        <f>IFERROR('raw-Return'!I15-Table14[[#This Row],[RF]],"")</f>
        <v>0.1099519755530132</v>
      </c>
      <c r="J14" s="6">
        <f>IFERROR('raw-Return'!J15-Table14[[#This Row],[RF]],"")</f>
        <v>8.2798788518456262E-2</v>
      </c>
      <c r="K14" s="6">
        <f>IFERROR('raw-Return'!K15-Table14[[#This Row],[RF]],"")</f>
        <v>6.3512094325345131E-2</v>
      </c>
      <c r="L14" s="6">
        <f>IFERROR('raw-Return'!L15-Table14[[#This Row],[RF]],"")</f>
        <v>7.525581175222798E-2</v>
      </c>
      <c r="M14" s="6">
        <f>IFERROR('raw-Return'!M15-Table14[[#This Row],[RF]],"")</f>
        <v>5.5816919246694428E-2</v>
      </c>
      <c r="N14" s="6">
        <f>IFERROR('raw-Return'!N15-Table14[[#This Row],[RF]],"")</f>
        <v>2.4955177044648912E-2</v>
      </c>
      <c r="O14" s="6">
        <f>IFERROR('raw-Return'!O15-Table14[[#This Row],[RF]],"")</f>
        <v>2.5753143555510193E-2</v>
      </c>
      <c r="P14" s="6">
        <f>IFERROR('raw-Return'!P15-Table14[[#This Row],[RF]],"")</f>
        <v>3.3081020901887713E-2</v>
      </c>
      <c r="Q14" s="6">
        <f>IFERROR('raw-Return'!Q15-Table14[[#This Row],[RF]],"")</f>
        <v>8.3960693513281531E-2</v>
      </c>
      <c r="R14" s="6">
        <f>IFERROR('raw-Return'!R15-Table14[[#This Row],[RF]],"")</f>
        <v>9.3512566306537953E-2</v>
      </c>
      <c r="S14" s="6">
        <f>IFERROR('raw-Return'!S15-Table14[[#This Row],[RF]],"")</f>
        <v>2.2057996590197602E-2</v>
      </c>
      <c r="T14" s="6">
        <f>IFERROR('raw-Return'!T15-Table14[[#This Row],[RF]],"")</f>
        <v>9.2792112321502113E-2</v>
      </c>
      <c r="U14" s="6">
        <f>IFERROR('raw-Return'!U15-Table14[[#This Row],[RF]],"")</f>
        <v>4.5596632608307028E-3</v>
      </c>
      <c r="V14" s="6">
        <f>IFERROR('raw-Return'!V15-Table14[[#This Row],[RF]],"")</f>
        <v>3.3312201226811465E-2</v>
      </c>
      <c r="W14" s="6">
        <f>IFERROR('raw-Return'!W15-Table14[[#This Row],[RF]],"")</f>
        <v>8.6620494916084728E-2</v>
      </c>
      <c r="X14" s="6">
        <f>IFERROR('raw-Return'!X15-Table14[[#This Row],[RF]],"")</f>
        <v>7.556471530118139E-2</v>
      </c>
      <c r="Y14" s="6">
        <f>IFERROR('raw-Return'!Y15-Table14[[#This Row],[RF]],"")</f>
        <v>2.5213831829915566E-2</v>
      </c>
      <c r="Z14" s="6">
        <f>IFERROR('raw-Return'!Z15-Table14[[#This Row],[RF]],"")</f>
        <v>9.1715547594509977E-2</v>
      </c>
      <c r="AA14" s="6">
        <f>IFERROR('raw-Return'!AA15-Table14[[#This Row],[RF]],"")</f>
        <v>7.3249806821054558E-2</v>
      </c>
      <c r="AB14" s="6">
        <f>IFERROR('raw-Return'!AB15-Table14[[#This Row],[RF]],"")</f>
        <v>9.2331816071362233E-2</v>
      </c>
      <c r="AC14" s="6">
        <f>IFERROR('raw-Return'!AC15-Table14[[#This Row],[RF]],"")</f>
        <v>9.2331816071362233E-2</v>
      </c>
      <c r="AD14" s="6">
        <f>IFERROR('raw-Return'!AD15-Table14[[#This Row],[RF]],"")</f>
        <v>8.6132504632153079E-2</v>
      </c>
      <c r="AE14" s="6">
        <f>IFERROR('raw-Return'!AE15-Table14[[#This Row],[RF]],"")</f>
        <v>4.7895559120846774E-2</v>
      </c>
      <c r="AF14" s="6">
        <f>IFERROR('raw-Return'!AF15-Table14[[#This Row],[RF]],"")</f>
        <v>8.3964849514577528E-2</v>
      </c>
      <c r="AG14" s="6">
        <f>IFERROR('raw-Return'!AG15-Table14[[#This Row],[RF]],"")</f>
        <v>8.0772121740094543E-2</v>
      </c>
      <c r="AH14" s="6">
        <f>IFERROR('raw-Return'!AH15-Table14[[#This Row],[RF]],"")</f>
        <v>9.1300515753717476E-2</v>
      </c>
      <c r="AI14" s="6">
        <f>IFERROR('raw-Return'!AI15-Table14[[#This Row],[RF]],"")</f>
        <v>2.5331915028662742E-2</v>
      </c>
      <c r="AJ14" s="6">
        <f>IFERROR('raw-Return'!AJ15-Table14[[#This Row],[RF]],"")</f>
        <v>8.8750538909451865E-2</v>
      </c>
      <c r="AK14" s="6">
        <f>IFERROR('raw-Return'!AK15-Table14[[#This Row],[RF]],"")</f>
        <v>3.3037452012042688E-2</v>
      </c>
      <c r="AL14" s="6">
        <f>IFERROR('raw-Return'!AL15-Table14[[#This Row],[RF]],"")</f>
        <v>8.3522262264371011E-2</v>
      </c>
      <c r="AM14" s="6">
        <f>IFERROR('raw-Return'!AM15-Table14[[#This Row],[RF]],"")</f>
        <v>0.10485575796683302</v>
      </c>
      <c r="AN14" s="6">
        <f>IFERROR('raw-Return'!AN15-Table14[[#This Row],[RF]],"")</f>
        <v>9.365478010583142E-2</v>
      </c>
      <c r="AO14" s="6">
        <f>IFERROR('raw-Return'!AO15-Table14[[#This Row],[RF]],"")</f>
        <v>3.1856403939413934E-2</v>
      </c>
      <c r="AP14" s="6">
        <f>IFERROR('raw-Return'!AP15-Table14[[#This Row],[RF]],"")</f>
        <v>3.1856403939413934E-2</v>
      </c>
      <c r="AQ14" s="6">
        <f>IFERROR('raw-Return'!AQ15-Table14[[#This Row],[RF]],"")</f>
        <v>6.9648155672380724E-2</v>
      </c>
      <c r="AR14" s="6">
        <f>IFERROR('raw-Return'!AR15-Table14[[#This Row],[RF]],"")</f>
        <v>9.3719061379263363E-2</v>
      </c>
      <c r="AS14" s="6">
        <f>IFERROR('raw-Return'!AS15-Table14[[#This Row],[RF]],"")</f>
        <v>7.7597301368181687E-2</v>
      </c>
      <c r="AT14" s="6">
        <f>IFERROR('raw-Return'!AT15-Table14[[#This Row],[RF]],"")</f>
        <v>3.6499999999999998E-2</v>
      </c>
      <c r="AU14" s="6">
        <f>IFERROR('raw-Return'!AU15-Table14[[#This Row],[RF]],"")</f>
        <v>3.6499999999999998E-2</v>
      </c>
      <c r="AV14" s="6">
        <f>IFERROR('raw-Return'!AV15-Table14[[#This Row],[RF]],"")</f>
        <v>3.6499999999999998E-2</v>
      </c>
    </row>
    <row r="15" spans="1:50" x14ac:dyDescent="0.2">
      <c r="A15" s="2">
        <v>43131</v>
      </c>
      <c r="B15" s="6">
        <f>IFERROR('raw-Return'!B16-Table14[[#This Row],[RF]],"")</f>
        <v>-5.875946098632838E-2</v>
      </c>
      <c r="C15" s="6">
        <f>IFERROR('raw-Return'!C16-Table14[[#This Row],[RF]],"")</f>
        <v>-4.3332823770692627E-2</v>
      </c>
      <c r="D15" s="6">
        <f>IFERROR('raw-Return'!D16-Table14[[#This Row],[RF]],"")</f>
        <v>-5.5059613855808306E-2</v>
      </c>
      <c r="E15" s="6">
        <f>IFERROR('raw-Return'!E16-Table14[[#This Row],[RF]],"")</f>
        <v>-6.652323085885907E-2</v>
      </c>
      <c r="F15" s="6">
        <f>IFERROR('raw-Return'!F16-Table14[[#This Row],[RF]],"")</f>
        <v>-5.9087566973623981E-2</v>
      </c>
      <c r="G15" s="6">
        <f>IFERROR('raw-Return'!G16-Table14[[#This Row],[RF]],"")</f>
        <v>-3.4344406801127311E-2</v>
      </c>
      <c r="H15" s="6">
        <f>IFERROR('raw-Return'!H16-Table14[[#This Row],[RF]],"")</f>
        <v>-4.8126985848276391E-2</v>
      </c>
      <c r="I15" s="6">
        <f>IFERROR('raw-Return'!I16-Table14[[#This Row],[RF]],"")</f>
        <v>-4.8937305616076163E-2</v>
      </c>
      <c r="J15" s="6">
        <f>IFERROR('raw-Return'!J16-Table14[[#This Row],[RF]],"")</f>
        <v>-4.5760649996327604E-2</v>
      </c>
      <c r="K15" s="6">
        <f>IFERROR('raw-Return'!K16-Table14[[#This Row],[RF]],"")</f>
        <v>-5.652127418073731E-2</v>
      </c>
      <c r="L15" s="6">
        <f>IFERROR('raw-Return'!L16-Table14[[#This Row],[RF]],"")</f>
        <v>-5.6585587287376324E-2</v>
      </c>
      <c r="M15" s="6">
        <f>IFERROR('raw-Return'!M16-Table14[[#This Row],[RF]],"")</f>
        <v>-5.7233016230672382E-2</v>
      </c>
      <c r="N15" s="6">
        <f>IFERROR('raw-Return'!N16-Table14[[#This Row],[RF]],"")</f>
        <v>-5.6970846426872487E-2</v>
      </c>
      <c r="O15" s="6">
        <f>IFERROR('raw-Return'!O16-Table14[[#This Row],[RF]],"")</f>
        <v>-4.0969784787847782E-2</v>
      </c>
      <c r="P15" s="6">
        <f>IFERROR('raw-Return'!P16-Table14[[#This Row],[RF]],"")</f>
        <v>-5.9938838842094541E-2</v>
      </c>
      <c r="Q15" s="6">
        <f>IFERROR('raw-Return'!Q16-Table14[[#This Row],[RF]],"")</f>
        <v>-4.9075228217201491E-2</v>
      </c>
      <c r="R15" s="6">
        <f>IFERROR('raw-Return'!R16-Table14[[#This Row],[RF]],"")</f>
        <v>-4.3983497502787447E-2</v>
      </c>
      <c r="S15" s="6">
        <f>IFERROR('raw-Return'!S16-Table14[[#This Row],[RF]],"")</f>
        <v>-5.8636353609874778E-2</v>
      </c>
      <c r="T15" s="6">
        <f>IFERROR('raw-Return'!T16-Table14[[#This Row],[RF]],"")</f>
        <v>-4.5901259892422816E-2</v>
      </c>
      <c r="U15" s="6">
        <f>IFERROR('raw-Return'!U16-Table14[[#This Row],[RF]],"")</f>
        <v>-4.3207310956802678E-2</v>
      </c>
      <c r="V15" s="6">
        <f>IFERROR('raw-Return'!V16-Table14[[#This Row],[RF]],"")</f>
        <v>-5.8287004413195828E-2</v>
      </c>
      <c r="W15" s="6">
        <f>IFERROR('raw-Return'!W16-Table14[[#This Row],[RF]],"")</f>
        <v>-4.673699985680517E-2</v>
      </c>
      <c r="X15" s="6">
        <f>IFERROR('raw-Return'!X16-Table14[[#This Row],[RF]],"")</f>
        <v>-4.8668226474709739E-2</v>
      </c>
      <c r="Y15" s="6">
        <f>IFERROR('raw-Return'!Y16-Table14[[#This Row],[RF]],"")</f>
        <v>-5.7695354288310338E-2</v>
      </c>
      <c r="Z15" s="6">
        <f>IFERROR('raw-Return'!Z16-Table14[[#This Row],[RF]],"")</f>
        <v>-5.6449538201636715E-2</v>
      </c>
      <c r="AA15" s="6">
        <f>IFERROR('raw-Return'!AA16-Table14[[#This Row],[RF]],"")</f>
        <v>-4.2716274875379032E-2</v>
      </c>
      <c r="AB15" s="6">
        <f>IFERROR('raw-Return'!AB16-Table14[[#This Row],[RF]],"")</f>
        <v>-4.7813530123979195E-2</v>
      </c>
      <c r="AC15" s="6">
        <f>IFERROR('raw-Return'!AC16-Table14[[#This Row],[RF]],"")</f>
        <v>-4.7813530123979195E-2</v>
      </c>
      <c r="AD15" s="6">
        <f>IFERROR('raw-Return'!AD16-Table14[[#This Row],[RF]],"")</f>
        <v>-5.7756442852771525E-2</v>
      </c>
      <c r="AE15" s="6">
        <f>IFERROR('raw-Return'!AE16-Table14[[#This Row],[RF]],"")</f>
        <v>-6.1245420372770296E-2</v>
      </c>
      <c r="AF15" s="6">
        <f>IFERROR('raw-Return'!AF16-Table14[[#This Row],[RF]],"")</f>
        <v>-5.359540730936023E-2</v>
      </c>
      <c r="AG15" s="6">
        <f>IFERROR('raw-Return'!AG16-Table14[[#This Row],[RF]],"")</f>
        <v>-4.2335719337088726E-2</v>
      </c>
      <c r="AH15" s="6">
        <f>IFERROR('raw-Return'!AH16-Table14[[#This Row],[RF]],"")</f>
        <v>-4.6547690898018176E-2</v>
      </c>
      <c r="AI15" s="6">
        <f>IFERROR('raw-Return'!AI16-Table14[[#This Row],[RF]],"")</f>
        <v>-5.0607211704547891E-2</v>
      </c>
      <c r="AJ15" s="6">
        <f>IFERROR('raw-Return'!AJ16-Table14[[#This Row],[RF]],"")</f>
        <v>-4.9085252205885929E-2</v>
      </c>
      <c r="AK15" s="6">
        <f>IFERROR('raw-Return'!AK16-Table14[[#This Row],[RF]],"")</f>
        <v>-6.9141040205417711E-2</v>
      </c>
      <c r="AL15" s="6">
        <f>IFERROR('raw-Return'!AL16-Table14[[#This Row],[RF]],"")</f>
        <v>-4.5396874121036587E-2</v>
      </c>
      <c r="AM15" s="6">
        <f>IFERROR('raw-Return'!AM16-Table14[[#This Row],[RF]],"")</f>
        <v>-5.0627466921832884E-2</v>
      </c>
      <c r="AN15" s="6">
        <f>IFERROR('raw-Return'!AN16-Table14[[#This Row],[RF]],"")</f>
        <v>-4.8190187698181328E-2</v>
      </c>
      <c r="AO15" s="6">
        <f>IFERROR('raw-Return'!AO16-Table14[[#This Row],[RF]],"")</f>
        <v>-5.5394463062364771E-2</v>
      </c>
      <c r="AP15" s="6">
        <f>IFERROR('raw-Return'!AP16-Table14[[#This Row],[RF]],"")</f>
        <v>-5.5394463062364771E-2</v>
      </c>
      <c r="AQ15" s="6">
        <f>IFERROR('raw-Return'!AQ16-Table14[[#This Row],[RF]],"")</f>
        <v>-5.7615688783885163E-2</v>
      </c>
      <c r="AR15" s="6">
        <f>IFERROR('raw-Return'!AR16-Table14[[#This Row],[RF]],"")</f>
        <v>-4.4777292728273618E-2</v>
      </c>
      <c r="AS15" s="6">
        <f>IFERROR('raw-Return'!AS16-Table14[[#This Row],[RF]],"")</f>
        <v>-4.8497361510131107E-2</v>
      </c>
      <c r="AT15" s="6">
        <f>IFERROR('raw-Return'!AT16-Table14[[#This Row],[RF]],"")</f>
        <v>-5.5800000000000002E-2</v>
      </c>
      <c r="AU15" s="6">
        <f>IFERROR('raw-Return'!AU16-Table14[[#This Row],[RF]],"")</f>
        <v>-5.5800000000000002E-2</v>
      </c>
      <c r="AV15" s="6">
        <f>IFERROR('raw-Return'!AV16-Table14[[#This Row],[RF]],"")</f>
        <v>-5.5800000000000002E-2</v>
      </c>
    </row>
    <row r="16" spans="1:50" x14ac:dyDescent="0.2">
      <c r="A16" s="2">
        <v>43100</v>
      </c>
      <c r="B16" s="6">
        <f>IFERROR('raw-Return'!B17-Table14[[#This Row],[RF]],"")</f>
        <v>-1.547104789548154E-2</v>
      </c>
      <c r="C16" s="6">
        <f>IFERROR('raw-Return'!C17-Table14[[#This Row],[RF]],"")</f>
        <v>-6.1913684084434224E-3</v>
      </c>
      <c r="D16" s="6">
        <f>IFERROR('raw-Return'!D17-Table14[[#This Row],[RF]],"")</f>
        <v>-1.3783735823056977E-2</v>
      </c>
      <c r="E16" s="6">
        <f>IFERROR('raw-Return'!E17-Table14[[#This Row],[RF]],"")</f>
        <v>-9.1094801073903792E-3</v>
      </c>
      <c r="F16" s="6">
        <f>IFERROR('raw-Return'!F17-Table14[[#This Row],[RF]],"")</f>
        <v>-1.4750814690556226E-2</v>
      </c>
      <c r="G16" s="6">
        <f>IFERROR('raw-Return'!G17-Table14[[#This Row],[RF]],"")</f>
        <v>3.0286186442193812E-3</v>
      </c>
      <c r="H16" s="6">
        <f>IFERROR('raw-Return'!H17-Table14[[#This Row],[RF]],"")</f>
        <v>1.9610191190857218E-2</v>
      </c>
      <c r="I16" s="6">
        <f>IFERROR('raw-Return'!I17-Table14[[#This Row],[RF]],"")</f>
        <v>1.4226026892221131E-2</v>
      </c>
      <c r="J16" s="6">
        <f>IFERROR('raw-Return'!J17-Table14[[#This Row],[RF]],"")</f>
        <v>2.3567359981202018E-2</v>
      </c>
      <c r="K16" s="6">
        <f>IFERROR('raw-Return'!K17-Table14[[#This Row],[RF]],"")</f>
        <v>1.9932139618733913E-2</v>
      </c>
      <c r="L16" s="6">
        <f>IFERROR('raw-Return'!L17-Table14[[#This Row],[RF]],"")</f>
        <v>1.9985793591812795E-2</v>
      </c>
      <c r="M16" s="6">
        <f>IFERROR('raw-Return'!M17-Table14[[#This Row],[RF]],"")</f>
        <v>2.1045573548767738E-2</v>
      </c>
      <c r="N16" s="6">
        <f>IFERROR('raw-Return'!N17-Table14[[#This Row],[RF]],"")</f>
        <v>-1.5783848623570018E-2</v>
      </c>
      <c r="O16" s="6">
        <f>IFERROR('raw-Return'!O17-Table14[[#This Row],[RF]],"")</f>
        <v>-1.2304339251119125E-2</v>
      </c>
      <c r="P16" s="6">
        <f>IFERROR('raw-Return'!P17-Table14[[#This Row],[RF]],"")</f>
        <v>-1.5719886937704264E-2</v>
      </c>
      <c r="Q16" s="6">
        <f>IFERROR('raw-Return'!Q17-Table14[[#This Row],[RF]],"")</f>
        <v>-1.9895837072752571E-3</v>
      </c>
      <c r="R16" s="6">
        <f>IFERROR('raw-Return'!R17-Table14[[#This Row],[RF]],"")</f>
        <v>-4.2738386236183552E-3</v>
      </c>
      <c r="S16" s="6">
        <f>IFERROR('raw-Return'!S17-Table14[[#This Row],[RF]],"")</f>
        <v>-1.5554505974752221E-2</v>
      </c>
      <c r="T16" s="6">
        <f>IFERROR('raw-Return'!T17-Table14[[#This Row],[RF]],"")</f>
        <v>-1.1118084847144551E-2</v>
      </c>
      <c r="U16" s="6">
        <f>IFERROR('raw-Return'!U17-Table14[[#This Row],[RF]],"")</f>
        <v>-5.7638195155287914E-3</v>
      </c>
      <c r="V16" s="6">
        <f>IFERROR('raw-Return'!V17-Table14[[#This Row],[RF]],"")</f>
        <v>-1.3281021339576595E-2</v>
      </c>
      <c r="W16" s="6">
        <f>IFERROR('raw-Return'!W17-Table14[[#This Row],[RF]],"")</f>
        <v>3.4255909631639436E-2</v>
      </c>
      <c r="X16" s="6">
        <f>IFERROR('raw-Return'!X17-Table14[[#This Row],[RF]],"")</f>
        <v>1.1760285102176469E-2</v>
      </c>
      <c r="Y16" s="6">
        <f>IFERROR('raw-Return'!Y17-Table14[[#This Row],[RF]],"")</f>
        <v>-1.4227140019248909E-2</v>
      </c>
      <c r="Z16" s="6">
        <f>IFERROR('raw-Return'!Z17-Table14[[#This Row],[RF]],"")</f>
        <v>3.8080664656061063E-3</v>
      </c>
      <c r="AA16" s="6">
        <f>IFERROR('raw-Return'!AA17-Table14[[#This Row],[RF]],"")</f>
        <v>2.3359352216562879E-2</v>
      </c>
      <c r="AB16" s="6">
        <f>IFERROR('raw-Return'!AB17-Table14[[#This Row],[RF]],"")</f>
        <v>1.9977950827499924E-2</v>
      </c>
      <c r="AC16" s="6">
        <f>IFERROR('raw-Return'!AC17-Table14[[#This Row],[RF]],"")</f>
        <v>1.9977950827499924E-2</v>
      </c>
      <c r="AD16" s="6">
        <f>IFERROR('raw-Return'!AD17-Table14[[#This Row],[RF]],"")</f>
        <v>1.7597566143381316E-2</v>
      </c>
      <c r="AE16" s="6">
        <f>IFERROR('raw-Return'!AE17-Table14[[#This Row],[RF]],"")</f>
        <v>1.4219098574615728E-2</v>
      </c>
      <c r="AF16" s="6">
        <f>IFERROR('raw-Return'!AF17-Table14[[#This Row],[RF]],"")</f>
        <v>1.173279287950185E-2</v>
      </c>
      <c r="AG16" s="6">
        <f>IFERROR('raw-Return'!AG17-Table14[[#This Row],[RF]],"")</f>
        <v>-1.9113499799202089E-3</v>
      </c>
      <c r="AH16" s="6">
        <f>IFERROR('raw-Return'!AH17-Table14[[#This Row],[RF]],"")</f>
        <v>8.3816120826220569E-3</v>
      </c>
      <c r="AI16" s="6">
        <f>IFERROR('raw-Return'!AI17-Table14[[#This Row],[RF]],"")</f>
        <v>-1.5221628602285544E-2</v>
      </c>
      <c r="AJ16" s="6">
        <f>IFERROR('raw-Return'!AJ17-Table14[[#This Row],[RF]],"")</f>
        <v>1.9743102926192246E-2</v>
      </c>
      <c r="AK16" s="6">
        <f>IFERROR('raw-Return'!AK17-Table14[[#This Row],[RF]],"")</f>
        <v>-1.1817602675173124E-2</v>
      </c>
      <c r="AL16" s="6">
        <f>IFERROR('raw-Return'!AL17-Table14[[#This Row],[RF]],"")</f>
        <v>2.466554517555658E-2</v>
      </c>
      <c r="AM16" s="6">
        <f>IFERROR('raw-Return'!AM17-Table14[[#This Row],[RF]],"")</f>
        <v>1.3633839793838419E-2</v>
      </c>
      <c r="AN16" s="6">
        <f>IFERROR('raw-Return'!AN17-Table14[[#This Row],[RF]],"")</f>
        <v>1.9330206792243787E-2</v>
      </c>
      <c r="AO16" s="6">
        <f>IFERROR('raw-Return'!AO17-Table14[[#This Row],[RF]],"")</f>
        <v>-1.9504987324026335E-2</v>
      </c>
      <c r="AP16" s="6">
        <f>IFERROR('raw-Return'!AP17-Table14[[#This Row],[RF]],"")</f>
        <v>-1.9504987324026335E-2</v>
      </c>
      <c r="AQ16" s="6">
        <f>IFERROR('raw-Return'!AQ17-Table14[[#This Row],[RF]],"")</f>
        <v>2.0479295781095475E-2</v>
      </c>
      <c r="AR16" s="6">
        <f>IFERROR('raw-Return'!AR17-Table14[[#This Row],[RF]],"")</f>
        <v>-4.3434859690907896E-3</v>
      </c>
      <c r="AS16" s="6">
        <f>IFERROR('raw-Return'!AS17-Table14[[#This Row],[RF]],"")</f>
        <v>2.0092459609968027E-2</v>
      </c>
      <c r="AT16" s="6">
        <f>IFERROR('raw-Return'!AT17-Table14[[#This Row],[RF]],"")</f>
        <v>-1.06E-2</v>
      </c>
      <c r="AU16" s="6">
        <f>IFERROR('raw-Return'!AU17-Table14[[#This Row],[RF]],"")</f>
        <v>-1.06E-2</v>
      </c>
      <c r="AV16" s="6">
        <f>IFERROR('raw-Return'!AV17-Table14[[#This Row],[RF]],"")</f>
        <v>-1.06E-2</v>
      </c>
    </row>
    <row r="17" spans="1:48" x14ac:dyDescent="0.2">
      <c r="A17" s="2">
        <v>43069</v>
      </c>
      <c r="B17" s="6">
        <f>IFERROR('raw-Return'!B18-Table14[[#This Row],[RF]],"")</f>
        <v>-3.3215315547718838E-2</v>
      </c>
      <c r="C17" s="6">
        <f>IFERROR('raw-Return'!C18-Table14[[#This Row],[RF]],"")</f>
        <v>-3.4066993084897468E-2</v>
      </c>
      <c r="D17" s="6">
        <f>IFERROR('raw-Return'!D18-Table14[[#This Row],[RF]],"")</f>
        <v>-3.3515351707866237E-2</v>
      </c>
      <c r="E17" s="6">
        <f>IFERROR('raw-Return'!E18-Table14[[#This Row],[RF]],"")</f>
        <v>-2.5843673979107803E-2</v>
      </c>
      <c r="F17" s="6">
        <f>IFERROR('raw-Return'!F18-Table14[[#This Row],[RF]],"")</f>
        <v>-3.2822903155001804E-2</v>
      </c>
      <c r="G17" s="6">
        <f>IFERROR('raw-Return'!G18-Table14[[#This Row],[RF]],"")</f>
        <v>-3.0212752574155229E-2</v>
      </c>
      <c r="H17" s="6">
        <f>IFERROR('raw-Return'!H18-Table14[[#This Row],[RF]],"")</f>
        <v>-6.2791675258916345E-3</v>
      </c>
      <c r="I17" s="6">
        <f>IFERROR('raw-Return'!I18-Table14[[#This Row],[RF]],"")</f>
        <v>-8.7351387441436321E-4</v>
      </c>
      <c r="J17" s="6">
        <f>IFERROR('raw-Return'!J18-Table14[[#This Row],[RF]],"")</f>
        <v>-1.1572060123685609E-2</v>
      </c>
      <c r="K17" s="6">
        <f>IFERROR('raw-Return'!K18-Table14[[#This Row],[RF]],"")</f>
        <v>-1.562368218472476E-2</v>
      </c>
      <c r="L17" s="6">
        <f>IFERROR('raw-Return'!L18-Table14[[#This Row],[RF]],"")</f>
        <v>-7.8578209366996186E-3</v>
      </c>
      <c r="M17" s="6">
        <f>IFERROR('raw-Return'!M18-Table14[[#This Row],[RF]],"")</f>
        <v>-2.2797956244401948E-2</v>
      </c>
      <c r="N17" s="6">
        <f>IFERROR('raw-Return'!N18-Table14[[#This Row],[RF]],"")</f>
        <v>-3.189685658934549E-2</v>
      </c>
      <c r="O17" s="6">
        <f>IFERROR('raw-Return'!O18-Table14[[#This Row],[RF]],"")</f>
        <v>-2.8316509811761367E-2</v>
      </c>
      <c r="P17" s="6">
        <f>IFERROR('raw-Return'!P18-Table14[[#This Row],[RF]],"")</f>
        <v>-3.232141802348143E-2</v>
      </c>
      <c r="Q17" s="6">
        <f>IFERROR('raw-Return'!Q18-Table14[[#This Row],[RF]],"")</f>
        <v>-1.3481227209127918E-2</v>
      </c>
      <c r="R17" s="6">
        <f>IFERROR('raw-Return'!R18-Table14[[#This Row],[RF]],"")</f>
        <v>-1.1672777708953915E-2</v>
      </c>
      <c r="S17" s="6">
        <f>IFERROR('raw-Return'!S18-Table14[[#This Row],[RF]],"")</f>
        <v>-3.4577580007770004E-2</v>
      </c>
      <c r="T17" s="6">
        <f>IFERROR('raw-Return'!T18-Table14[[#This Row],[RF]],"")</f>
        <v>-2.6568959979811454E-2</v>
      </c>
      <c r="U17" s="6">
        <f>IFERROR('raw-Return'!U18-Table14[[#This Row],[RF]],"")</f>
        <v>-3.4194929766503845E-2</v>
      </c>
      <c r="V17" s="6">
        <f>IFERROR('raw-Return'!V18-Table14[[#This Row],[RF]],"")</f>
        <v>-3.3420742385979141E-2</v>
      </c>
      <c r="W17" s="6">
        <f>IFERROR('raw-Return'!W18-Table14[[#This Row],[RF]],"")</f>
        <v>-1.0209000407742749E-2</v>
      </c>
      <c r="X17" s="6">
        <f>IFERROR('raw-Return'!X18-Table14[[#This Row],[RF]],"")</f>
        <v>-2.35131166689827E-2</v>
      </c>
      <c r="Y17" s="6">
        <f>IFERROR('raw-Return'!Y18-Table14[[#This Row],[RF]],"")</f>
        <v>-3.2130098784865391E-2</v>
      </c>
      <c r="Z17" s="6">
        <f>IFERROR('raw-Return'!Z18-Table14[[#This Row],[RF]],"")</f>
        <v>-2.6988258934380057E-2</v>
      </c>
      <c r="AA17" s="6">
        <f>IFERROR('raw-Return'!AA18-Table14[[#This Row],[RF]],"")</f>
        <v>-2.3057983388809263E-2</v>
      </c>
      <c r="AB17" s="6">
        <f>IFERROR('raw-Return'!AB18-Table14[[#This Row],[RF]],"")</f>
        <v>-7.899530481233815E-3</v>
      </c>
      <c r="AC17" s="6">
        <f>IFERROR('raw-Return'!AC18-Table14[[#This Row],[RF]],"")</f>
        <v>-7.899530481233815E-3</v>
      </c>
      <c r="AD17" s="6">
        <f>IFERROR('raw-Return'!AD18-Table14[[#This Row],[RF]],"")</f>
        <v>-8.852209246557826E-3</v>
      </c>
      <c r="AE17" s="6">
        <f>IFERROR('raw-Return'!AE18-Table14[[#This Row],[RF]],"")</f>
        <v>-6.1877255124392239E-2</v>
      </c>
      <c r="AF17" s="6">
        <f>IFERROR('raw-Return'!AF18-Table14[[#This Row],[RF]],"")</f>
        <v>1.2074508748759819E-2</v>
      </c>
      <c r="AG17" s="6">
        <f>IFERROR('raw-Return'!AG18-Table14[[#This Row],[RF]],"")</f>
        <v>-1.6383150487518813E-2</v>
      </c>
      <c r="AH17" s="6">
        <f>IFERROR('raw-Return'!AH18-Table14[[#This Row],[RF]],"")</f>
        <v>-1.0151149069750006E-2</v>
      </c>
      <c r="AI17" s="6">
        <f>IFERROR('raw-Return'!AI18-Table14[[#This Row],[RF]],"")</f>
        <v>-3.1383708412741851E-2</v>
      </c>
      <c r="AJ17" s="6">
        <f>IFERROR('raw-Return'!AJ18-Table14[[#This Row],[RF]],"")</f>
        <v>-9.4988769218865531E-3</v>
      </c>
      <c r="AK17" s="6">
        <f>IFERROR('raw-Return'!AK18-Table14[[#This Row],[RF]],"")</f>
        <v>-2.9349183644785778E-2</v>
      </c>
      <c r="AL17" s="6">
        <f>IFERROR('raw-Return'!AL18-Table14[[#This Row],[RF]],"")</f>
        <v>-1.2832107381248622E-2</v>
      </c>
      <c r="AM17" s="6">
        <f>IFERROR('raw-Return'!AM18-Table14[[#This Row],[RF]],"")</f>
        <v>-2.2756366715522801E-3</v>
      </c>
      <c r="AN17" s="6">
        <f>IFERROR('raw-Return'!AN18-Table14[[#This Row],[RF]],"")</f>
        <v>-7.8029361547972097E-3</v>
      </c>
      <c r="AO17" s="6">
        <f>IFERROR('raw-Return'!AO18-Table14[[#This Row],[RF]],"")</f>
        <v>-3.3518099835905479E-2</v>
      </c>
      <c r="AP17" s="6">
        <f>IFERROR('raw-Return'!AP18-Table14[[#This Row],[RF]],"")</f>
        <v>-3.3518099835905479E-2</v>
      </c>
      <c r="AQ17" s="6">
        <f>IFERROR('raw-Return'!AQ18-Table14[[#This Row],[RF]],"")</f>
        <v>-1.7741904134334182E-2</v>
      </c>
      <c r="AR17" s="6">
        <f>IFERROR('raw-Return'!AR18-Table14[[#This Row],[RF]],"")</f>
        <v>-1.0887110868787016E-2</v>
      </c>
      <c r="AS17" s="6">
        <f>IFERROR('raw-Return'!AS18-Table14[[#This Row],[RF]],"")</f>
        <v>-1.3841017066771873E-2</v>
      </c>
      <c r="AT17" s="6">
        <f>IFERROR('raw-Return'!AT18-Table14[[#This Row],[RF]],"")</f>
        <v>-3.1200000000000002E-2</v>
      </c>
      <c r="AU17" s="6">
        <f>IFERROR('raw-Return'!AU18-Table14[[#This Row],[RF]],"")</f>
        <v>-3.1200000000000002E-2</v>
      </c>
      <c r="AV17" s="6">
        <f>IFERROR('raw-Return'!AV18-Table14[[#This Row],[RF]],"")</f>
        <v>-3.1200000000000002E-2</v>
      </c>
    </row>
    <row r="18" spans="1:48" x14ac:dyDescent="0.2">
      <c r="A18" s="2">
        <v>43039</v>
      </c>
      <c r="B18" s="6">
        <f>IFERROR('raw-Return'!B19-Table14[[#This Row],[RF]],"")</f>
        <v>-3.3555031254059155E-2</v>
      </c>
      <c r="C18" s="6">
        <f>IFERROR('raw-Return'!C19-Table14[[#This Row],[RF]],"")</f>
        <v>-3.4039304464480814E-2</v>
      </c>
      <c r="D18" s="6">
        <f>IFERROR('raw-Return'!D19-Table14[[#This Row],[RF]],"")</f>
        <v>-2.9285738521793205E-2</v>
      </c>
      <c r="E18" s="6">
        <f>IFERROR('raw-Return'!E19-Table14[[#This Row],[RF]],"")</f>
        <v>-2.7461358892467515E-2</v>
      </c>
      <c r="F18" s="6">
        <f>IFERROR('raw-Return'!F19-Table14[[#This Row],[RF]],"")</f>
        <v>-2.7005421908909567E-2</v>
      </c>
      <c r="G18" s="6">
        <f>IFERROR('raw-Return'!G19-Table14[[#This Row],[RF]],"")</f>
        <v>-6.2721558316515297E-2</v>
      </c>
      <c r="H18" s="6">
        <f>IFERROR('raw-Return'!H19-Table14[[#This Row],[RF]],"")</f>
        <v>-7.3202427829166875E-3</v>
      </c>
      <c r="I18" s="6">
        <f>IFERROR('raw-Return'!I19-Table14[[#This Row],[RF]],"")</f>
        <v>-1.6215900027866138E-2</v>
      </c>
      <c r="J18" s="6">
        <f>IFERROR('raw-Return'!J19-Table14[[#This Row],[RF]],"")</f>
        <v>7.3304539140380681E-4</v>
      </c>
      <c r="K18" s="6">
        <f>IFERROR('raw-Return'!K19-Table14[[#This Row],[RF]],"")</f>
        <v>1.760351754459407E-2</v>
      </c>
      <c r="L18" s="6">
        <f>IFERROR('raw-Return'!L19-Table14[[#This Row],[RF]],"")</f>
        <v>1.4823709674667916E-2</v>
      </c>
      <c r="M18" s="6">
        <f>IFERROR('raw-Return'!M19-Table14[[#This Row],[RF]],"")</f>
        <v>2.2235239568117758E-2</v>
      </c>
      <c r="N18" s="6">
        <f>IFERROR('raw-Return'!N19-Table14[[#This Row],[RF]],"")</f>
        <v>-2.8856599089649916E-2</v>
      </c>
      <c r="O18" s="6">
        <f>IFERROR('raw-Return'!O19-Table14[[#This Row],[RF]],"")</f>
        <v>-2.5028819139261728E-2</v>
      </c>
      <c r="P18" s="6">
        <f>IFERROR('raw-Return'!P19-Table14[[#This Row],[RF]],"")</f>
        <v>-2.5491001240744916E-2</v>
      </c>
      <c r="Q18" s="6">
        <f>IFERROR('raw-Return'!Q19-Table14[[#This Row],[RF]],"")</f>
        <v>-1.5110680972561311E-3</v>
      </c>
      <c r="R18" s="6">
        <f>IFERROR('raw-Return'!R19-Table14[[#This Row],[RF]],"")</f>
        <v>-9.8238321791497621E-3</v>
      </c>
      <c r="S18" s="6">
        <f>IFERROR('raw-Return'!S19-Table14[[#This Row],[RF]],"")</f>
        <v>-3.2732494346151143E-2</v>
      </c>
      <c r="T18" s="6">
        <f>IFERROR('raw-Return'!T19-Table14[[#This Row],[RF]],"")</f>
        <v>5.5233118424202407E-3</v>
      </c>
      <c r="U18" s="6">
        <f>IFERROR('raw-Return'!U19-Table14[[#This Row],[RF]],"")</f>
        <v>-4.6965393620032526E-2</v>
      </c>
      <c r="V18" s="6">
        <f>IFERROR('raw-Return'!V19-Table14[[#This Row],[RF]],"")</f>
        <v>-2.5036715357672969E-2</v>
      </c>
      <c r="W18" s="6">
        <f>IFERROR('raw-Return'!W19-Table14[[#This Row],[RF]],"")</f>
        <v>-3.3718364770110379E-3</v>
      </c>
      <c r="X18" s="6">
        <f>IFERROR('raw-Return'!X19-Table14[[#This Row],[RF]],"")</f>
        <v>-1.8713085754670712E-2</v>
      </c>
      <c r="Y18" s="6">
        <f>IFERROR('raw-Return'!Y19-Table14[[#This Row],[RF]],"")</f>
        <v>-2.7446859764943578E-2</v>
      </c>
      <c r="Z18" s="6">
        <f>IFERROR('raw-Return'!Z19-Table14[[#This Row],[RF]],"")</f>
        <v>-2.0462533212142232E-2</v>
      </c>
      <c r="AA18" s="6">
        <f>IFERROR('raw-Return'!AA19-Table14[[#This Row],[RF]],"")</f>
        <v>3.2509142440205474E-5</v>
      </c>
      <c r="AB18" s="6">
        <f>IFERROR('raw-Return'!AB19-Table14[[#This Row],[RF]],"")</f>
        <v>-7.2660320536582015E-3</v>
      </c>
      <c r="AC18" s="6">
        <f>IFERROR('raw-Return'!AC19-Table14[[#This Row],[RF]],"")</f>
        <v>-7.2660320536582015E-3</v>
      </c>
      <c r="AD18" s="6">
        <f>IFERROR('raw-Return'!AD19-Table14[[#This Row],[RF]],"")</f>
        <v>-7.7901011061763184E-3</v>
      </c>
      <c r="AE18" s="6">
        <f>IFERROR('raw-Return'!AE19-Table14[[#This Row],[RF]],"")</f>
        <v>-3.6269145325905895E-2</v>
      </c>
      <c r="AF18" s="6">
        <f>IFERROR('raw-Return'!AF19-Table14[[#This Row],[RF]],"")</f>
        <v>-1.5423317008168159E-2</v>
      </c>
      <c r="AG18" s="6">
        <f>IFERROR('raw-Return'!AG19-Table14[[#This Row],[RF]],"")</f>
        <v>-6.1374026279057761E-3</v>
      </c>
      <c r="AH18" s="6">
        <f>IFERROR('raw-Return'!AH19-Table14[[#This Row],[RF]],"")</f>
        <v>-6.5434181991200005E-3</v>
      </c>
      <c r="AI18" s="6">
        <f>IFERROR('raw-Return'!AI19-Table14[[#This Row],[RF]],"")</f>
        <v>-2.8904578644775171E-2</v>
      </c>
      <c r="AJ18" s="6">
        <f>IFERROR('raw-Return'!AJ19-Table14[[#This Row],[RF]],"")</f>
        <v>-2.6099917002253906E-3</v>
      </c>
      <c r="AK18" s="6">
        <f>IFERROR('raw-Return'!AK19-Table14[[#This Row],[RF]],"")</f>
        <v>-2.3550495500545922E-2</v>
      </c>
      <c r="AL18" s="6">
        <f>IFERROR('raw-Return'!AL19-Table14[[#This Row],[RF]],"")</f>
        <v>3.5778578918473775E-4</v>
      </c>
      <c r="AM18" s="6">
        <f>IFERROR('raw-Return'!AM19-Table14[[#This Row],[RF]],"")</f>
        <v>-1.5089093676645272E-2</v>
      </c>
      <c r="AN18" s="6">
        <f>IFERROR('raw-Return'!AN19-Table14[[#This Row],[RF]],"")</f>
        <v>-6.9373031663218301E-3</v>
      </c>
      <c r="AO18" s="6">
        <f>IFERROR('raw-Return'!AO19-Table14[[#This Row],[RF]],"")</f>
        <v>-2.7795148316371455E-2</v>
      </c>
      <c r="AP18" s="6">
        <f>IFERROR('raw-Return'!AP19-Table14[[#This Row],[RF]],"")</f>
        <v>-2.7795148316371455E-2</v>
      </c>
      <c r="AQ18" s="6">
        <f>IFERROR('raw-Return'!AQ19-Table14[[#This Row],[RF]],"")</f>
        <v>1.6796273206237188E-2</v>
      </c>
      <c r="AR18" s="6">
        <f>IFERROR('raw-Return'!AR19-Table14[[#This Row],[RF]],"")</f>
        <v>-9.1974777826882362E-3</v>
      </c>
      <c r="AS18" s="6">
        <f>IFERROR('raw-Return'!AS19-Table14[[#This Row],[RF]],"")</f>
        <v>8.9752050437451325E-5</v>
      </c>
      <c r="AT18" s="6">
        <f>IFERROR('raw-Return'!AT19-Table14[[#This Row],[RF]],"")</f>
        <v>-2.2499999999999999E-2</v>
      </c>
      <c r="AU18" s="6">
        <f>IFERROR('raw-Return'!AU19-Table14[[#This Row],[RF]],"")</f>
        <v>-2.2499999999999999E-2</v>
      </c>
      <c r="AV18" s="6">
        <f>IFERROR('raw-Return'!AV19-Table14[[#This Row],[RF]],"")</f>
        <v>-2.2499999999999999E-2</v>
      </c>
    </row>
    <row r="19" spans="1:48" x14ac:dyDescent="0.2">
      <c r="A19" s="2">
        <v>43008</v>
      </c>
      <c r="B19" s="6">
        <f>IFERROR('raw-Return'!B20-Table14[[#This Row],[RF]],"")</f>
        <v>-1.6637370439213636E-2</v>
      </c>
      <c r="C19" s="6">
        <f>IFERROR('raw-Return'!C20-Table14[[#This Row],[RF]],"")</f>
        <v>-7.5241534232984714E-3</v>
      </c>
      <c r="D19" s="6">
        <f>IFERROR('raw-Return'!D20-Table14[[#This Row],[RF]],"")</f>
        <v>-1.8609776316397583E-2</v>
      </c>
      <c r="E19" s="6">
        <f>IFERROR('raw-Return'!E20-Table14[[#This Row],[RF]],"")</f>
        <v>-1.6647820530707999E-2</v>
      </c>
      <c r="F19" s="6">
        <f>IFERROR('raw-Return'!F20-Table14[[#This Row],[RF]],"")</f>
        <v>-2.3085628089384844E-2</v>
      </c>
      <c r="G19" s="6">
        <f>IFERROR('raw-Return'!G20-Table14[[#This Row],[RF]],"")</f>
        <v>2.3653894766015551E-2</v>
      </c>
      <c r="H19" s="6">
        <f>IFERROR('raw-Return'!H20-Table14[[#This Row],[RF]],"")</f>
        <v>-2.0495918390507892E-2</v>
      </c>
      <c r="I19" s="6">
        <f>IFERROR('raw-Return'!I20-Table14[[#This Row],[RF]],"")</f>
        <v>-1.1816876608250579E-2</v>
      </c>
      <c r="J19" s="6">
        <f>IFERROR('raw-Return'!J20-Table14[[#This Row],[RF]],"")</f>
        <v>-2.9632528143317724E-2</v>
      </c>
      <c r="K19" s="6">
        <f>IFERROR('raw-Return'!K20-Table14[[#This Row],[RF]],"")</f>
        <v>-3.4541003642113086E-2</v>
      </c>
      <c r="L19" s="6">
        <f>IFERROR('raw-Return'!L20-Table14[[#This Row],[RF]],"")</f>
        <v>-2.8942718332760839E-2</v>
      </c>
      <c r="M19" s="6">
        <f>IFERROR('raw-Return'!M20-Table14[[#This Row],[RF]],"")</f>
        <v>-3.9725937076285009E-2</v>
      </c>
      <c r="N19" s="6">
        <f>IFERROR('raw-Return'!N20-Table14[[#This Row],[RF]],"")</f>
        <v>-2.0084711312267398E-2</v>
      </c>
      <c r="O19" s="6">
        <f>IFERROR('raw-Return'!O20-Table14[[#This Row],[RF]],"")</f>
        <v>-1.6885537179896257E-2</v>
      </c>
      <c r="P19" s="6">
        <f>IFERROR('raw-Return'!P20-Table14[[#This Row],[RF]],"")</f>
        <v>-2.3466900116201214E-2</v>
      </c>
      <c r="Q19" s="6">
        <f>IFERROR('raw-Return'!Q20-Table14[[#This Row],[RF]],"")</f>
        <v>-2.4852988254003269E-2</v>
      </c>
      <c r="R19" s="6">
        <f>IFERROR('raw-Return'!R20-Table14[[#This Row],[RF]],"")</f>
        <v>-1.8712635211402082E-2</v>
      </c>
      <c r="S19" s="6">
        <f>IFERROR('raw-Return'!S20-Table14[[#This Row],[RF]],"")</f>
        <v>-1.740956944633397E-2</v>
      </c>
      <c r="T19" s="6">
        <f>IFERROR('raw-Return'!T20-Table14[[#This Row],[RF]],"")</f>
        <v>-2.4377063002751206E-2</v>
      </c>
      <c r="U19" s="6">
        <f>IFERROR('raw-Return'!U20-Table14[[#This Row],[RF]],"")</f>
        <v>5.3644774808107171E-3</v>
      </c>
      <c r="V19" s="6">
        <f>IFERROR('raw-Return'!V20-Table14[[#This Row],[RF]],"")</f>
        <v>-2.3962244048076106E-2</v>
      </c>
      <c r="W19" s="6">
        <f>IFERROR('raw-Return'!W20-Table14[[#This Row],[RF]],"")</f>
        <v>-2.8725943363381731E-2</v>
      </c>
      <c r="X19" s="6">
        <f>IFERROR('raw-Return'!X20-Table14[[#This Row],[RF]],"")</f>
        <v>-1.7208646780642364E-2</v>
      </c>
      <c r="Y19" s="6">
        <f>IFERROR('raw-Return'!Y20-Table14[[#This Row],[RF]],"")</f>
        <v>-1.9760540310636551E-2</v>
      </c>
      <c r="Z19" s="6">
        <f>IFERROR('raw-Return'!Z20-Table14[[#This Row],[RF]],"")</f>
        <v>-1.2461772590131134E-2</v>
      </c>
      <c r="AA19" s="6">
        <f>IFERROR('raw-Return'!AA20-Table14[[#This Row],[RF]],"")</f>
        <v>-3.7558995206799381E-2</v>
      </c>
      <c r="AB19" s="6">
        <f>IFERROR('raw-Return'!AB20-Table14[[#This Row],[RF]],"")</f>
        <v>-2.2222113095431081E-2</v>
      </c>
      <c r="AC19" s="6">
        <f>IFERROR('raw-Return'!AC20-Table14[[#This Row],[RF]],"")</f>
        <v>-2.2222113095431081E-2</v>
      </c>
      <c r="AD19" s="6">
        <f>IFERROR('raw-Return'!AD20-Table14[[#This Row],[RF]],"")</f>
        <v>-2.3491840997285615E-2</v>
      </c>
      <c r="AE19" s="6">
        <f>IFERROR('raw-Return'!AE20-Table14[[#This Row],[RF]],"")</f>
        <v>-2.7458444286326253E-2</v>
      </c>
      <c r="AF19" s="6">
        <f>IFERROR('raw-Return'!AF20-Table14[[#This Row],[RF]],"")</f>
        <v>-2.3486196694092118E-2</v>
      </c>
      <c r="AG19" s="6">
        <f>IFERROR('raw-Return'!AG20-Table14[[#This Row],[RF]],"")</f>
        <v>-1.5736750755516046E-2</v>
      </c>
      <c r="AH19" s="6">
        <f>IFERROR('raw-Return'!AH20-Table14[[#This Row],[RF]],"")</f>
        <v>-2.0930815439759484E-2</v>
      </c>
      <c r="AI19" s="6">
        <f>IFERROR('raw-Return'!AI20-Table14[[#This Row],[RF]],"")</f>
        <v>-1.8487337197980444E-2</v>
      </c>
      <c r="AJ19" s="6">
        <f>IFERROR('raw-Return'!AJ20-Table14[[#This Row],[RF]],"")</f>
        <v>-2.3550648073917699E-2</v>
      </c>
      <c r="AK19" s="6">
        <f>IFERROR('raw-Return'!AK20-Table14[[#This Row],[RF]],"")</f>
        <v>-2.2255391284123779E-2</v>
      </c>
      <c r="AL19" s="6">
        <f>IFERROR('raw-Return'!AL20-Table14[[#This Row],[RF]],"")</f>
        <v>-2.9806979030628775E-2</v>
      </c>
      <c r="AM19" s="6">
        <f>IFERROR('raw-Return'!AM20-Table14[[#This Row],[RF]],"")</f>
        <v>-1.3492138331758427E-2</v>
      </c>
      <c r="AN19" s="6">
        <f>IFERROR('raw-Return'!AN20-Table14[[#This Row],[RF]],"")</f>
        <v>-2.2174699348512447E-2</v>
      </c>
      <c r="AO19" s="6">
        <f>IFERROR('raw-Return'!AO20-Table14[[#This Row],[RF]],"")</f>
        <v>-1.0910859361965883E-2</v>
      </c>
      <c r="AP19" s="6">
        <f>IFERROR('raw-Return'!AP20-Table14[[#This Row],[RF]],"")</f>
        <v>-1.0910859361965883E-2</v>
      </c>
      <c r="AQ19" s="6">
        <f>IFERROR('raw-Return'!AQ20-Table14[[#This Row],[RF]],"")</f>
        <v>-2.8470325989625386E-2</v>
      </c>
      <c r="AR19" s="6">
        <f>IFERROR('raw-Return'!AR20-Table14[[#This Row],[RF]],"")</f>
        <v>-1.9693297587730293E-2</v>
      </c>
      <c r="AS19" s="6">
        <f>IFERROR('raw-Return'!AS20-Table14[[#This Row],[RF]],"")</f>
        <v>-2.6855978650240905E-2</v>
      </c>
      <c r="AT19" s="6">
        <f>IFERROR('raw-Return'!AT20-Table14[[#This Row],[RF]],"")</f>
        <v>-2.5099999999999997E-2</v>
      </c>
      <c r="AU19" s="6">
        <f>IFERROR('raw-Return'!AU20-Table14[[#This Row],[RF]],"")</f>
        <v>-2.5099999999999997E-2</v>
      </c>
      <c r="AV19" s="6">
        <f>IFERROR('raw-Return'!AV20-Table14[[#This Row],[RF]],"")</f>
        <v>-2.5099999999999997E-2</v>
      </c>
    </row>
    <row r="20" spans="1:48" x14ac:dyDescent="0.2">
      <c r="A20" s="2">
        <v>42978</v>
      </c>
      <c r="B20" s="6">
        <f>IFERROR('raw-Return'!B21-Table14[[#This Row],[RF]],"")</f>
        <v>2.6510175339389723E-3</v>
      </c>
      <c r="C20" s="6">
        <f>IFERROR('raw-Return'!C21-Table14[[#This Row],[RF]],"")</f>
        <v>-7.2058515711810188E-4</v>
      </c>
      <c r="D20" s="6">
        <f>IFERROR('raw-Return'!D21-Table14[[#This Row],[RF]],"")</f>
        <v>3.5295935483530406E-4</v>
      </c>
      <c r="E20" s="6">
        <f>IFERROR('raw-Return'!E21-Table14[[#This Row],[RF]],"")</f>
        <v>-8.779739562906994E-4</v>
      </c>
      <c r="F20" s="6">
        <f>IFERROR('raw-Return'!F21-Table14[[#This Row],[RF]],"")</f>
        <v>5.3978563570904604E-4</v>
      </c>
      <c r="G20" s="6">
        <f>IFERROR('raw-Return'!G21-Table14[[#This Row],[RF]],"")</f>
        <v>-1.4174070868428545E-2</v>
      </c>
      <c r="H20" s="6">
        <f>IFERROR('raw-Return'!H21-Table14[[#This Row],[RF]],"")</f>
        <v>1.8906114097651906E-2</v>
      </c>
      <c r="I20" s="6">
        <f>IFERROR('raw-Return'!I21-Table14[[#This Row],[RF]],"")</f>
        <v>2.4865491419815911E-2</v>
      </c>
      <c r="J20" s="6">
        <f>IFERROR('raw-Return'!J21-Table14[[#This Row],[RF]],"")</f>
        <v>1.4526964995382797E-2</v>
      </c>
      <c r="K20" s="6">
        <f>IFERROR('raw-Return'!K21-Table14[[#This Row],[RF]],"")</f>
        <v>1.0380561550135826E-2</v>
      </c>
      <c r="L20" s="6">
        <f>IFERROR('raw-Return'!L21-Table14[[#This Row],[RF]],"")</f>
        <v>1.196237705343255E-2</v>
      </c>
      <c r="M20" s="6">
        <f>IFERROR('raw-Return'!M21-Table14[[#This Row],[RF]],"")</f>
        <v>8.4455597210478135E-3</v>
      </c>
      <c r="N20" s="6">
        <f>IFERROR('raw-Return'!N21-Table14[[#This Row],[RF]],"")</f>
        <v>5.2610785540084153E-3</v>
      </c>
      <c r="O20" s="6">
        <f>IFERROR('raw-Return'!O21-Table14[[#This Row],[RF]],"")</f>
        <v>2.8108320482876275E-3</v>
      </c>
      <c r="P20" s="6">
        <f>IFERROR('raw-Return'!P21-Table14[[#This Row],[RF]],"")</f>
        <v>9.1678565092339205E-4</v>
      </c>
      <c r="Q20" s="6">
        <f>IFERROR('raw-Return'!Q21-Table14[[#This Row],[RF]],"")</f>
        <v>2.7176038200251319E-2</v>
      </c>
      <c r="R20" s="6">
        <f>IFERROR('raw-Return'!R21-Table14[[#This Row],[RF]],"")</f>
        <v>3.2170059942475952E-2</v>
      </c>
      <c r="S20" s="6">
        <f>IFERROR('raw-Return'!S21-Table14[[#This Row],[RF]],"")</f>
        <v>1.1340280697261132E-3</v>
      </c>
      <c r="T20" s="6">
        <f>IFERROR('raw-Return'!T21-Table14[[#This Row],[RF]],"")</f>
        <v>2.6650596782930514E-2</v>
      </c>
      <c r="U20" s="6">
        <f>IFERROR('raw-Return'!U21-Table14[[#This Row],[RF]],"")</f>
        <v>-9.2680918250914283E-3</v>
      </c>
      <c r="V20" s="6">
        <f>IFERROR('raw-Return'!V21-Table14[[#This Row],[RF]],"")</f>
        <v>-7.7663249107246955E-4</v>
      </c>
      <c r="W20" s="6">
        <f>IFERROR('raw-Return'!W21-Table14[[#This Row],[RF]],"")</f>
        <v>5.7273611324082834E-3</v>
      </c>
      <c r="X20" s="6">
        <f>IFERROR('raw-Return'!X21-Table14[[#This Row],[RF]],"")</f>
        <v>2.2205151066537355E-2</v>
      </c>
      <c r="Y20" s="6">
        <f>IFERROR('raw-Return'!Y21-Table14[[#This Row],[RF]],"")</f>
        <v>2.9098306052892787E-4</v>
      </c>
      <c r="Z20" s="6">
        <f>IFERROR('raw-Return'!Z21-Table14[[#This Row],[RF]],"")</f>
        <v>3.9268636297616726E-2</v>
      </c>
      <c r="AA20" s="6">
        <f>IFERROR('raw-Return'!AA21-Table14[[#This Row],[RF]],"")</f>
        <v>1.5237690330043119E-2</v>
      </c>
      <c r="AB20" s="6">
        <f>IFERROR('raw-Return'!AB21-Table14[[#This Row],[RF]],"")</f>
        <v>1.9054611208152928E-2</v>
      </c>
      <c r="AC20" s="6">
        <f>IFERROR('raw-Return'!AC21-Table14[[#This Row],[RF]],"")</f>
        <v>1.9054611208152928E-2</v>
      </c>
      <c r="AD20" s="6">
        <f>IFERROR('raw-Return'!AD21-Table14[[#This Row],[RF]],"")</f>
        <v>1.6232459458899218E-2</v>
      </c>
      <c r="AE20" s="6">
        <f>IFERROR('raw-Return'!AE21-Table14[[#This Row],[RF]],"")</f>
        <v>1.9526011317720072E-2</v>
      </c>
      <c r="AF20" s="6">
        <f>IFERROR('raw-Return'!AF21-Table14[[#This Row],[RF]],"")</f>
        <v>2.5919582539066833E-2</v>
      </c>
      <c r="AG20" s="6">
        <f>IFERROR('raw-Return'!AG21-Table14[[#This Row],[RF]],"")</f>
        <v>3.4588976797434383E-2</v>
      </c>
      <c r="AH20" s="6">
        <f>IFERROR('raw-Return'!AH21-Table14[[#This Row],[RF]],"")</f>
        <v>2.4925690719206851E-2</v>
      </c>
      <c r="AI20" s="6">
        <f>IFERROR('raw-Return'!AI21-Table14[[#This Row],[RF]],"")</f>
        <v>4.812276153437091E-3</v>
      </c>
      <c r="AJ20" s="6">
        <f>IFERROR('raw-Return'!AJ21-Table14[[#This Row],[RF]],"")</f>
        <v>1.726010887291345E-2</v>
      </c>
      <c r="AK20" s="6">
        <f>IFERROR('raw-Return'!AK21-Table14[[#This Row],[RF]],"")</f>
        <v>1.0194834645105746E-3</v>
      </c>
      <c r="AL20" s="6">
        <f>IFERROR('raw-Return'!AL21-Table14[[#This Row],[RF]],"")</f>
        <v>1.3833320101478908E-2</v>
      </c>
      <c r="AM20" s="6">
        <f>IFERROR('raw-Return'!AM21-Table14[[#This Row],[RF]],"")</f>
        <v>2.3979128086468338E-2</v>
      </c>
      <c r="AN20" s="6">
        <f>IFERROR('raw-Return'!AN21-Table14[[#This Row],[RF]],"")</f>
        <v>1.9019477850422951E-2</v>
      </c>
      <c r="AO20" s="6">
        <f>IFERROR('raw-Return'!AO21-Table14[[#This Row],[RF]],"")</f>
        <v>2.5005870892298903E-3</v>
      </c>
      <c r="AP20" s="6">
        <f>IFERROR('raw-Return'!AP21-Table14[[#This Row],[RF]],"")</f>
        <v>2.5005870892298903E-3</v>
      </c>
      <c r="AQ20" s="6">
        <f>IFERROR('raw-Return'!AQ21-Table14[[#This Row],[RF]],"")</f>
        <v>9.3229442137905856E-3</v>
      </c>
      <c r="AR20" s="6">
        <f>IFERROR('raw-Return'!AR21-Table14[[#This Row],[RF]],"")</f>
        <v>3.2053548282572612E-2</v>
      </c>
      <c r="AS20" s="6">
        <f>IFERROR('raw-Return'!AS21-Table14[[#This Row],[RF]],"")</f>
        <v>1.4525437469469705E-2</v>
      </c>
      <c r="AT20" s="6">
        <f>IFERROR('raw-Return'!AT21-Table14[[#This Row],[RF]],"")</f>
        <v>-1.6000000000000001E-3</v>
      </c>
      <c r="AU20" s="6">
        <f>IFERROR('raw-Return'!AU21-Table14[[#This Row],[RF]],"")</f>
        <v>-1.6000000000000001E-3</v>
      </c>
      <c r="AV20" s="6">
        <f>IFERROR('raw-Return'!AV21-Table14[[#This Row],[RF]],"")</f>
        <v>-1.6000000000000001E-3</v>
      </c>
    </row>
    <row r="21" spans="1:48" x14ac:dyDescent="0.2">
      <c r="A21" s="2">
        <v>42947</v>
      </c>
      <c r="B21" s="6">
        <f>IFERROR('raw-Return'!B22-Table14[[#This Row],[RF]],"")</f>
        <v>-2.3181287788158041E-2</v>
      </c>
      <c r="C21" s="6">
        <f>IFERROR('raw-Return'!C22-Table14[[#This Row],[RF]],"")</f>
        <v>-1.2946433783453122E-2</v>
      </c>
      <c r="D21" s="6">
        <f>IFERROR('raw-Return'!D22-Table14[[#This Row],[RF]],"")</f>
        <v>-2.0276278827728707E-2</v>
      </c>
      <c r="E21" s="6">
        <f>IFERROR('raw-Return'!E22-Table14[[#This Row],[RF]],"")</f>
        <v>-2.486202027241597E-2</v>
      </c>
      <c r="F21" s="6">
        <f>IFERROR('raw-Return'!F22-Table14[[#This Row],[RF]],"")</f>
        <v>-2.0954666900580295E-2</v>
      </c>
      <c r="G21" s="6">
        <f>IFERROR('raw-Return'!G22-Table14[[#This Row],[RF]],"")</f>
        <v>-1.3362632417666394E-2</v>
      </c>
      <c r="H21" s="6">
        <f>IFERROR('raw-Return'!H22-Table14[[#This Row],[RF]],"")</f>
        <v>-1.6889522435176892E-2</v>
      </c>
      <c r="I21" s="6">
        <f>IFERROR('raw-Return'!I22-Table14[[#This Row],[RF]],"")</f>
        <v>-2.746763257376323E-2</v>
      </c>
      <c r="J21" s="6">
        <f>IFERROR('raw-Return'!J22-Table14[[#This Row],[RF]],"")</f>
        <v>-6.564001874821708E-3</v>
      </c>
      <c r="K21" s="6">
        <f>IFERROR('raw-Return'!K22-Table14[[#This Row],[RF]],"")</f>
        <v>1.0047977919493342E-3</v>
      </c>
      <c r="L21" s="6">
        <f>IFERROR('raw-Return'!L22-Table14[[#This Row],[RF]],"")</f>
        <v>-1.7058905752482395E-4</v>
      </c>
      <c r="M21" s="6">
        <f>IFERROR('raw-Return'!M22-Table14[[#This Row],[RF]],"")</f>
        <v>2.3466726889491071E-3</v>
      </c>
      <c r="N21" s="6">
        <f>IFERROR('raw-Return'!N22-Table14[[#This Row],[RF]],"")</f>
        <v>-2.201628316211985E-2</v>
      </c>
      <c r="O21" s="6">
        <f>IFERROR('raw-Return'!O22-Table14[[#This Row],[RF]],"")</f>
        <v>-1.0403875339822406E-2</v>
      </c>
      <c r="P21" s="6">
        <f>IFERROR('raw-Return'!P22-Table14[[#This Row],[RF]],"")</f>
        <v>-2.0063105810074817E-2</v>
      </c>
      <c r="Q21" s="6">
        <f>IFERROR('raw-Return'!Q22-Table14[[#This Row],[RF]],"")</f>
        <v>-2.4004356534416411E-2</v>
      </c>
      <c r="R21" s="6">
        <f>IFERROR('raw-Return'!R22-Table14[[#This Row],[RF]],"")</f>
        <v>-2.442226448571156E-2</v>
      </c>
      <c r="S21" s="6">
        <f>IFERROR('raw-Return'!S22-Table14[[#This Row],[RF]],"")</f>
        <v>-2.4639131398765564E-2</v>
      </c>
      <c r="T21" s="6">
        <f>IFERROR('raw-Return'!T22-Table14[[#This Row],[RF]],"")</f>
        <v>-3.7702619124626753E-2</v>
      </c>
      <c r="U21" s="6">
        <f>IFERROR('raw-Return'!U22-Table14[[#This Row],[RF]],"")</f>
        <v>-1.4264955985113632E-2</v>
      </c>
      <c r="V21" s="6">
        <f>IFERROR('raw-Return'!V22-Table14[[#This Row],[RF]],"")</f>
        <v>-2.0027341559695495E-2</v>
      </c>
      <c r="W21" s="6">
        <f>IFERROR('raw-Return'!W22-Table14[[#This Row],[RF]],"")</f>
        <v>-2.1499936770067514E-2</v>
      </c>
      <c r="X21" s="6">
        <f>IFERROR('raw-Return'!X22-Table14[[#This Row],[RF]],"")</f>
        <v>-2.5440903330635485E-2</v>
      </c>
      <c r="Y21" s="6">
        <f>IFERROR('raw-Return'!Y22-Table14[[#This Row],[RF]],"")</f>
        <v>-2.308908361265722E-2</v>
      </c>
      <c r="Z21" s="6">
        <f>IFERROR('raw-Return'!Z22-Table14[[#This Row],[RF]],"")</f>
        <v>-2.1945229217127889E-2</v>
      </c>
      <c r="AA21" s="6">
        <f>IFERROR('raw-Return'!AA22-Table14[[#This Row],[RF]],"")</f>
        <v>-1.3966799901246114E-2</v>
      </c>
      <c r="AB21" s="6">
        <f>IFERROR('raw-Return'!AB22-Table14[[#This Row],[RF]],"")</f>
        <v>-1.6950326947143886E-2</v>
      </c>
      <c r="AC21" s="6">
        <f>IFERROR('raw-Return'!AC22-Table14[[#This Row],[RF]],"")</f>
        <v>-1.6950326947143886E-2</v>
      </c>
      <c r="AD21" s="6">
        <f>IFERROR('raw-Return'!AD22-Table14[[#This Row],[RF]],"")</f>
        <v>-1.6440432178432669E-2</v>
      </c>
      <c r="AE21" s="6">
        <f>IFERROR('raw-Return'!AE22-Table14[[#This Row],[RF]],"")</f>
        <v>-4.1569335896184119E-2</v>
      </c>
      <c r="AF21" s="6">
        <f>IFERROR('raw-Return'!AF22-Table14[[#This Row],[RF]],"")</f>
        <v>-9.0476473454919673E-3</v>
      </c>
      <c r="AG21" s="6">
        <f>IFERROR('raw-Return'!AG22-Table14[[#This Row],[RF]],"")</f>
        <v>-1.4454711373130653E-2</v>
      </c>
      <c r="AH21" s="6">
        <f>IFERROR('raw-Return'!AH22-Table14[[#This Row],[RF]],"")</f>
        <v>-1.929627459355205E-2</v>
      </c>
      <c r="AI21" s="6">
        <f>IFERROR('raw-Return'!AI22-Table14[[#This Row],[RF]],"")</f>
        <v>-2.2748599495467987E-2</v>
      </c>
      <c r="AJ21" s="6">
        <f>IFERROR('raw-Return'!AJ22-Table14[[#This Row],[RF]],"")</f>
        <v>-1.3850964522362182E-2</v>
      </c>
      <c r="AK21" s="6">
        <f>IFERROR('raw-Return'!AK22-Table14[[#This Row],[RF]],"")</f>
        <v>-2.3095891074442272E-2</v>
      </c>
      <c r="AL21" s="6">
        <f>IFERROR('raw-Return'!AL22-Table14[[#This Row],[RF]],"")</f>
        <v>-6.5455398024137426E-3</v>
      </c>
      <c r="AM21" s="6">
        <f>IFERROR('raw-Return'!AM22-Table14[[#This Row],[RF]],"")</f>
        <v>-2.558031559557223E-2</v>
      </c>
      <c r="AN21" s="6">
        <f>IFERROR('raw-Return'!AN22-Table14[[#This Row],[RF]],"")</f>
        <v>-1.6750650771287852E-2</v>
      </c>
      <c r="AO21" s="6">
        <f>IFERROR('raw-Return'!AO22-Table14[[#This Row],[RF]],"")</f>
        <v>-2.6464312304032851E-2</v>
      </c>
      <c r="AP21" s="6">
        <f>IFERROR('raw-Return'!AP22-Table14[[#This Row],[RF]],"")</f>
        <v>-2.6464312304032851E-2</v>
      </c>
      <c r="AQ21" s="6">
        <f>IFERROR('raw-Return'!AQ22-Table14[[#This Row],[RF]],"")</f>
        <v>1.9030517209163642E-3</v>
      </c>
      <c r="AR21" s="6">
        <f>IFERROR('raw-Return'!AR22-Table14[[#This Row],[RF]],"")</f>
        <v>-2.3084083659465633E-2</v>
      </c>
      <c r="AS21" s="6">
        <f>IFERROR('raw-Return'!AS22-Table14[[#This Row],[RF]],"")</f>
        <v>-1.4969129188657622E-2</v>
      </c>
      <c r="AT21" s="6">
        <f>IFERROR('raw-Return'!AT22-Table14[[#This Row],[RF]],"")</f>
        <v>-1.8700000000000001E-2</v>
      </c>
      <c r="AU21" s="6">
        <f>IFERROR('raw-Return'!AU22-Table14[[#This Row],[RF]],"")</f>
        <v>-1.8700000000000001E-2</v>
      </c>
      <c r="AV21" s="6">
        <f>IFERROR('raw-Return'!AV22-Table14[[#This Row],[RF]],"")</f>
        <v>-1.8700000000000001E-2</v>
      </c>
    </row>
    <row r="22" spans="1:48" x14ac:dyDescent="0.2">
      <c r="A22" s="2">
        <v>42916</v>
      </c>
      <c r="B22" s="6">
        <f>IFERROR('raw-Return'!B23-Table14[[#This Row],[RF]],"")</f>
        <v>-1.6204302271720364E-3</v>
      </c>
      <c r="C22" s="6">
        <f>IFERROR('raw-Return'!C23-Table14[[#This Row],[RF]],"")</f>
        <v>7.9969087339075984E-3</v>
      </c>
      <c r="D22" s="6">
        <f>IFERROR('raw-Return'!D23-Table14[[#This Row],[RF]],"")</f>
        <v>-2.7677786759483227E-3</v>
      </c>
      <c r="E22" s="6">
        <f>IFERROR('raw-Return'!E23-Table14[[#This Row],[RF]],"")</f>
        <v>-1.4281603226397868E-3</v>
      </c>
      <c r="F22" s="6">
        <f>IFERROR('raw-Return'!F23-Table14[[#This Row],[RF]],"")</f>
        <v>-6.6905549814506296E-3</v>
      </c>
      <c r="G22" s="6">
        <f>IFERROR('raw-Return'!G23-Table14[[#This Row],[RF]],"")</f>
        <v>2.410393468728958E-2</v>
      </c>
      <c r="H22" s="6">
        <f>IFERROR('raw-Return'!H23-Table14[[#This Row],[RF]],"")</f>
        <v>7.2800992253845573E-3</v>
      </c>
      <c r="I22" s="6">
        <f>IFERROR('raw-Return'!I23-Table14[[#This Row],[RF]],"")</f>
        <v>2.1996456985514917E-2</v>
      </c>
      <c r="J22" s="6">
        <f>IFERROR('raw-Return'!J23-Table14[[#This Row],[RF]],"")</f>
        <v>-6.2139293599330061E-3</v>
      </c>
      <c r="K22" s="6">
        <f>IFERROR('raw-Return'!K23-Table14[[#This Row],[RF]],"")</f>
        <v>-1.898428041309283E-2</v>
      </c>
      <c r="L22" s="6">
        <f>IFERROR('raw-Return'!L23-Table14[[#This Row],[RF]],"")</f>
        <v>-4.240266253747931E-3</v>
      </c>
      <c r="M22" s="6">
        <f>IFERROR('raw-Return'!M23-Table14[[#This Row],[RF]],"")</f>
        <v>-3.1939103621270809E-2</v>
      </c>
      <c r="N22" s="6">
        <f>IFERROR('raw-Return'!N23-Table14[[#This Row],[RF]],"")</f>
        <v>-6.7463355737567253E-5</v>
      </c>
      <c r="O22" s="6">
        <f>IFERROR('raw-Return'!O23-Table14[[#This Row],[RF]],"")</f>
        <v>1.2940018711554507E-2</v>
      </c>
      <c r="P22" s="6">
        <f>IFERROR('raw-Return'!P23-Table14[[#This Row],[RF]],"")</f>
        <v>-4.9504043225163377E-3</v>
      </c>
      <c r="Q22" s="6">
        <f>IFERROR('raw-Return'!Q23-Table14[[#This Row],[RF]],"")</f>
        <v>2.632380725006736E-2</v>
      </c>
      <c r="R22" s="6">
        <f>IFERROR('raw-Return'!R23-Table14[[#This Row],[RF]],"")</f>
        <v>2.2682636453464272E-2</v>
      </c>
      <c r="S22" s="6">
        <f>IFERROR('raw-Return'!S23-Table14[[#This Row],[RF]],"")</f>
        <v>-3.2013266211938498E-3</v>
      </c>
      <c r="T22" s="6">
        <f>IFERROR('raw-Return'!T23-Table14[[#This Row],[RF]],"")</f>
        <v>4.1283673993878028E-2</v>
      </c>
      <c r="U22" s="6">
        <f>IFERROR('raw-Return'!U23-Table14[[#This Row],[RF]],"")</f>
        <v>7.6624216838596946E-3</v>
      </c>
      <c r="V22" s="6">
        <f>IFERROR('raw-Return'!V23-Table14[[#This Row],[RF]],"")</f>
        <v>-7.7401707238257947E-3</v>
      </c>
      <c r="W22" s="6">
        <f>IFERROR('raw-Return'!W23-Table14[[#This Row],[RF]],"")</f>
        <v>7.9455270301893866E-3</v>
      </c>
      <c r="X22" s="6">
        <f>IFERROR('raw-Return'!X23-Table14[[#This Row],[RF]],"")</f>
        <v>3.9408929160641232E-2</v>
      </c>
      <c r="Y22" s="6">
        <f>IFERROR('raw-Return'!Y23-Table14[[#This Row],[RF]],"")</f>
        <v>-4.4690055710691892E-3</v>
      </c>
      <c r="Z22" s="6">
        <f>IFERROR('raw-Return'!Z23-Table14[[#This Row],[RF]],"")</f>
        <v>2.845389626188391E-2</v>
      </c>
      <c r="AA22" s="6">
        <f>IFERROR('raw-Return'!AA23-Table14[[#This Row],[RF]],"")</f>
        <v>-7.01302108032295E-3</v>
      </c>
      <c r="AB22" s="6">
        <f>IFERROR('raw-Return'!AB23-Table14[[#This Row],[RF]],"")</f>
        <v>6.2349134013206806E-3</v>
      </c>
      <c r="AC22" s="6">
        <f>IFERROR('raw-Return'!AC23-Table14[[#This Row],[RF]],"")</f>
        <v>6.2349134013206806E-3</v>
      </c>
      <c r="AD22" s="6">
        <f>IFERROR('raw-Return'!AD23-Table14[[#This Row],[RF]],"")</f>
        <v>1.0607552921367641E-2</v>
      </c>
      <c r="AE22" s="6">
        <f>IFERROR('raw-Return'!AE23-Table14[[#This Row],[RF]],"")</f>
        <v>-3.8458061220816603E-2</v>
      </c>
      <c r="AF22" s="6">
        <f>IFERROR('raw-Return'!AF23-Table14[[#This Row],[RF]],"")</f>
        <v>1.433094879232269E-2</v>
      </c>
      <c r="AG22" s="6">
        <f>IFERROR('raw-Return'!AG23-Table14[[#This Row],[RF]],"")</f>
        <v>1.28433483486943E-2</v>
      </c>
      <c r="AH22" s="6">
        <f>IFERROR('raw-Return'!AH23-Table14[[#This Row],[RF]],"")</f>
        <v>1.1658866885707858E-2</v>
      </c>
      <c r="AI22" s="6">
        <f>IFERROR('raw-Return'!AI23-Table14[[#This Row],[RF]],"")</f>
        <v>5.9706875093697162E-3</v>
      </c>
      <c r="AJ22" s="6">
        <f>IFERROR('raw-Return'!AJ23-Table14[[#This Row],[RF]],"")</f>
        <v>2.3669784780411549E-3</v>
      </c>
      <c r="AK22" s="6">
        <f>IFERROR('raw-Return'!AK23-Table14[[#This Row],[RF]],"")</f>
        <v>-8.0102758151473219E-3</v>
      </c>
      <c r="AL22" s="6">
        <f>IFERROR('raw-Return'!AL23-Table14[[#This Row],[RF]],"")</f>
        <v>-7.1597605521247212E-3</v>
      </c>
      <c r="AM22" s="6">
        <f>IFERROR('raw-Return'!AM23-Table14[[#This Row],[RF]],"")</f>
        <v>2.0110390942045725E-2</v>
      </c>
      <c r="AN22" s="6">
        <f>IFERROR('raw-Return'!AN23-Table14[[#This Row],[RF]],"")</f>
        <v>6.0967440640724855E-3</v>
      </c>
      <c r="AO22" s="6">
        <f>IFERROR('raw-Return'!AO23-Table14[[#This Row],[RF]],"")</f>
        <v>-3.9915196162476343E-3</v>
      </c>
      <c r="AP22" s="6">
        <f>IFERROR('raw-Return'!AP23-Table14[[#This Row],[RF]],"")</f>
        <v>-3.9915196162476343E-3</v>
      </c>
      <c r="AQ22" s="6">
        <f>IFERROR('raw-Return'!AQ23-Table14[[#This Row],[RF]],"")</f>
        <v>-1.5503623190557841E-2</v>
      </c>
      <c r="AR22" s="6">
        <f>IFERROR('raw-Return'!AR23-Table14[[#This Row],[RF]],"")</f>
        <v>2.1779595779054556E-2</v>
      </c>
      <c r="AS22" s="6">
        <f>IFERROR('raw-Return'!AS23-Table14[[#This Row],[RF]],"")</f>
        <v>-4.2056087917141374E-3</v>
      </c>
      <c r="AT22" s="6">
        <f>IFERROR('raw-Return'!AT23-Table14[[#This Row],[RF]],"")</f>
        <v>-7.8000000000000005E-3</v>
      </c>
      <c r="AU22" s="6">
        <f>IFERROR('raw-Return'!AU23-Table14[[#This Row],[RF]],"")</f>
        <v>-7.8000000000000005E-3</v>
      </c>
      <c r="AV22" s="6">
        <f>IFERROR('raw-Return'!AV23-Table14[[#This Row],[RF]],"")</f>
        <v>-7.8000000000000005E-3</v>
      </c>
    </row>
    <row r="23" spans="1:48" x14ac:dyDescent="0.2">
      <c r="A23" s="2">
        <v>42886</v>
      </c>
      <c r="B23" s="6">
        <f>IFERROR('raw-Return'!B24-Table14[[#This Row],[RF]],"")</f>
        <v>-1.2903375609279472E-3</v>
      </c>
      <c r="C23" s="6">
        <f>IFERROR('raw-Return'!C24-Table14[[#This Row],[RF]],"")</f>
        <v>1.9500785886212273E-3</v>
      </c>
      <c r="D23" s="6">
        <f>IFERROR('raw-Return'!D24-Table14[[#This Row],[RF]],"")</f>
        <v>-4.8277091175852899E-3</v>
      </c>
      <c r="E23" s="6">
        <f>IFERROR('raw-Return'!E24-Table14[[#This Row],[RF]],"")</f>
        <v>-6.9005518609702183E-3</v>
      </c>
      <c r="F23" s="6">
        <f>IFERROR('raw-Return'!F24-Table14[[#This Row],[RF]],"")</f>
        <v>-7.8226354769586632E-3</v>
      </c>
      <c r="G23" s="6">
        <f>IFERROR('raw-Return'!G24-Table14[[#This Row],[RF]],"")</f>
        <v>7.9415477177370835E-3</v>
      </c>
      <c r="H23" s="6">
        <f>IFERROR('raw-Return'!H24-Table14[[#This Row],[RF]],"")</f>
        <v>8.5731857318359014E-5</v>
      </c>
      <c r="I23" s="6">
        <f>IFERROR('raw-Return'!I24-Table14[[#This Row],[RF]],"")</f>
        <v>1.3554619152196632E-2</v>
      </c>
      <c r="J23" s="6">
        <f>IFERROR('raw-Return'!J24-Table14[[#This Row],[RF]],"")</f>
        <v>-1.2183559003624391E-2</v>
      </c>
      <c r="K23" s="6">
        <f>IFERROR('raw-Return'!K24-Table14[[#This Row],[RF]],"")</f>
        <v>-2.0239347442956874E-3</v>
      </c>
      <c r="L23" s="6">
        <f>IFERROR('raw-Return'!L24-Table14[[#This Row],[RF]],"")</f>
        <v>3.0393690173528536E-3</v>
      </c>
      <c r="M23" s="6">
        <f>IFERROR('raw-Return'!M24-Table14[[#This Row],[RF]],"")</f>
        <v>-6.4471013752507873E-3</v>
      </c>
      <c r="N23" s="6">
        <f>IFERROR('raw-Return'!N24-Table14[[#This Row],[RF]],"")</f>
        <v>-1.7023275742407713E-3</v>
      </c>
      <c r="O23" s="6">
        <f>IFERROR('raw-Return'!O24-Table14[[#This Row],[RF]],"")</f>
        <v>-2.2826210549871679E-3</v>
      </c>
      <c r="P23" s="6">
        <f>IFERROR('raw-Return'!P24-Table14[[#This Row],[RF]],"")</f>
        <v>-8.3515907160223741E-3</v>
      </c>
      <c r="Q23" s="6">
        <f>IFERROR('raw-Return'!Q24-Table14[[#This Row],[RF]],"")</f>
        <v>1.1526675957787389E-2</v>
      </c>
      <c r="R23" s="6">
        <f>IFERROR('raw-Return'!R24-Table14[[#This Row],[RF]],"")</f>
        <v>1.0324341531685098E-2</v>
      </c>
      <c r="S23" s="6">
        <f>IFERROR('raw-Return'!S24-Table14[[#This Row],[RF]],"")</f>
        <v>-3.9498381035665848E-3</v>
      </c>
      <c r="T23" s="6">
        <f>IFERROR('raw-Return'!T24-Table14[[#This Row],[RF]],"")</f>
        <v>2.8365675177902838E-2</v>
      </c>
      <c r="U23" s="6">
        <f>IFERROR('raw-Return'!U24-Table14[[#This Row],[RF]],"")</f>
        <v>3.2706651404334468E-3</v>
      </c>
      <c r="V23" s="6">
        <f>IFERROR('raw-Return'!V24-Table14[[#This Row],[RF]],"")</f>
        <v>-9.7272766276455553E-3</v>
      </c>
      <c r="W23" s="6">
        <f>IFERROR('raw-Return'!W24-Table14[[#This Row],[RF]],"")</f>
        <v>6.643756394596188E-3</v>
      </c>
      <c r="X23" s="6">
        <f>IFERROR('raw-Return'!X24-Table14[[#This Row],[RF]],"")</f>
        <v>2.1610463040199146E-2</v>
      </c>
      <c r="Y23" s="6">
        <f>IFERROR('raw-Return'!Y24-Table14[[#This Row],[RF]],"")</f>
        <v>-6.9105834544383477E-3</v>
      </c>
      <c r="Z23" s="6">
        <f>IFERROR('raw-Return'!Z24-Table14[[#This Row],[RF]],"")</f>
        <v>1.1894820333395005E-2</v>
      </c>
      <c r="AA23" s="6">
        <f>IFERROR('raw-Return'!AA24-Table14[[#This Row],[RF]],"")</f>
        <v>-6.6289716587955589E-3</v>
      </c>
      <c r="AB23" s="6">
        <f>IFERROR('raw-Return'!AB24-Table14[[#This Row],[RF]],"")</f>
        <v>-2.1686601195553164E-4</v>
      </c>
      <c r="AC23" s="6">
        <f>IFERROR('raw-Return'!AC24-Table14[[#This Row],[RF]],"")</f>
        <v>-2.1686601195553164E-4</v>
      </c>
      <c r="AD23" s="6">
        <f>IFERROR('raw-Return'!AD24-Table14[[#This Row],[RF]],"")</f>
        <v>1.0167851072268417E-2</v>
      </c>
      <c r="AE23" s="6">
        <f>IFERROR('raw-Return'!AE24-Table14[[#This Row],[RF]],"")</f>
        <v>1.1330214751733068E-2</v>
      </c>
      <c r="AF23" s="6">
        <f>IFERROR('raw-Return'!AF24-Table14[[#This Row],[RF]],"")</f>
        <v>-3.0168438166287576E-3</v>
      </c>
      <c r="AG23" s="6">
        <f>IFERROR('raw-Return'!AG24-Table14[[#This Row],[RF]],"")</f>
        <v>1.6859989227213157E-2</v>
      </c>
      <c r="AH23" s="6">
        <f>IFERROR('raw-Return'!AH24-Table14[[#This Row],[RF]],"")</f>
        <v>5.6436931149905206E-3</v>
      </c>
      <c r="AI23" s="6">
        <f>IFERROR('raw-Return'!AI24-Table14[[#This Row],[RF]],"")</f>
        <v>-6.9113752212089392E-3</v>
      </c>
      <c r="AJ23" s="6">
        <f>IFERROR('raw-Return'!AJ24-Table14[[#This Row],[RF]],"")</f>
        <v>1.7345357015528459E-5</v>
      </c>
      <c r="AK23" s="6">
        <f>IFERROR('raw-Return'!AK24-Table14[[#This Row],[RF]],"")</f>
        <v>-1.0810231608524625E-2</v>
      </c>
      <c r="AL23" s="6">
        <f>IFERROR('raw-Return'!AL24-Table14[[#This Row],[RF]],"")</f>
        <v>-1.0931023404413711E-2</v>
      </c>
      <c r="AM23" s="6">
        <f>IFERROR('raw-Return'!AM24-Table14[[#This Row],[RF]],"")</f>
        <v>1.2134948333734906E-2</v>
      </c>
      <c r="AN23" s="6">
        <f>IFERROR('raw-Return'!AN24-Table14[[#This Row],[RF]],"")</f>
        <v>4.6732195288073757E-4</v>
      </c>
      <c r="AO23" s="6">
        <f>IFERROR('raw-Return'!AO24-Table14[[#This Row],[RF]],"")</f>
        <v>-7.8129296822121615E-4</v>
      </c>
      <c r="AP23" s="6">
        <f>IFERROR('raw-Return'!AP24-Table14[[#This Row],[RF]],"")</f>
        <v>-7.8129296822121615E-4</v>
      </c>
      <c r="AQ23" s="6">
        <f>IFERROR('raw-Return'!AQ24-Table14[[#This Row],[RF]],"")</f>
        <v>6.5852953789818751E-4</v>
      </c>
      <c r="AR23" s="6">
        <f>IFERROR('raw-Return'!AR24-Table14[[#This Row],[RF]],"")</f>
        <v>9.9445508681187938E-3</v>
      </c>
      <c r="AS23" s="6">
        <f>IFERROR('raw-Return'!AS24-Table14[[#This Row],[RF]],"")</f>
        <v>-1.1354035344746939E-2</v>
      </c>
      <c r="AT23" s="6">
        <f>IFERROR('raw-Return'!AT24-Table14[[#This Row],[RF]],"")</f>
        <v>-1.06E-2</v>
      </c>
      <c r="AU23" s="6">
        <f>IFERROR('raw-Return'!AU24-Table14[[#This Row],[RF]],"")</f>
        <v>-1.06E-2</v>
      </c>
      <c r="AV23" s="6">
        <f>IFERROR('raw-Return'!AV24-Table14[[#This Row],[RF]],"")</f>
        <v>-1.06E-2</v>
      </c>
    </row>
    <row r="24" spans="1:48" x14ac:dyDescent="0.2">
      <c r="A24" s="2">
        <v>42855</v>
      </c>
      <c r="B24" s="6">
        <f>IFERROR('raw-Return'!B25-Table14[[#This Row],[RF]],"")</f>
        <v>-1.2937795600018266E-2</v>
      </c>
      <c r="C24" s="6">
        <f>IFERROR('raw-Return'!C25-Table14[[#This Row],[RF]],"")</f>
        <v>-2.0894343985932907E-2</v>
      </c>
      <c r="D24" s="6">
        <f>IFERROR('raw-Return'!D25-Table14[[#This Row],[RF]],"")</f>
        <v>-1.3251498808254804E-2</v>
      </c>
      <c r="E24" s="6">
        <f>IFERROR('raw-Return'!E25-Table14[[#This Row],[RF]],"")</f>
        <v>-1.1632224908195134E-2</v>
      </c>
      <c r="F24" s="6">
        <f>IFERROR('raw-Return'!F25-Table14[[#This Row],[RF]],"")</f>
        <v>-1.1036209161082146E-2</v>
      </c>
      <c r="G24" s="6">
        <f>IFERROR('raw-Return'!G25-Table14[[#This Row],[RF]],"")</f>
        <v>-2.671623563355794E-2</v>
      </c>
      <c r="H24" s="6">
        <f>IFERROR('raw-Return'!H25-Table14[[#This Row],[RF]],"")</f>
        <v>-1.3612413107873846E-2</v>
      </c>
      <c r="I24" s="6">
        <f>IFERROR('raw-Return'!I25-Table14[[#This Row],[RF]],"")</f>
        <v>1.5816260769804455E-3</v>
      </c>
      <c r="J24" s="6">
        <f>IFERROR('raw-Return'!J25-Table14[[#This Row],[RF]],"")</f>
        <v>-2.70129406170466E-2</v>
      </c>
      <c r="K24" s="6">
        <f>IFERROR('raw-Return'!K25-Table14[[#This Row],[RF]],"")</f>
        <v>-1.6058980618032771E-2</v>
      </c>
      <c r="L24" s="6">
        <f>IFERROR('raw-Return'!L25-Table14[[#This Row],[RF]],"")</f>
        <v>-8.8650376875874862E-3</v>
      </c>
      <c r="M24" s="6">
        <f>IFERROR('raw-Return'!M25-Table14[[#This Row],[RF]],"")</f>
        <v>-2.213342752537837E-2</v>
      </c>
      <c r="N24" s="6">
        <f>IFERROR('raw-Return'!N25-Table14[[#This Row],[RF]],"")</f>
        <v>-1.3675712544101139E-2</v>
      </c>
      <c r="O24" s="6">
        <f>IFERROR('raw-Return'!O25-Table14[[#This Row],[RF]],"")</f>
        <v>-2.1119272547036695E-2</v>
      </c>
      <c r="P24" s="6">
        <f>IFERROR('raw-Return'!P25-Table14[[#This Row],[RF]],"")</f>
        <v>-1.1535405867691285E-2</v>
      </c>
      <c r="Q24" s="6">
        <f>IFERROR('raw-Return'!Q25-Table14[[#This Row],[RF]],"")</f>
        <v>1.5704240147917624E-2</v>
      </c>
      <c r="R24" s="6">
        <f>IFERROR('raw-Return'!R25-Table14[[#This Row],[RF]],"")</f>
        <v>1.5724442578502716E-2</v>
      </c>
      <c r="S24" s="6">
        <f>IFERROR('raw-Return'!S25-Table14[[#This Row],[RF]],"")</f>
        <v>-1.1637878263604164E-2</v>
      </c>
      <c r="T24" s="6">
        <f>IFERROR('raw-Return'!T25-Table14[[#This Row],[RF]],"")</f>
        <v>2.7787019216922192E-2</v>
      </c>
      <c r="U24" s="6">
        <f>IFERROR('raw-Return'!U25-Table14[[#This Row],[RF]],"")</f>
        <v>-1.9561393550298824E-2</v>
      </c>
      <c r="V24" s="6">
        <f>IFERROR('raw-Return'!V25-Table14[[#This Row],[RF]],"")</f>
        <v>-1.1094741422372302E-2</v>
      </c>
      <c r="W24" s="6">
        <f>IFERROR('raw-Return'!W25-Table14[[#This Row],[RF]],"")</f>
        <v>-1.6337409523489367E-2</v>
      </c>
      <c r="X24" s="6">
        <f>IFERROR('raw-Return'!X25-Table14[[#This Row],[RF]],"")</f>
        <v>2.1035451312449459E-2</v>
      </c>
      <c r="Y24" s="6">
        <f>IFERROR('raw-Return'!Y25-Table14[[#This Row],[RF]],"")</f>
        <v>-1.1630191000690827E-2</v>
      </c>
      <c r="Z24" s="6">
        <f>IFERROR('raw-Return'!Z25-Table14[[#This Row],[RF]],"")</f>
        <v>1.6460992247137249E-3</v>
      </c>
      <c r="AA24" s="6">
        <f>IFERROR('raw-Return'!AA25-Table14[[#This Row],[RF]],"")</f>
        <v>-1.7912740383327221E-2</v>
      </c>
      <c r="AB24" s="6">
        <f>IFERROR('raw-Return'!AB25-Table14[[#This Row],[RF]],"")</f>
        <v>-1.4283798021111439E-2</v>
      </c>
      <c r="AC24" s="6">
        <f>IFERROR('raw-Return'!AC25-Table14[[#This Row],[RF]],"")</f>
        <v>-1.4283798021111439E-2</v>
      </c>
      <c r="AD24" s="6">
        <f>IFERROR('raw-Return'!AD25-Table14[[#This Row],[RF]],"")</f>
        <v>-9.1116116204005074E-3</v>
      </c>
      <c r="AE24" s="6">
        <f>IFERROR('raw-Return'!AE25-Table14[[#This Row],[RF]],"")</f>
        <v>-4.0260295706493678E-2</v>
      </c>
      <c r="AF24" s="6">
        <f>IFERROR('raw-Return'!AF25-Table14[[#This Row],[RF]],"")</f>
        <v>4.9699886147568581E-3</v>
      </c>
      <c r="AG24" s="6">
        <f>IFERROR('raw-Return'!AG25-Table14[[#This Row],[RF]],"")</f>
        <v>1.4199773045651475E-2</v>
      </c>
      <c r="AH24" s="6">
        <f>IFERROR('raw-Return'!AH25-Table14[[#This Row],[RF]],"")</f>
        <v>-5.8550044799467182E-5</v>
      </c>
      <c r="AI24" s="6">
        <f>IFERROR('raw-Return'!AI25-Table14[[#This Row],[RF]],"")</f>
        <v>-1.0291045804736144E-2</v>
      </c>
      <c r="AJ24" s="6">
        <f>IFERROR('raw-Return'!AJ25-Table14[[#This Row],[RF]],"")</f>
        <v>-1.4793846495805042E-2</v>
      </c>
      <c r="AK24" s="6">
        <f>IFERROR('raw-Return'!AK25-Table14[[#This Row],[RF]],"")</f>
        <v>-9.72131533032803E-3</v>
      </c>
      <c r="AL24" s="6">
        <f>IFERROR('raw-Return'!AL25-Table14[[#This Row],[RF]],"")</f>
        <v>-2.5879055721170087E-2</v>
      </c>
      <c r="AM24" s="6">
        <f>IFERROR('raw-Return'!AM25-Table14[[#This Row],[RF]],"")</f>
        <v>-9.4173681393847769E-4</v>
      </c>
      <c r="AN24" s="6">
        <f>IFERROR('raw-Return'!AN25-Table14[[#This Row],[RF]],"")</f>
        <v>-1.4754503350123273E-2</v>
      </c>
      <c r="AO24" s="6">
        <f>IFERROR('raw-Return'!AO25-Table14[[#This Row],[RF]],"")</f>
        <v>-8.3760995996649892E-3</v>
      </c>
      <c r="AP24" s="6">
        <f>IFERROR('raw-Return'!AP25-Table14[[#This Row],[RF]],"")</f>
        <v>-8.3760995996649892E-3</v>
      </c>
      <c r="AQ24" s="6">
        <f>IFERROR('raw-Return'!AQ25-Table14[[#This Row],[RF]],"")</f>
        <v>-1.4970394789511877E-2</v>
      </c>
      <c r="AR24" s="6">
        <f>IFERROR('raw-Return'!AR25-Table14[[#This Row],[RF]],"")</f>
        <v>1.5778856795197437E-2</v>
      </c>
      <c r="AS24" s="6">
        <f>IFERROR('raw-Return'!AS25-Table14[[#This Row],[RF]],"")</f>
        <v>-2.1097345149100201E-2</v>
      </c>
      <c r="AT24" s="6">
        <f>IFERROR('raw-Return'!AT25-Table14[[#This Row],[RF]],"")</f>
        <v>-1.09E-2</v>
      </c>
      <c r="AU24" s="6">
        <f>IFERROR('raw-Return'!AU25-Table14[[#This Row],[RF]],"")</f>
        <v>-1.09E-2</v>
      </c>
      <c r="AV24" s="6">
        <f>IFERROR('raw-Return'!AV25-Table14[[#This Row],[RF]],"")</f>
        <v>-1.09E-2</v>
      </c>
    </row>
    <row r="25" spans="1:48" x14ac:dyDescent="0.2">
      <c r="A25" s="2">
        <v>42825</v>
      </c>
      <c r="B25" s="6">
        <f>IFERROR('raw-Return'!B26-Table14[[#This Row],[RF]],"")</f>
        <v>3.6034735417878397E-3</v>
      </c>
      <c r="C25" s="6">
        <f>IFERROR('raw-Return'!C26-Table14[[#This Row],[RF]],"")</f>
        <v>1.2983932956456092E-2</v>
      </c>
      <c r="D25" s="6">
        <f>IFERROR('raw-Return'!D26-Table14[[#This Row],[RF]],"")</f>
        <v>2.3799922610612603E-3</v>
      </c>
      <c r="E25" s="6">
        <f>IFERROR('raw-Return'!E26-Table14[[#This Row],[RF]],"")</f>
        <v>6.3551776787702866E-3</v>
      </c>
      <c r="F25" s="6">
        <f>IFERROR('raw-Return'!F26-Table14[[#This Row],[RF]],"")</f>
        <v>-1.0584272934465941E-3</v>
      </c>
      <c r="G25" s="6">
        <f>IFERROR('raw-Return'!G26-Table14[[#This Row],[RF]],"")</f>
        <v>1.7597579932134212E-2</v>
      </c>
      <c r="H25" s="6">
        <f>IFERROR('raw-Return'!H26-Table14[[#This Row],[RF]],"")</f>
        <v>3.9071032547843644E-2</v>
      </c>
      <c r="I25" s="6">
        <f>IFERROR('raw-Return'!I26-Table14[[#This Row],[RF]],"")</f>
        <v>4.5474349025953743E-2</v>
      </c>
      <c r="J25" s="6">
        <f>IFERROR('raw-Return'!J26-Table14[[#This Row],[RF]],"")</f>
        <v>3.4478760494528728E-2</v>
      </c>
      <c r="K25" s="6">
        <f>IFERROR('raw-Return'!K26-Table14[[#This Row],[RF]],"")</f>
        <v>2.1416402330953134E-2</v>
      </c>
      <c r="L25" s="6">
        <f>IFERROR('raw-Return'!L26-Table14[[#This Row],[RF]],"")</f>
        <v>2.4866477368588748E-2</v>
      </c>
      <c r="M25" s="6">
        <f>IFERROR('raw-Return'!M26-Table14[[#This Row],[RF]],"")</f>
        <v>1.8557476657807416E-2</v>
      </c>
      <c r="N25" s="6">
        <f>IFERROR('raw-Return'!N26-Table14[[#This Row],[RF]],"")</f>
        <v>5.6256814483946274E-3</v>
      </c>
      <c r="O25" s="6">
        <f>IFERROR('raw-Return'!O26-Table14[[#This Row],[RF]],"")</f>
        <v>1.4074131506862909E-2</v>
      </c>
      <c r="P25" s="6">
        <f>IFERROR('raw-Return'!P26-Table14[[#This Row],[RF]],"")</f>
        <v>4.4063913727358101E-4</v>
      </c>
      <c r="Q25" s="6">
        <f>IFERROR('raw-Return'!Q26-Table14[[#This Row],[RF]],"")</f>
        <v>8.8791974656810338E-3</v>
      </c>
      <c r="R25" s="6">
        <f>IFERROR('raw-Return'!R26-Table14[[#This Row],[RF]],"")</f>
        <v>1.0898603864475866E-2</v>
      </c>
      <c r="S25" s="6">
        <f>IFERROR('raw-Return'!S26-Table14[[#This Row],[RF]],"")</f>
        <v>1.5912397184807761E-3</v>
      </c>
      <c r="T25" s="6">
        <f>IFERROR('raw-Return'!T26-Table14[[#This Row],[RF]],"")</f>
        <v>4.1626311256726459E-3</v>
      </c>
      <c r="U25" s="6">
        <f>IFERROR('raw-Return'!U26-Table14[[#This Row],[RF]],"")</f>
        <v>1.282903492886537E-2</v>
      </c>
      <c r="V25" s="6">
        <f>IFERROR('raw-Return'!V26-Table14[[#This Row],[RF]],"")</f>
        <v>-1.6827295587055965E-3</v>
      </c>
      <c r="W25" s="6">
        <f>IFERROR('raw-Return'!W26-Table14[[#This Row],[RF]],"")</f>
        <v>4.1576794534730323E-2</v>
      </c>
      <c r="X25" s="6">
        <f>IFERROR('raw-Return'!X26-Table14[[#This Row],[RF]],"")</f>
        <v>1.4948113176714663E-2</v>
      </c>
      <c r="Y25" s="6">
        <f>IFERROR('raw-Return'!Y26-Table14[[#This Row],[RF]],"")</f>
        <v>1.7562447320618527E-3</v>
      </c>
      <c r="Z25" s="6">
        <f>IFERROR('raw-Return'!Z26-Table14[[#This Row],[RF]],"")</f>
        <v>2.508259803596239E-2</v>
      </c>
      <c r="AA25" s="6">
        <f>IFERROR('raw-Return'!AA26-Table14[[#This Row],[RF]],"")</f>
        <v>3.1843472021510867E-2</v>
      </c>
      <c r="AB25" s="6">
        <f>IFERROR('raw-Return'!AB26-Table14[[#This Row],[RF]],"")</f>
        <v>3.7149978278777675E-2</v>
      </c>
      <c r="AC25" s="6">
        <f>IFERROR('raw-Return'!AC26-Table14[[#This Row],[RF]],"")</f>
        <v>3.7149978278777675E-2</v>
      </c>
      <c r="AD25" s="6">
        <f>IFERROR('raw-Return'!AD26-Table14[[#This Row],[RF]],"")</f>
        <v>2.6309635406481159E-2</v>
      </c>
      <c r="AE25" s="6">
        <f>IFERROR('raw-Return'!AE26-Table14[[#This Row],[RF]],"")</f>
        <v>-2.9483328729552359E-2</v>
      </c>
      <c r="AF25" s="6">
        <f>IFERROR('raw-Return'!AF26-Table14[[#This Row],[RF]],"")</f>
        <v>1.9801643407944026E-2</v>
      </c>
      <c r="AG25" s="6">
        <f>IFERROR('raw-Return'!AG26-Table14[[#This Row],[RF]],"")</f>
        <v>1.4671269513448805E-2</v>
      </c>
      <c r="AH25" s="6">
        <f>IFERROR('raw-Return'!AH26-Table14[[#This Row],[RF]],"")</f>
        <v>2.5195472968606837E-2</v>
      </c>
      <c r="AI25" s="6">
        <f>IFERROR('raw-Return'!AI26-Table14[[#This Row],[RF]],"")</f>
        <v>2.9764536449857007E-3</v>
      </c>
      <c r="AJ25" s="6">
        <f>IFERROR('raw-Return'!AJ26-Table14[[#This Row],[RF]],"")</f>
        <v>3.5165957691534001E-2</v>
      </c>
      <c r="AK25" s="6">
        <f>IFERROR('raw-Return'!AK26-Table14[[#This Row],[RF]],"")</f>
        <v>-1.2788639084548512E-3</v>
      </c>
      <c r="AL25" s="6">
        <f>IFERROR('raw-Return'!AL26-Table14[[#This Row],[RF]],"")</f>
        <v>3.4162306255634912E-2</v>
      </c>
      <c r="AM25" s="6">
        <f>IFERROR('raw-Return'!AM26-Table14[[#This Row],[RF]],"")</f>
        <v>4.2111261210092489E-2</v>
      </c>
      <c r="AN25" s="6">
        <f>IFERROR('raw-Return'!AN26-Table14[[#This Row],[RF]],"")</f>
        <v>3.8055746690007587E-2</v>
      </c>
      <c r="AO25" s="6">
        <f>IFERROR('raw-Return'!AO26-Table14[[#This Row],[RF]],"")</f>
        <v>8.6340932498581227E-3</v>
      </c>
      <c r="AP25" s="6">
        <f>IFERROR('raw-Return'!AP26-Table14[[#This Row],[RF]],"")</f>
        <v>8.6340932498581227E-3</v>
      </c>
      <c r="AQ25" s="6">
        <f>IFERROR('raw-Return'!AQ26-Table14[[#This Row],[RF]],"")</f>
        <v>2.2397699325101418E-2</v>
      </c>
      <c r="AR25" s="6">
        <f>IFERROR('raw-Return'!AR26-Table14[[#This Row],[RF]],"")</f>
        <v>1.1705365874192832E-2</v>
      </c>
      <c r="AS25" s="6">
        <f>IFERROR('raw-Return'!AS26-Table14[[#This Row],[RF]],"")</f>
        <v>3.405827991629299E-2</v>
      </c>
      <c r="AT25" s="6">
        <f>IFERROR('raw-Return'!AT26-Table14[[#This Row],[RF]],"")</f>
        <v>-1.7000000000000001E-3</v>
      </c>
      <c r="AU25" s="6">
        <f>IFERROR('raw-Return'!AU26-Table14[[#This Row],[RF]],"")</f>
        <v>-1.7000000000000001E-3</v>
      </c>
      <c r="AV25" s="6">
        <f>IFERROR('raw-Return'!AV26-Table14[[#This Row],[RF]],"")</f>
        <v>-1.7000000000000001E-3</v>
      </c>
    </row>
    <row r="26" spans="1:48" x14ac:dyDescent="0.2">
      <c r="A26" s="2">
        <v>42794</v>
      </c>
      <c r="B26" s="6">
        <f>IFERROR('raw-Return'!B27-Table14[[#This Row],[RF]],"")</f>
        <v>-3.2463244479049511E-2</v>
      </c>
      <c r="C26" s="6">
        <f>IFERROR('raw-Return'!C27-Table14[[#This Row],[RF]],"")</f>
        <v>-3.0073374561594576E-2</v>
      </c>
      <c r="D26" s="6">
        <f>IFERROR('raw-Return'!D27-Table14[[#This Row],[RF]],"")</f>
        <v>-3.3849813378453428E-2</v>
      </c>
      <c r="E26" s="6">
        <f>IFERROR('raw-Return'!E27-Table14[[#This Row],[RF]],"")</f>
        <v>-4.5524948269872564E-2</v>
      </c>
      <c r="F26" s="6">
        <f>IFERROR('raw-Return'!F27-Table14[[#This Row],[RF]],"")</f>
        <v>-3.2808855310606219E-2</v>
      </c>
      <c r="G26" s="6">
        <f>IFERROR('raw-Return'!G27-Table14[[#This Row],[RF]],"")</f>
        <v>-2.3294021650336491E-2</v>
      </c>
      <c r="H26" s="6">
        <f>IFERROR('raw-Return'!H27-Table14[[#This Row],[RF]],"")</f>
        <v>-1.7887995186348357E-2</v>
      </c>
      <c r="I26" s="6">
        <f>IFERROR('raw-Return'!I27-Table14[[#This Row],[RF]],"")</f>
        <v>5.8238723981125784E-4</v>
      </c>
      <c r="J26" s="6">
        <f>IFERROR('raw-Return'!J27-Table14[[#This Row],[RF]],"")</f>
        <v>-3.3757213671170058E-2</v>
      </c>
      <c r="K26" s="6">
        <f>IFERROR('raw-Return'!K27-Table14[[#This Row],[RF]],"")</f>
        <v>-2.023779409077979E-2</v>
      </c>
      <c r="L26" s="6">
        <f>IFERROR('raw-Return'!L27-Table14[[#This Row],[RF]],"")</f>
        <v>-8.6440552528247866E-3</v>
      </c>
      <c r="M26" s="6">
        <f>IFERROR('raw-Return'!M27-Table14[[#This Row],[RF]],"")</f>
        <v>-2.9220507827027495E-2</v>
      </c>
      <c r="N26" s="6">
        <f>IFERROR('raw-Return'!N27-Table14[[#This Row],[RF]],"")</f>
        <v>-3.2334455391568914E-2</v>
      </c>
      <c r="O26" s="6">
        <f>IFERROR('raw-Return'!O27-Table14[[#This Row],[RF]],"")</f>
        <v>-3.4914434351882725E-2</v>
      </c>
      <c r="P26" s="6">
        <f>IFERROR('raw-Return'!P27-Table14[[#This Row],[RF]],"")</f>
        <v>-3.2525971195864908E-2</v>
      </c>
      <c r="Q26" s="6">
        <f>IFERROR('raw-Return'!Q27-Table14[[#This Row],[RF]],"")</f>
        <v>9.6448003805134352E-4</v>
      </c>
      <c r="R26" s="6">
        <f>IFERROR('raw-Return'!R27-Table14[[#This Row],[RF]],"")</f>
        <v>5.7319608541715611E-3</v>
      </c>
      <c r="S26" s="6">
        <f>IFERROR('raw-Return'!S27-Table14[[#This Row],[RF]],"")</f>
        <v>-3.2113319061286491E-2</v>
      </c>
      <c r="T26" s="6">
        <f>IFERROR('raw-Return'!T27-Table14[[#This Row],[RF]],"")</f>
        <v>-6.0764752312997689E-3</v>
      </c>
      <c r="U26" s="6">
        <f>IFERROR('raw-Return'!U27-Table14[[#This Row],[RF]],"")</f>
        <v>-2.9990828359809082E-2</v>
      </c>
      <c r="V26" s="6">
        <f>IFERROR('raw-Return'!V27-Table14[[#This Row],[RF]],"")</f>
        <v>-3.7684785228378412E-2</v>
      </c>
      <c r="W26" s="6">
        <f>IFERROR('raw-Return'!W27-Table14[[#This Row],[RF]],"")</f>
        <v>-1.8094353795946969E-2</v>
      </c>
      <c r="X26" s="6">
        <f>IFERROR('raw-Return'!X27-Table14[[#This Row],[RF]],"")</f>
        <v>1.7952240179473639E-3</v>
      </c>
      <c r="Y26" s="6">
        <f>IFERROR('raw-Return'!Y27-Table14[[#This Row],[RF]],"")</f>
        <v>-3.3983636892149269E-2</v>
      </c>
      <c r="Z26" s="6">
        <f>IFERROR('raw-Return'!Z27-Table14[[#This Row],[RF]],"")</f>
        <v>-2.2533413877462855E-3</v>
      </c>
      <c r="AA26" s="6">
        <f>IFERROR('raw-Return'!AA27-Table14[[#This Row],[RF]],"")</f>
        <v>-1.3997930440979342E-2</v>
      </c>
      <c r="AB26" s="6">
        <f>IFERROR('raw-Return'!AB27-Table14[[#This Row],[RF]],"")</f>
        <v>-1.7888282523878793E-2</v>
      </c>
      <c r="AC26" s="6">
        <f>IFERROR('raw-Return'!AC27-Table14[[#This Row],[RF]],"")</f>
        <v>-1.7888282523878793E-2</v>
      </c>
      <c r="AD26" s="6">
        <f>IFERROR('raw-Return'!AD27-Table14[[#This Row],[RF]],"")</f>
        <v>2.2283065325826162E-3</v>
      </c>
      <c r="AE26" s="6">
        <f>IFERROR('raw-Return'!AE27-Table14[[#This Row],[RF]],"")</f>
        <v>-3.186923312570393E-2</v>
      </c>
      <c r="AF26" s="6">
        <f>IFERROR('raw-Return'!AF27-Table14[[#This Row],[RF]],"")</f>
        <v>1.3520096233010273E-2</v>
      </c>
      <c r="AG26" s="6">
        <f>IFERROR('raw-Return'!AG27-Table14[[#This Row],[RF]],"")</f>
        <v>1.2235683762547092E-2</v>
      </c>
      <c r="AH26" s="6">
        <f>IFERROR('raw-Return'!AH27-Table14[[#This Row],[RF]],"")</f>
        <v>-5.706411331417513E-3</v>
      </c>
      <c r="AI26" s="6">
        <f>IFERROR('raw-Return'!AI27-Table14[[#This Row],[RF]],"")</f>
        <v>-3.3428285609690064E-2</v>
      </c>
      <c r="AJ26" s="6">
        <f>IFERROR('raw-Return'!AJ27-Table14[[#This Row],[RF]],"")</f>
        <v>-1.7151358627127175E-2</v>
      </c>
      <c r="AK26" s="6">
        <f>IFERROR('raw-Return'!AK27-Table14[[#This Row],[RF]],"")</f>
        <v>-3.1003230394561918E-2</v>
      </c>
      <c r="AL26" s="6">
        <f>IFERROR('raw-Return'!AL27-Table14[[#This Row],[RF]],"")</f>
        <v>-3.0759653474740897E-2</v>
      </c>
      <c r="AM26" s="6">
        <f>IFERROR('raw-Return'!AM27-Table14[[#This Row],[RF]],"")</f>
        <v>-5.8155789614915132E-4</v>
      </c>
      <c r="AN26" s="6">
        <f>IFERROR('raw-Return'!AN27-Table14[[#This Row],[RF]],"")</f>
        <v>-1.6304423604264581E-2</v>
      </c>
      <c r="AO26" s="6">
        <f>IFERROR('raw-Return'!AO27-Table14[[#This Row],[RF]],"")</f>
        <v>-2.1550811052852101E-2</v>
      </c>
      <c r="AP26" s="6">
        <f>IFERROR('raw-Return'!AP27-Table14[[#This Row],[RF]],"")</f>
        <v>-2.1550811052852101E-2</v>
      </c>
      <c r="AQ26" s="6">
        <f>IFERROR('raw-Return'!AQ27-Table14[[#This Row],[RF]],"")</f>
        <v>-1.4400519043265156E-2</v>
      </c>
      <c r="AR26" s="6">
        <f>IFERROR('raw-Return'!AR27-Table14[[#This Row],[RF]],"")</f>
        <v>5.0908816125408568E-3</v>
      </c>
      <c r="AS26" s="6">
        <f>IFERROR('raw-Return'!AS27-Table14[[#This Row],[RF]],"")</f>
        <v>-3.6124427491393371E-2</v>
      </c>
      <c r="AT26" s="6">
        <f>IFERROR('raw-Return'!AT27-Table14[[#This Row],[RF]],"")</f>
        <v>-3.5699999999999996E-2</v>
      </c>
      <c r="AU26" s="6">
        <f>IFERROR('raw-Return'!AU27-Table14[[#This Row],[RF]],"")</f>
        <v>-3.5699999999999996E-2</v>
      </c>
      <c r="AV26" s="6">
        <f>IFERROR('raw-Return'!AV27-Table14[[#This Row],[RF]],"")</f>
        <v>-3.5699999999999996E-2</v>
      </c>
    </row>
    <row r="27" spans="1:48" x14ac:dyDescent="0.2">
      <c r="A27" s="2">
        <v>42766</v>
      </c>
      <c r="B27" s="6">
        <f>IFERROR('raw-Return'!B28-Table14[[#This Row],[RF]],"")</f>
        <v>-2.595069565862132E-2</v>
      </c>
      <c r="C27" s="6">
        <f>IFERROR('raw-Return'!C28-Table14[[#This Row],[RF]],"")</f>
        <v>-1.8194011936765536E-2</v>
      </c>
      <c r="D27" s="6">
        <f>IFERROR('raw-Return'!D28-Table14[[#This Row],[RF]],"")</f>
        <v>-2.0600781614504321E-2</v>
      </c>
      <c r="E27" s="6">
        <f>IFERROR('raw-Return'!E28-Table14[[#This Row],[RF]],"")</f>
        <v>-2.3752751292759028E-2</v>
      </c>
      <c r="F27" s="6">
        <f>IFERROR('raw-Return'!F28-Table14[[#This Row],[RF]],"")</f>
        <v>-2.1425981653994369E-2</v>
      </c>
      <c r="G27" s="6">
        <f>IFERROR('raw-Return'!G28-Table14[[#This Row],[RF]],"")</f>
        <v>-5.3663666545976346E-2</v>
      </c>
      <c r="H27" s="6">
        <f>IFERROR('raw-Return'!H28-Table14[[#This Row],[RF]],"")</f>
        <v>-3.6716275930998299E-3</v>
      </c>
      <c r="I27" s="6">
        <f>IFERROR('raw-Return'!I28-Table14[[#This Row],[RF]],"")</f>
        <v>-1.0825935254893088E-2</v>
      </c>
      <c r="J27" s="6">
        <f>IFERROR('raw-Return'!J28-Table14[[#This Row],[RF]],"")</f>
        <v>3.1445610017731551E-3</v>
      </c>
      <c r="K27" s="6">
        <f>IFERROR('raw-Return'!K28-Table14[[#This Row],[RF]],"")</f>
        <v>-5.9419327986277859E-3</v>
      </c>
      <c r="L27" s="6">
        <f>IFERROR('raw-Return'!L28-Table14[[#This Row],[RF]],"")</f>
        <v>-1.7042581222984771E-2</v>
      </c>
      <c r="M27" s="6">
        <f>IFERROR('raw-Return'!M28-Table14[[#This Row],[RF]],"")</f>
        <v>2.4875499294637338E-3</v>
      </c>
      <c r="N27" s="6">
        <f>IFERROR('raw-Return'!N28-Table14[[#This Row],[RF]],"")</f>
        <v>-1.9258674530478054E-2</v>
      </c>
      <c r="O27" s="6">
        <f>IFERROR('raw-Return'!O28-Table14[[#This Row],[RF]],"")</f>
        <v>-6.3774763401288903E-3</v>
      </c>
      <c r="P27" s="6">
        <f>IFERROR('raw-Return'!P28-Table14[[#This Row],[RF]],"")</f>
        <v>-2.0048445882973082E-2</v>
      </c>
      <c r="Q27" s="6">
        <f>IFERROR('raw-Return'!Q28-Table14[[#This Row],[RF]],"")</f>
        <v>-3.2829566395972398E-3</v>
      </c>
      <c r="R27" s="6">
        <f>IFERROR('raw-Return'!R28-Table14[[#This Row],[RF]],"")</f>
        <v>-8.6358380770245324E-3</v>
      </c>
      <c r="S27" s="6">
        <f>IFERROR('raw-Return'!S28-Table14[[#This Row],[RF]],"")</f>
        <v>-2.4936464180542212E-2</v>
      </c>
      <c r="T27" s="6">
        <f>IFERROR('raw-Return'!T28-Table14[[#This Row],[RF]],"")</f>
        <v>2.476901445263277E-2</v>
      </c>
      <c r="U27" s="6">
        <f>IFERROR('raw-Return'!U28-Table14[[#This Row],[RF]],"")</f>
        <v>-2.7850817935029443E-2</v>
      </c>
      <c r="V27" s="6">
        <f>IFERROR('raw-Return'!V28-Table14[[#This Row],[RF]],"")</f>
        <v>-1.7225330206309813E-2</v>
      </c>
      <c r="W27" s="6">
        <f>IFERROR('raw-Return'!W28-Table14[[#This Row],[RF]],"")</f>
        <v>-1.443938196971209E-2</v>
      </c>
      <c r="X27" s="6">
        <f>IFERROR('raw-Return'!X28-Table14[[#This Row],[RF]],"")</f>
        <v>-1.2529502076770088E-2</v>
      </c>
      <c r="Y27" s="6">
        <f>IFERROR('raw-Return'!Y28-Table14[[#This Row],[RF]],"")</f>
        <v>-2.6414408230279546E-2</v>
      </c>
      <c r="Z27" s="6">
        <f>IFERROR('raw-Return'!Z28-Table14[[#This Row],[RF]],"")</f>
        <v>-5.4416942771450733E-2</v>
      </c>
      <c r="AA27" s="6">
        <f>IFERROR('raw-Return'!AA28-Table14[[#This Row],[RF]],"")</f>
        <v>-1.4648559246882048E-2</v>
      </c>
      <c r="AB27" s="6">
        <f>IFERROR('raw-Return'!AB28-Table14[[#This Row],[RF]],"")</f>
        <v>-4.9636334044164399E-3</v>
      </c>
      <c r="AC27" s="6">
        <f>IFERROR('raw-Return'!AC28-Table14[[#This Row],[RF]],"")</f>
        <v>-4.9636334044164399E-3</v>
      </c>
      <c r="AD27" s="6">
        <f>IFERROR('raw-Return'!AD28-Table14[[#This Row],[RF]],"")</f>
        <v>-2.0042691147184738E-2</v>
      </c>
      <c r="AE27" s="6">
        <f>IFERROR('raw-Return'!AE28-Table14[[#This Row],[RF]],"")</f>
        <v>4.6703881131621688E-2</v>
      </c>
      <c r="AF27" s="6">
        <f>IFERROR('raw-Return'!AF28-Table14[[#This Row],[RF]],"")</f>
        <v>-3.7657373836131353E-2</v>
      </c>
      <c r="AG27" s="6">
        <f>IFERROR('raw-Return'!AG28-Table14[[#This Row],[RF]],"")</f>
        <v>-2.4245618792695184E-2</v>
      </c>
      <c r="AH27" s="6">
        <f>IFERROR('raw-Return'!AH28-Table14[[#This Row],[RF]],"")</f>
        <v>-8.7807843189879053E-3</v>
      </c>
      <c r="AI27" s="6">
        <f>IFERROR('raw-Return'!AI28-Table14[[#This Row],[RF]],"")</f>
        <v>-7.9135748386573168E-3</v>
      </c>
      <c r="AJ27" s="6">
        <f>IFERROR('raw-Return'!AJ28-Table14[[#This Row],[RF]],"")</f>
        <v>-5.892113705511598E-3</v>
      </c>
      <c r="AK27" s="6">
        <f>IFERROR('raw-Return'!AK28-Table14[[#This Row],[RF]],"")</f>
        <v>-2.3676848083479834E-2</v>
      </c>
      <c r="AL27" s="6">
        <f>IFERROR('raw-Return'!AL28-Table14[[#This Row],[RF]],"")</f>
        <v>3.2032746941820789E-4</v>
      </c>
      <c r="AM27" s="6">
        <f>IFERROR('raw-Return'!AM28-Table14[[#This Row],[RF]],"")</f>
        <v>-1.2179575649318292E-2</v>
      </c>
      <c r="AN27" s="6">
        <f>IFERROR('raw-Return'!AN28-Table14[[#This Row],[RF]],"")</f>
        <v>-5.5823562563485363E-3</v>
      </c>
      <c r="AO27" s="6">
        <f>IFERROR('raw-Return'!AO28-Table14[[#This Row],[RF]],"")</f>
        <v>-1.2626434046283747E-2</v>
      </c>
      <c r="AP27" s="6">
        <f>IFERROR('raw-Return'!AP28-Table14[[#This Row],[RF]],"")</f>
        <v>-1.2626434046283747E-2</v>
      </c>
      <c r="AQ27" s="6">
        <f>IFERROR('raw-Return'!AQ28-Table14[[#This Row],[RF]],"")</f>
        <v>-6.7411733300445642E-3</v>
      </c>
      <c r="AR27" s="6">
        <f>IFERROR('raw-Return'!AR28-Table14[[#This Row],[RF]],"")</f>
        <v>-8.1954502924569683E-3</v>
      </c>
      <c r="AS27" s="6">
        <f>IFERROR('raw-Return'!AS28-Table14[[#This Row],[RF]],"")</f>
        <v>1.3733625898955937E-3</v>
      </c>
      <c r="AT27" s="6">
        <f>IFERROR('raw-Return'!AT28-Table14[[#This Row],[RF]],"")</f>
        <v>-1.9400000000000001E-2</v>
      </c>
      <c r="AU27" s="6">
        <f>IFERROR('raw-Return'!AU28-Table14[[#This Row],[RF]],"")</f>
        <v>-1.9400000000000001E-2</v>
      </c>
      <c r="AV27" s="6">
        <f>IFERROR('raw-Return'!AV28-Table14[[#This Row],[RF]],"")</f>
        <v>-1.9400000000000001E-2</v>
      </c>
    </row>
    <row r="28" spans="1:48" x14ac:dyDescent="0.2">
      <c r="A28" s="2">
        <v>42735</v>
      </c>
      <c r="B28" s="6">
        <f>IFERROR('raw-Return'!B29-Table14[[#This Row],[RF]],"")</f>
        <v>-5.3150451227654279E-2</v>
      </c>
      <c r="C28" s="6">
        <f>IFERROR('raw-Return'!C29-Table14[[#This Row],[RF]],"")</f>
        <v>-8.4048920367324698E-2</v>
      </c>
      <c r="D28" s="6">
        <f>IFERROR('raw-Return'!D29-Table14[[#This Row],[RF]],"")</f>
        <v>-4.5832931310758725E-2</v>
      </c>
      <c r="E28" s="6">
        <f>IFERROR('raw-Return'!E29-Table14[[#This Row],[RF]],"")</f>
        <v>-3.1792587426983217E-2</v>
      </c>
      <c r="F28" s="6">
        <f>IFERROR('raw-Return'!F29-Table14[[#This Row],[RF]],"")</f>
        <v>-2.9490623648238075E-2</v>
      </c>
      <c r="G28" s="6">
        <f>IFERROR('raw-Return'!G29-Table14[[#This Row],[RF]],"")</f>
        <v>-0.13321679057853308</v>
      </c>
      <c r="H28" s="6">
        <f>IFERROR('raw-Return'!H29-Table14[[#This Row],[RF]],"")</f>
        <v>1.7220464930970618E-2</v>
      </c>
      <c r="I28" s="6">
        <f>IFERROR('raw-Return'!I29-Table14[[#This Row],[RF]],"")</f>
        <v>-8.493605912310194E-3</v>
      </c>
      <c r="J28" s="6">
        <f>IFERROR('raw-Return'!J29-Table14[[#This Row],[RF]],"")</f>
        <v>3.9859020642372338E-2</v>
      </c>
      <c r="K28" s="6">
        <f>IFERROR('raw-Return'!K29-Table14[[#This Row],[RF]],"")</f>
        <v>6.734208068949088E-2</v>
      </c>
      <c r="L28" s="6">
        <f>IFERROR('raw-Return'!L29-Table14[[#This Row],[RF]],"")</f>
        <v>4.7061943222329809E-2</v>
      </c>
      <c r="M28" s="6">
        <f>IFERROR('raw-Return'!M29-Table14[[#This Row],[RF]],"")</f>
        <v>8.3836869318018481E-2</v>
      </c>
      <c r="N28" s="6">
        <f>IFERROR('raw-Return'!N29-Table14[[#This Row],[RF]],"")</f>
        <v>-5.0605577690322708E-2</v>
      </c>
      <c r="O28" s="6">
        <f>IFERROR('raw-Return'!O29-Table14[[#This Row],[RF]],"")</f>
        <v>-6.9788876536270861E-2</v>
      </c>
      <c r="P28" s="6">
        <f>IFERROR('raw-Return'!P29-Table14[[#This Row],[RF]],"")</f>
        <v>-2.942933848157115E-2</v>
      </c>
      <c r="Q28" s="6">
        <f>IFERROR('raw-Return'!Q29-Table14[[#This Row],[RF]],"")</f>
        <v>-3.3268937004240058E-2</v>
      </c>
      <c r="R28" s="6">
        <f>IFERROR('raw-Return'!R29-Table14[[#This Row],[RF]],"")</f>
        <v>-3.9504337019896092E-2</v>
      </c>
      <c r="S28" s="6">
        <f>IFERROR('raw-Return'!S29-Table14[[#This Row],[RF]],"")</f>
        <v>-4.5535701297538041E-2</v>
      </c>
      <c r="T28" s="6">
        <f>IFERROR('raw-Return'!T29-Table14[[#This Row],[RF]],"")</f>
        <v>-4.1544242487414736E-2</v>
      </c>
      <c r="U28" s="6">
        <f>IFERROR('raw-Return'!U29-Table14[[#This Row],[RF]],"")</f>
        <v>-9.7386384027720041E-2</v>
      </c>
      <c r="V28" s="6">
        <f>IFERROR('raw-Return'!V29-Table14[[#This Row],[RF]],"")</f>
        <v>-2.3496359509670335E-2</v>
      </c>
      <c r="W28" s="6">
        <f>IFERROR('raw-Return'!W29-Table14[[#This Row],[RF]],"")</f>
        <v>1.1550652405273747E-2</v>
      </c>
      <c r="X28" s="6">
        <f>IFERROR('raw-Return'!X29-Table14[[#This Row],[RF]],"")</f>
        <v>-5.9338702849939258E-2</v>
      </c>
      <c r="Y28" s="6">
        <f>IFERROR('raw-Return'!Y29-Table14[[#This Row],[RF]],"")</f>
        <v>-3.7587787974711302E-2</v>
      </c>
      <c r="Z28" s="6">
        <f>IFERROR('raw-Return'!Z29-Table14[[#This Row],[RF]],"")</f>
        <v>-5.7108587597596523E-2</v>
      </c>
      <c r="AA28" s="6">
        <f>IFERROR('raw-Return'!AA29-Table14[[#This Row],[RF]],"")</f>
        <v>4.1171027248856344E-2</v>
      </c>
      <c r="AB28" s="6">
        <f>IFERROR('raw-Return'!AB29-Table14[[#This Row],[RF]],"")</f>
        <v>1.8920870841824915E-2</v>
      </c>
      <c r="AC28" s="6">
        <f>IFERROR('raw-Return'!AC29-Table14[[#This Row],[RF]],"")</f>
        <v>1.8920870841824915E-2</v>
      </c>
      <c r="AD28" s="6">
        <f>IFERROR('raw-Return'!AD29-Table14[[#This Row],[RF]],"")</f>
        <v>1.3868509380647646E-2</v>
      </c>
      <c r="AE28" s="6">
        <f>IFERROR('raw-Return'!AE29-Table14[[#This Row],[RF]],"")</f>
        <v>1.4336031369617912E-2</v>
      </c>
      <c r="AF28" s="6">
        <f>IFERROR('raw-Return'!AF29-Table14[[#This Row],[RF]],"")</f>
        <v>-3.1889512454295728E-2</v>
      </c>
      <c r="AG28" s="6">
        <f>IFERROR('raw-Return'!AG29-Table14[[#This Row],[RF]],"")</f>
        <v>-3.9947068512143476E-2</v>
      </c>
      <c r="AH28" s="6">
        <f>IFERROR('raw-Return'!AH29-Table14[[#This Row],[RF]],"")</f>
        <v>-6.3261494777466856E-3</v>
      </c>
      <c r="AI28" s="6">
        <f>IFERROR('raw-Return'!AI29-Table14[[#This Row],[RF]],"")</f>
        <v>-5.7414810500903253E-2</v>
      </c>
      <c r="AJ28" s="6">
        <f>IFERROR('raw-Return'!AJ29-Table14[[#This Row],[RF]],"")</f>
        <v>2.673303502140633E-2</v>
      </c>
      <c r="AK28" s="6">
        <f>IFERROR('raw-Return'!AK29-Table14[[#This Row],[RF]],"")</f>
        <v>-2.4024439973572183E-2</v>
      </c>
      <c r="AL28" s="6">
        <f>IFERROR('raw-Return'!AL29-Table14[[#This Row],[RF]],"")</f>
        <v>4.1766807966971069E-2</v>
      </c>
      <c r="AM28" s="6">
        <f>IFERROR('raw-Return'!AM29-Table14[[#This Row],[RF]],"")</f>
        <v>-6.2120953239959212E-3</v>
      </c>
      <c r="AN28" s="6">
        <f>IFERROR('raw-Return'!AN29-Table14[[#This Row],[RF]],"")</f>
        <v>1.8956929526451553E-2</v>
      </c>
      <c r="AO28" s="6">
        <f>IFERROR('raw-Return'!AO29-Table14[[#This Row],[RF]],"")</f>
        <v>-5.7976140300306629E-2</v>
      </c>
      <c r="AP28" s="6">
        <f>IFERROR('raw-Return'!AP29-Table14[[#This Row],[RF]],"")</f>
        <v>-5.7976140300306629E-2</v>
      </c>
      <c r="AQ28" s="6">
        <f>IFERROR('raw-Return'!AQ29-Table14[[#This Row],[RF]],"")</f>
        <v>6.0745758379738828E-2</v>
      </c>
      <c r="AR28" s="6">
        <f>IFERROR('raw-Return'!AR29-Table14[[#This Row],[RF]],"")</f>
        <v>-3.8485917395690857E-2</v>
      </c>
      <c r="AS28" s="6">
        <f>IFERROR('raw-Return'!AS29-Table14[[#This Row],[RF]],"")</f>
        <v>2.4078541940292235E-2</v>
      </c>
      <c r="AT28" s="6">
        <f>IFERROR('raw-Return'!AT29-Table14[[#This Row],[RF]],"")</f>
        <v>-1.8200000000000001E-2</v>
      </c>
      <c r="AU28" s="6">
        <f>IFERROR('raw-Return'!AU29-Table14[[#This Row],[RF]],"")</f>
        <v>-1.8200000000000001E-2</v>
      </c>
      <c r="AV28" s="6">
        <f>IFERROR('raw-Return'!AV29-Table14[[#This Row],[RF]],"")</f>
        <v>-1.8200000000000001E-2</v>
      </c>
    </row>
    <row r="29" spans="1:48" x14ac:dyDescent="0.2">
      <c r="A29" s="2">
        <v>42704</v>
      </c>
      <c r="B29" s="6">
        <f>IFERROR('raw-Return'!B30-Table14[[#This Row],[RF]],"")</f>
        <v>-6.0188942958404074E-2</v>
      </c>
      <c r="C29" s="6">
        <f>IFERROR('raw-Return'!C30-Table14[[#This Row],[RF]],"")</f>
        <v>-8.2069245929518725E-2</v>
      </c>
      <c r="D29" s="6">
        <f>IFERROR('raw-Return'!D30-Table14[[#This Row],[RF]],"")</f>
        <v>-5.9917571341845083E-2</v>
      </c>
      <c r="E29" s="6">
        <f>IFERROR('raw-Return'!E30-Table14[[#This Row],[RF]],"")</f>
        <v>-6.2179664228874693E-2</v>
      </c>
      <c r="F29" s="6">
        <f>IFERROR('raw-Return'!F30-Table14[[#This Row],[RF]],"")</f>
        <v>-5.2437062597751521E-2</v>
      </c>
      <c r="G29" s="6">
        <f>IFERROR('raw-Return'!G30-Table14[[#This Row],[RF]],"")</f>
        <v>-0.11028150034232134</v>
      </c>
      <c r="H29" s="6">
        <f>IFERROR('raw-Return'!H30-Table14[[#This Row],[RF]],"")</f>
        <v>-6.438396161843854E-2</v>
      </c>
      <c r="I29" s="6">
        <f>IFERROR('raw-Return'!I30-Table14[[#This Row],[RF]],"")</f>
        <v>-7.0781209626439884E-2</v>
      </c>
      <c r="J29" s="6">
        <f>IFERROR('raw-Return'!J30-Table14[[#This Row],[RF]],"")</f>
        <v>-5.9125541467885651E-2</v>
      </c>
      <c r="K29" s="6">
        <f>IFERROR('raw-Return'!K30-Table14[[#This Row],[RF]],"")</f>
        <v>-8.9331276949719568E-2</v>
      </c>
      <c r="L29" s="6">
        <f>IFERROR('raw-Return'!L30-Table14[[#This Row],[RF]],"")</f>
        <v>-0.10243602570121693</v>
      </c>
      <c r="M29" s="6">
        <f>IFERROR('raw-Return'!M30-Table14[[#This Row],[RF]],"")</f>
        <v>-7.769301309720103E-2</v>
      </c>
      <c r="N29" s="6">
        <f>IFERROR('raw-Return'!N30-Table14[[#This Row],[RF]],"")</f>
        <v>-5.9985113238261195E-2</v>
      </c>
      <c r="O29" s="6">
        <f>IFERROR('raw-Return'!O30-Table14[[#This Row],[RF]],"")</f>
        <v>-7.6813642102288943E-2</v>
      </c>
      <c r="P29" s="6">
        <f>IFERROR('raw-Return'!P30-Table14[[#This Row],[RF]],"")</f>
        <v>-5.1430146516599523E-2</v>
      </c>
      <c r="Q29" s="6">
        <f>IFERROR('raw-Return'!Q30-Table14[[#This Row],[RF]],"")</f>
        <v>-7.2642048324137704E-2</v>
      </c>
      <c r="R29" s="6">
        <f>IFERROR('raw-Return'!R30-Table14[[#This Row],[RF]],"")</f>
        <v>-6.5552685593133792E-2</v>
      </c>
      <c r="S29" s="6">
        <f>IFERROR('raw-Return'!S30-Table14[[#This Row],[RF]],"")</f>
        <v>-5.9064813832332003E-2</v>
      </c>
      <c r="T29" s="6">
        <f>IFERROR('raw-Return'!T30-Table14[[#This Row],[RF]],"")</f>
        <v>-8.3894356662477493E-2</v>
      </c>
      <c r="U29" s="6">
        <f>IFERROR('raw-Return'!U30-Table14[[#This Row],[RF]],"")</f>
        <v>-9.1400378281409816E-2</v>
      </c>
      <c r="V29" s="6">
        <f>IFERROR('raw-Return'!V30-Table14[[#This Row],[RF]],"")</f>
        <v>-5.03177148430001E-2</v>
      </c>
      <c r="W29" s="6">
        <f>IFERROR('raw-Return'!W30-Table14[[#This Row],[RF]],"")</f>
        <v>-6.7904536283056177E-2</v>
      </c>
      <c r="X29" s="6">
        <f>IFERROR('raw-Return'!X30-Table14[[#This Row],[RF]],"")</f>
        <v>-8.9640002286937387E-2</v>
      </c>
      <c r="Y29" s="6">
        <f>IFERROR('raw-Return'!Y30-Table14[[#This Row],[RF]],"")</f>
        <v>-5.3388387483920968E-2</v>
      </c>
      <c r="Z29" s="6">
        <f>IFERROR('raw-Return'!Z30-Table14[[#This Row],[RF]],"")</f>
        <v>-9.7044895686960647E-2</v>
      </c>
      <c r="AA29" s="6">
        <f>IFERROR('raw-Return'!AA30-Table14[[#This Row],[RF]],"")</f>
        <v>-7.2761924780453874E-2</v>
      </c>
      <c r="AB29" s="6">
        <f>IFERROR('raw-Return'!AB30-Table14[[#This Row],[RF]],"")</f>
        <v>-6.6432598650669555E-2</v>
      </c>
      <c r="AC29" s="6">
        <f>IFERROR('raw-Return'!AC30-Table14[[#This Row],[RF]],"")</f>
        <v>-6.6432598650669555E-2</v>
      </c>
      <c r="AD29" s="6">
        <f>IFERROR('raw-Return'!AD30-Table14[[#This Row],[RF]],"")</f>
        <v>-8.571159067839243E-2</v>
      </c>
      <c r="AE29" s="6">
        <f>IFERROR('raw-Return'!AE30-Table14[[#This Row],[RF]],"")</f>
        <v>-8.4717409231579693E-2</v>
      </c>
      <c r="AF29" s="6">
        <f>IFERROR('raw-Return'!AF30-Table14[[#This Row],[RF]],"")</f>
        <v>-5.7825210722947801E-2</v>
      </c>
      <c r="AG29" s="6">
        <f>IFERROR('raw-Return'!AG30-Table14[[#This Row],[RF]],"")</f>
        <v>-7.8104500861127441E-2</v>
      </c>
      <c r="AH29" s="6">
        <f>IFERROR('raw-Return'!AH30-Table14[[#This Row],[RF]],"")</f>
        <v>-6.8295782736042449E-2</v>
      </c>
      <c r="AI29" s="6">
        <f>IFERROR('raw-Return'!AI30-Table14[[#This Row],[RF]],"")</f>
        <v>-5.7820067252525781E-2</v>
      </c>
      <c r="AJ29" s="6">
        <f>IFERROR('raw-Return'!AJ30-Table14[[#This Row],[RF]],"")</f>
        <v>-7.0572863781789202E-2</v>
      </c>
      <c r="AK29" s="6">
        <f>IFERROR('raw-Return'!AK30-Table14[[#This Row],[RF]],"")</f>
        <v>-4.8388919183641105E-2</v>
      </c>
      <c r="AL29" s="6">
        <f>IFERROR('raw-Return'!AL30-Table14[[#This Row],[RF]],"")</f>
        <v>-5.9511144408669253E-2</v>
      </c>
      <c r="AM29" s="6">
        <f>IFERROR('raw-Return'!AM30-Table14[[#This Row],[RF]],"")</f>
        <v>-7.4618189697597953E-2</v>
      </c>
      <c r="AN29" s="6">
        <f>IFERROR('raw-Return'!AN30-Table14[[#This Row],[RF]],"")</f>
        <v>-6.7411519586699692E-2</v>
      </c>
      <c r="AO29" s="6">
        <f>IFERROR('raw-Return'!AO30-Table14[[#This Row],[RF]],"")</f>
        <v>-6.6064733659443015E-2</v>
      </c>
      <c r="AP29" s="6">
        <f>IFERROR('raw-Return'!AP30-Table14[[#This Row],[RF]],"")</f>
        <v>-6.6064733659443015E-2</v>
      </c>
      <c r="AQ29" s="6">
        <f>IFERROR('raw-Return'!AQ30-Table14[[#This Row],[RF]],"")</f>
        <v>-8.6929099367129253E-2</v>
      </c>
      <c r="AR29" s="6">
        <f>IFERROR('raw-Return'!AR30-Table14[[#This Row],[RF]],"")</f>
        <v>-6.7680786464183657E-2</v>
      </c>
      <c r="AS29" s="6">
        <f>IFERROR('raw-Return'!AS30-Table14[[#This Row],[RF]],"")</f>
        <v>-6.1358528627260572E-2</v>
      </c>
      <c r="AT29" s="6">
        <f>IFERROR('raw-Return'!AT30-Table14[[#This Row],[RF]],"")</f>
        <v>-4.8600000000000004E-2</v>
      </c>
      <c r="AU29" s="6">
        <f>IFERROR('raw-Return'!AU30-Table14[[#This Row],[RF]],"")</f>
        <v>-4.8600000000000004E-2</v>
      </c>
      <c r="AV29" s="6">
        <f>IFERROR('raw-Return'!AV30-Table14[[#This Row],[RF]],"")</f>
        <v>-4.8600000000000004E-2</v>
      </c>
    </row>
    <row r="30" spans="1:48" x14ac:dyDescent="0.2">
      <c r="A30" s="2">
        <v>42674</v>
      </c>
      <c r="B30" s="6">
        <f>IFERROR('raw-Return'!B31-Table14[[#This Row],[RF]],"")</f>
        <v>1.9766594998818724E-2</v>
      </c>
      <c r="C30" s="6">
        <f>IFERROR('raw-Return'!C31-Table14[[#This Row],[RF]],"")</f>
        <v>8.2284410578565871E-3</v>
      </c>
      <c r="D30" s="6">
        <f>IFERROR('raw-Return'!D31-Table14[[#This Row],[RF]],"")</f>
        <v>1.9258291528767794E-2</v>
      </c>
      <c r="E30" s="6">
        <f>IFERROR('raw-Return'!E31-Table14[[#This Row],[RF]],"")</f>
        <v>1.9315718723675549E-2</v>
      </c>
      <c r="F30" s="6">
        <f>IFERROR('raw-Return'!F31-Table14[[#This Row],[RF]],"")</f>
        <v>2.0814009873179721E-2</v>
      </c>
      <c r="G30" s="6">
        <f>IFERROR('raw-Return'!G31-Table14[[#This Row],[RF]],"")</f>
        <v>-9.3353509752370743E-3</v>
      </c>
      <c r="H30" s="6">
        <f>IFERROR('raw-Return'!H31-Table14[[#This Row],[RF]],"")</f>
        <v>1.4283784544785186E-2</v>
      </c>
      <c r="I30" s="6">
        <f>IFERROR('raw-Return'!I31-Table14[[#This Row],[RF]],"")</f>
        <v>2.386531004952586E-2</v>
      </c>
      <c r="J30" s="6">
        <f>IFERROR('raw-Return'!J31-Table14[[#This Row],[RF]],"")</f>
        <v>6.6488432855027514E-3</v>
      </c>
      <c r="K30" s="6">
        <f>IFERROR('raw-Return'!K31-Table14[[#This Row],[RF]],"")</f>
        <v>1.9203472353940824E-2</v>
      </c>
      <c r="L30" s="6">
        <f>IFERROR('raw-Return'!L31-Table14[[#This Row],[RF]],"")</f>
        <v>2.2599420256738782E-2</v>
      </c>
      <c r="M30" s="6">
        <f>IFERROR('raw-Return'!M31-Table14[[#This Row],[RF]],"")</f>
        <v>1.71467288323679E-2</v>
      </c>
      <c r="N30" s="6">
        <f>IFERROR('raw-Return'!N31-Table14[[#This Row],[RF]],"")</f>
        <v>1.9401338360588553E-2</v>
      </c>
      <c r="O30" s="6">
        <f>IFERROR('raw-Return'!O31-Table14[[#This Row],[RF]],"")</f>
        <v>1.2371693373232188E-2</v>
      </c>
      <c r="P30" s="6">
        <f>IFERROR('raw-Return'!P31-Table14[[#This Row],[RF]],"")</f>
        <v>1.8215382827424079E-2</v>
      </c>
      <c r="Q30" s="6">
        <f>IFERROR('raw-Return'!Q31-Table14[[#This Row],[RF]],"")</f>
        <v>3.1856813838470943E-2</v>
      </c>
      <c r="R30" s="6">
        <f>IFERROR('raw-Return'!R31-Table14[[#This Row],[RF]],"")</f>
        <v>3.0222510129558126E-2</v>
      </c>
      <c r="S30" s="6">
        <f>IFERROR('raw-Return'!S31-Table14[[#This Row],[RF]],"")</f>
        <v>2.3364023596108122E-2</v>
      </c>
      <c r="T30" s="6">
        <f>IFERROR('raw-Return'!T31-Table14[[#This Row],[RF]],"")</f>
        <v>2.266763124064353E-2</v>
      </c>
      <c r="U30" s="6">
        <f>IFERROR('raw-Return'!U31-Table14[[#This Row],[RF]],"")</f>
        <v>4.299654845739135E-3</v>
      </c>
      <c r="V30" s="6">
        <f>IFERROR('raw-Return'!V31-Table14[[#This Row],[RF]],"")</f>
        <v>2.1464685489631433E-2</v>
      </c>
      <c r="W30" s="6">
        <f>IFERROR('raw-Return'!W31-Table14[[#This Row],[RF]],"")</f>
        <v>5.7700863904256473E-3</v>
      </c>
      <c r="X30" s="6">
        <f>IFERROR('raw-Return'!X31-Table14[[#This Row],[RF]],"")</f>
        <v>3.1875535614420025E-2</v>
      </c>
      <c r="Y30" s="6">
        <f>IFERROR('raw-Return'!Y31-Table14[[#This Row],[RF]],"")</f>
        <v>2.2213322243534121E-2</v>
      </c>
      <c r="Z30" s="6">
        <f>IFERROR('raw-Return'!Z31-Table14[[#This Row],[RF]],"")</f>
        <v>2.4509688986853021E-2</v>
      </c>
      <c r="AA30" s="6">
        <f>IFERROR('raw-Return'!AA31-Table14[[#This Row],[RF]],"")</f>
        <v>1.9121655570960464E-2</v>
      </c>
      <c r="AB30" s="6">
        <f>IFERROR('raw-Return'!AB31-Table14[[#This Row],[RF]],"")</f>
        <v>1.6278936046245199E-2</v>
      </c>
      <c r="AC30" s="6">
        <f>IFERROR('raw-Return'!AC31-Table14[[#This Row],[RF]],"")</f>
        <v>1.6278936046245199E-2</v>
      </c>
      <c r="AD30" s="6">
        <f>IFERROR('raw-Return'!AD31-Table14[[#This Row],[RF]],"")</f>
        <v>2.087974604131149E-2</v>
      </c>
      <c r="AE30" s="6">
        <f>IFERROR('raw-Return'!AE31-Table14[[#This Row],[RF]],"")</f>
        <v>1.3341984974424518E-2</v>
      </c>
      <c r="AF30" s="6">
        <f>IFERROR('raw-Return'!AF31-Table14[[#This Row],[RF]],"")</f>
        <v>4.6129210044027369E-2</v>
      </c>
      <c r="AG30" s="6">
        <f>IFERROR('raw-Return'!AG31-Table14[[#This Row],[RF]],"")</f>
        <v>4.4133391892895668E-2</v>
      </c>
      <c r="AH30" s="6">
        <f>IFERROR('raw-Return'!AH31-Table14[[#This Row],[RF]],"")</f>
        <v>2.2870521541800585E-2</v>
      </c>
      <c r="AI30" s="6">
        <f>IFERROR('raw-Return'!AI31-Table14[[#This Row],[RF]],"")</f>
        <v>1.2613777369660854E-2</v>
      </c>
      <c r="AJ30" s="6">
        <f>IFERROR('raw-Return'!AJ31-Table14[[#This Row],[RF]],"")</f>
        <v>1.7326695685708663E-2</v>
      </c>
      <c r="AK30" s="6">
        <f>IFERROR('raw-Return'!AK31-Table14[[#This Row],[RF]],"")</f>
        <v>2.8500277901208241E-2</v>
      </c>
      <c r="AL30" s="6">
        <f>IFERROR('raw-Return'!AL31-Table14[[#This Row],[RF]],"")</f>
        <v>9.1757671492865879E-3</v>
      </c>
      <c r="AM30" s="6">
        <f>IFERROR('raw-Return'!AM31-Table14[[#This Row],[RF]],"")</f>
        <v>2.3095281312987218E-2</v>
      </c>
      <c r="AN30" s="6">
        <f>IFERROR('raw-Return'!AN31-Table14[[#This Row],[RF]],"")</f>
        <v>1.606333863036347E-2</v>
      </c>
      <c r="AO30" s="6">
        <f>IFERROR('raw-Return'!AO31-Table14[[#This Row],[RF]],"")</f>
        <v>2.0867944861513225E-2</v>
      </c>
      <c r="AP30" s="6">
        <f>IFERROR('raw-Return'!AP31-Table14[[#This Row],[RF]],"")</f>
        <v>2.0867944861513225E-2</v>
      </c>
      <c r="AQ30" s="6">
        <f>IFERROR('raw-Return'!AQ31-Table14[[#This Row],[RF]],"")</f>
        <v>2.6121358330460257E-2</v>
      </c>
      <c r="AR30" s="6">
        <f>IFERROR('raw-Return'!AR31-Table14[[#This Row],[RF]],"")</f>
        <v>3.1082843483323467E-2</v>
      </c>
      <c r="AS30" s="6">
        <f>IFERROR('raw-Return'!AS31-Table14[[#This Row],[RF]],"")</f>
        <v>9.503343198942197E-3</v>
      </c>
      <c r="AT30" s="6">
        <f>IFERROR('raw-Return'!AT31-Table14[[#This Row],[RF]],"")</f>
        <v>2.0199999999999999E-2</v>
      </c>
      <c r="AU30" s="6">
        <f>IFERROR('raw-Return'!AU31-Table14[[#This Row],[RF]],"")</f>
        <v>2.0199999999999999E-2</v>
      </c>
      <c r="AV30" s="6">
        <f>IFERROR('raw-Return'!AV31-Table14[[#This Row],[RF]],"")</f>
        <v>2.0199999999999999E-2</v>
      </c>
    </row>
    <row r="31" spans="1:48" x14ac:dyDescent="0.2">
      <c r="A31" s="2">
        <v>42643</v>
      </c>
      <c r="B31" s="6">
        <f>IFERROR('raw-Return'!B32-Table14[[#This Row],[RF]],"")</f>
        <v>-9.5994507288519864E-3</v>
      </c>
      <c r="C31" s="6">
        <f>IFERROR('raw-Return'!C32-Table14[[#This Row],[RF]],"")</f>
        <v>-9.1235812193267134E-3</v>
      </c>
      <c r="D31" s="6">
        <f>IFERROR('raw-Return'!D32-Table14[[#This Row],[RF]],"")</f>
        <v>-7.4795169560190593E-3</v>
      </c>
      <c r="E31" s="6">
        <f>IFERROR('raw-Return'!E32-Table14[[#This Row],[RF]],"")</f>
        <v>-2.6292381190060033E-3</v>
      </c>
      <c r="F31" s="6">
        <f>IFERROR('raw-Return'!F32-Table14[[#This Row],[RF]],"")</f>
        <v>-6.4393370697931034E-3</v>
      </c>
      <c r="G31" s="6">
        <f>IFERROR('raw-Return'!G32-Table14[[#This Row],[RF]],"")</f>
        <v>-1.7512487232230697E-2</v>
      </c>
      <c r="H31" s="6">
        <f>IFERROR('raw-Return'!H32-Table14[[#This Row],[RF]],"")</f>
        <v>-1.1294948526424076E-3</v>
      </c>
      <c r="I31" s="6">
        <f>IFERROR('raw-Return'!I32-Table14[[#This Row],[RF]],"")</f>
        <v>-5.5009340814830537E-3</v>
      </c>
      <c r="J31" s="6">
        <f>IFERROR('raw-Return'!J32-Table14[[#This Row],[RF]],"")</f>
        <v>2.8746798977192256E-3</v>
      </c>
      <c r="K31" s="6">
        <f>IFERROR('raw-Return'!K32-Table14[[#This Row],[RF]],"")</f>
        <v>4.4616887720160831E-3</v>
      </c>
      <c r="L31" s="6">
        <f>IFERROR('raw-Return'!L32-Table14[[#This Row],[RF]],"")</f>
        <v>2.6707787539314598E-3</v>
      </c>
      <c r="M31" s="6">
        <f>IFERROR('raw-Return'!M32-Table14[[#This Row],[RF]],"")</f>
        <v>4.7032621832820438E-3</v>
      </c>
      <c r="N31" s="6">
        <f>IFERROR('raw-Return'!N32-Table14[[#This Row],[RF]],"")</f>
        <v>-7.0467738758371295E-3</v>
      </c>
      <c r="O31" s="6">
        <f>IFERROR('raw-Return'!O32-Table14[[#This Row],[RF]],"")</f>
        <v>-4.2254098818759727E-3</v>
      </c>
      <c r="P31" s="6">
        <f>IFERROR('raw-Return'!P32-Table14[[#This Row],[RF]],"")</f>
        <v>-5.0951306944890234E-3</v>
      </c>
      <c r="Q31" s="6">
        <f>IFERROR('raw-Return'!Q32-Table14[[#This Row],[RF]],"")</f>
        <v>1.5158756189025979E-3</v>
      </c>
      <c r="R31" s="6">
        <f>IFERROR('raw-Return'!R32-Table14[[#This Row],[RF]],"")</f>
        <v>4.4549227340255366E-3</v>
      </c>
      <c r="S31" s="6">
        <f>IFERROR('raw-Return'!S32-Table14[[#This Row],[RF]],"")</f>
        <v>-1.0930905953737078E-2</v>
      </c>
      <c r="T31" s="6">
        <f>IFERROR('raw-Return'!T32-Table14[[#This Row],[RF]],"")</f>
        <v>4.3174917181404999E-3</v>
      </c>
      <c r="U31" s="6">
        <f>IFERROR('raw-Return'!U32-Table14[[#This Row],[RF]],"")</f>
        <v>-1.471181331103205E-2</v>
      </c>
      <c r="V31" s="6">
        <f>IFERROR('raw-Return'!V32-Table14[[#This Row],[RF]],"")</f>
        <v>-5.5194271665932031E-3</v>
      </c>
      <c r="W31" s="6">
        <f>IFERROR('raw-Return'!W32-Table14[[#This Row],[RF]],"")</f>
        <v>-2.6117772082985802E-3</v>
      </c>
      <c r="X31" s="6">
        <f>IFERROR('raw-Return'!X32-Table14[[#This Row],[RF]],"")</f>
        <v>-2.1943609357428281E-2</v>
      </c>
      <c r="Y31" s="6">
        <f>IFERROR('raw-Return'!Y32-Table14[[#This Row],[RF]],"")</f>
        <v>-2.3282011602828146E-3</v>
      </c>
      <c r="Z31" s="6">
        <f>IFERROR('raw-Return'!Z32-Table14[[#This Row],[RF]],"")</f>
        <v>-8.0110506398236008E-3</v>
      </c>
      <c r="AA31" s="6">
        <f>IFERROR('raw-Return'!AA32-Table14[[#This Row],[RF]],"")</f>
        <v>6.9012927302833389E-3</v>
      </c>
      <c r="AB31" s="6">
        <f>IFERROR('raw-Return'!AB32-Table14[[#This Row],[RF]],"")</f>
        <v>-1.5461099385770095E-3</v>
      </c>
      <c r="AC31" s="6">
        <f>IFERROR('raw-Return'!AC32-Table14[[#This Row],[RF]],"")</f>
        <v>-1.5461099385770095E-3</v>
      </c>
      <c r="AD31" s="6">
        <f>IFERROR('raw-Return'!AD32-Table14[[#This Row],[RF]],"")</f>
        <v>-9.944875410488772E-3</v>
      </c>
      <c r="AE31" s="6">
        <f>IFERROR('raw-Return'!AE32-Table14[[#This Row],[RF]],"")</f>
        <v>-6.1992639964374818E-2</v>
      </c>
      <c r="AF31" s="6">
        <f>IFERROR('raw-Return'!AF32-Table14[[#This Row],[RF]],"")</f>
        <v>-8.1994867565354573E-4</v>
      </c>
      <c r="AG31" s="6">
        <f>IFERROR('raw-Return'!AG32-Table14[[#This Row],[RF]],"")</f>
        <v>-7.7040423029032783E-3</v>
      </c>
      <c r="AH31" s="6">
        <f>IFERROR('raw-Return'!AH32-Table14[[#This Row],[RF]],"")</f>
        <v>1.2843377375879061E-3</v>
      </c>
      <c r="AI31" s="6">
        <f>IFERROR('raw-Return'!AI32-Table14[[#This Row],[RF]],"")</f>
        <v>-3.4549933731665128E-3</v>
      </c>
      <c r="AJ31" s="6">
        <f>IFERROR('raw-Return'!AJ32-Table14[[#This Row],[RF]],"")</f>
        <v>-4.1686317701389091E-4</v>
      </c>
      <c r="AK31" s="6">
        <f>IFERROR('raw-Return'!AK32-Table14[[#This Row],[RF]],"")</f>
        <v>-6.5275374173436301E-3</v>
      </c>
      <c r="AL31" s="6">
        <f>IFERROR('raw-Return'!AL32-Table14[[#This Row],[RF]],"")</f>
        <v>4.2441797388962938E-3</v>
      </c>
      <c r="AM31" s="6">
        <f>IFERROR('raw-Return'!AM32-Table14[[#This Row],[RF]],"")</f>
        <v>-5.6356364855127388E-3</v>
      </c>
      <c r="AN31" s="6">
        <f>IFERROR('raw-Return'!AN32-Table14[[#This Row],[RF]],"")</f>
        <v>-7.7856797525194038E-4</v>
      </c>
      <c r="AO31" s="6">
        <f>IFERROR('raw-Return'!AO32-Table14[[#This Row],[RF]],"")</f>
        <v>7.6673528774419703E-3</v>
      </c>
      <c r="AP31" s="6">
        <f>IFERROR('raw-Return'!AP32-Table14[[#This Row],[RF]],"")</f>
        <v>7.6673528774419703E-3</v>
      </c>
      <c r="AQ31" s="6">
        <f>IFERROR('raw-Return'!AQ32-Table14[[#This Row],[RF]],"")</f>
        <v>6.1859270994010802E-3</v>
      </c>
      <c r="AR31" s="6">
        <f>IFERROR('raw-Return'!AR32-Table14[[#This Row],[RF]],"")</f>
        <v>2.0708039013485635E-3</v>
      </c>
      <c r="AS31" s="6">
        <f>IFERROR('raw-Return'!AS32-Table14[[#This Row],[RF]],"")</f>
        <v>-5.9224221816473448E-3</v>
      </c>
      <c r="AT31" s="6">
        <f>IFERROR('raw-Return'!AT32-Table14[[#This Row],[RF]],"")</f>
        <v>-2.5000000000000001E-3</v>
      </c>
      <c r="AU31" s="6">
        <f>IFERROR('raw-Return'!AU32-Table14[[#This Row],[RF]],"")</f>
        <v>-2.5000000000000001E-3</v>
      </c>
      <c r="AV31" s="6">
        <f>IFERROR('raw-Return'!AV32-Table14[[#This Row],[RF]],"")</f>
        <v>-2.5000000000000001E-3</v>
      </c>
    </row>
    <row r="32" spans="1:48" x14ac:dyDescent="0.2">
      <c r="A32" s="2">
        <v>42613</v>
      </c>
      <c r="B32" s="6">
        <f>IFERROR('raw-Return'!B33-Table14[[#This Row],[RF]],"")</f>
        <v>-1.7286442120877333E-3</v>
      </c>
      <c r="C32" s="6">
        <f>IFERROR('raw-Return'!C33-Table14[[#This Row],[RF]],"")</f>
        <v>1.9560426559618874E-2</v>
      </c>
      <c r="D32" s="6">
        <f>IFERROR('raw-Return'!D33-Table14[[#This Row],[RF]],"")</f>
        <v>-1.3110246514719216E-3</v>
      </c>
      <c r="E32" s="6">
        <f>IFERROR('raw-Return'!E33-Table14[[#This Row],[RF]],"")</f>
        <v>2.1955104410039715E-3</v>
      </c>
      <c r="F32" s="6">
        <f>IFERROR('raw-Return'!F33-Table14[[#This Row],[RF]],"")</f>
        <v>-4.7318638055605612E-3</v>
      </c>
      <c r="G32" s="6">
        <f>IFERROR('raw-Return'!G33-Table14[[#This Row],[RF]],"")</f>
        <v>2.8523645207931495E-2</v>
      </c>
      <c r="H32" s="6">
        <f>IFERROR('raw-Return'!H33-Table14[[#This Row],[RF]],"")</f>
        <v>3.1641314082737966E-2</v>
      </c>
      <c r="I32" s="6">
        <f>IFERROR('raw-Return'!I33-Table14[[#This Row],[RF]],"")</f>
        <v>4.270740099887383E-2</v>
      </c>
      <c r="J32" s="6">
        <f>IFERROR('raw-Return'!J33-Table14[[#This Row],[RF]],"")</f>
        <v>2.335301567215076E-2</v>
      </c>
      <c r="K32" s="6">
        <f>IFERROR('raw-Return'!K33-Table14[[#This Row],[RF]],"")</f>
        <v>4.5374694384245136E-2</v>
      </c>
      <c r="L32" s="6">
        <f>IFERROR('raw-Return'!L33-Table14[[#This Row],[RF]],"")</f>
        <v>5.048662742201649E-2</v>
      </c>
      <c r="M32" s="6">
        <f>IFERROR('raw-Return'!M33-Table14[[#This Row],[RF]],"")</f>
        <v>4.1116753678215441E-2</v>
      </c>
      <c r="N32" s="6">
        <f>IFERROR('raw-Return'!N33-Table14[[#This Row],[RF]],"")</f>
        <v>2.2615876040988957E-3</v>
      </c>
      <c r="O32" s="6">
        <f>IFERROR('raw-Return'!O33-Table14[[#This Row],[RF]],"")</f>
        <v>1.7046336890131356E-2</v>
      </c>
      <c r="P32" s="6">
        <f>IFERROR('raw-Return'!P33-Table14[[#This Row],[RF]],"")</f>
        <v>-3.9872451273773547E-3</v>
      </c>
      <c r="Q32" s="6">
        <f>IFERROR('raw-Return'!Q33-Table14[[#This Row],[RF]],"")</f>
        <v>3.6615914574153259E-2</v>
      </c>
      <c r="R32" s="6">
        <f>IFERROR('raw-Return'!R33-Table14[[#This Row],[RF]],"")</f>
        <v>3.7442787568561349E-2</v>
      </c>
      <c r="S32" s="6">
        <f>IFERROR('raw-Return'!S33-Table14[[#This Row],[RF]],"")</f>
        <v>-5.7494046065984473E-3</v>
      </c>
      <c r="T32" s="6">
        <f>IFERROR('raw-Return'!T33-Table14[[#This Row],[RF]],"")</f>
        <v>2.9762991488748839E-2</v>
      </c>
      <c r="U32" s="6">
        <f>IFERROR('raw-Return'!U33-Table14[[#This Row],[RF]],"")</f>
        <v>1.3877831375173625E-2</v>
      </c>
      <c r="V32" s="6">
        <f>IFERROR('raw-Return'!V33-Table14[[#This Row],[RF]],"")</f>
        <v>-6.9652156024611013E-3</v>
      </c>
      <c r="W32" s="6">
        <f>IFERROR('raw-Return'!W33-Table14[[#This Row],[RF]],"")</f>
        <v>1.817789420938876E-2</v>
      </c>
      <c r="X32" s="6">
        <f>IFERROR('raw-Return'!X33-Table14[[#This Row],[RF]],"")</f>
        <v>2.4347827060229869E-2</v>
      </c>
      <c r="Y32" s="6">
        <f>IFERROR('raw-Return'!Y33-Table14[[#This Row],[RF]],"")</f>
        <v>-5.1370488298667595E-3</v>
      </c>
      <c r="Z32" s="6">
        <f>IFERROR('raw-Return'!Z33-Table14[[#This Row],[RF]],"")</f>
        <v>3.5320569737328784E-2</v>
      </c>
      <c r="AA32" s="6">
        <f>IFERROR('raw-Return'!AA33-Table14[[#This Row],[RF]],"")</f>
        <v>3.7112142878800276E-2</v>
      </c>
      <c r="AB32" s="6">
        <f>IFERROR('raw-Return'!AB33-Table14[[#This Row],[RF]],"")</f>
        <v>3.1813190129275644E-2</v>
      </c>
      <c r="AC32" s="6">
        <f>IFERROR('raw-Return'!AC33-Table14[[#This Row],[RF]],"")</f>
        <v>3.1813190129275644E-2</v>
      </c>
      <c r="AD32" s="6">
        <f>IFERROR('raw-Return'!AD33-Table14[[#This Row],[RF]],"")</f>
        <v>4.6274392154434525E-2</v>
      </c>
      <c r="AE32" s="6">
        <f>IFERROR('raw-Return'!AE33-Table14[[#This Row],[RF]],"")</f>
        <v>2.2156721636742097E-2</v>
      </c>
      <c r="AF32" s="6">
        <f>IFERROR('raw-Return'!AF33-Table14[[#This Row],[RF]],"")</f>
        <v>5.2387884803790537E-2</v>
      </c>
      <c r="AG32" s="6">
        <f>IFERROR('raw-Return'!AG33-Table14[[#This Row],[RF]],"")</f>
        <v>4.4710055384755594E-2</v>
      </c>
      <c r="AH32" s="6">
        <f>IFERROR('raw-Return'!AH33-Table14[[#This Row],[RF]],"")</f>
        <v>3.6179655468853274E-2</v>
      </c>
      <c r="AI32" s="6">
        <f>IFERROR('raw-Return'!AI33-Table14[[#This Row],[RF]],"")</f>
        <v>-5.9504803350760539E-3</v>
      </c>
      <c r="AJ32" s="6">
        <f>IFERROR('raw-Return'!AJ33-Table14[[#This Row],[RF]],"")</f>
        <v>3.4877977089579855E-2</v>
      </c>
      <c r="AK32" s="6">
        <f>IFERROR('raw-Return'!AK33-Table14[[#This Row],[RF]],"")</f>
        <v>-6.4392790274465607E-3</v>
      </c>
      <c r="AL32" s="6">
        <f>IFERROR('raw-Return'!AL33-Table14[[#This Row],[RF]],"")</f>
        <v>2.3127191434286435E-2</v>
      </c>
      <c r="AM32" s="6">
        <f>IFERROR('raw-Return'!AM33-Table14[[#This Row],[RF]],"")</f>
        <v>4.3139153178540675E-2</v>
      </c>
      <c r="AN32" s="6">
        <f>IFERROR('raw-Return'!AN33-Table14[[#This Row],[RF]],"")</f>
        <v>3.2756602676751297E-2</v>
      </c>
      <c r="AO32" s="6">
        <f>IFERROR('raw-Return'!AO33-Table14[[#This Row],[RF]],"")</f>
        <v>2.2282965578440716E-3</v>
      </c>
      <c r="AP32" s="6">
        <f>IFERROR('raw-Return'!AP33-Table14[[#This Row],[RF]],"")</f>
        <v>2.2282965578440716E-3</v>
      </c>
      <c r="AQ32" s="6">
        <f>IFERROR('raw-Return'!AQ33-Table14[[#This Row],[RF]],"")</f>
        <v>4.8040546473036357E-2</v>
      </c>
      <c r="AR32" s="6">
        <f>IFERROR('raw-Return'!AR33-Table14[[#This Row],[RF]],"")</f>
        <v>4.0152500609822568E-2</v>
      </c>
      <c r="AS32" s="6">
        <f>IFERROR('raw-Return'!AS33-Table14[[#This Row],[RF]],"")</f>
        <v>1.9108189573608384E-2</v>
      </c>
      <c r="AT32" s="6">
        <f>IFERROR('raw-Return'!AT33-Table14[[#This Row],[RF]],"")</f>
        <v>-5.0000000000000001E-3</v>
      </c>
      <c r="AU32" s="6">
        <f>IFERROR('raw-Return'!AU33-Table14[[#This Row],[RF]],"")</f>
        <v>-5.0000000000000001E-3</v>
      </c>
      <c r="AV32" s="6">
        <f>IFERROR('raw-Return'!AV33-Table14[[#This Row],[RF]],"")</f>
        <v>-5.0000000000000001E-3</v>
      </c>
    </row>
    <row r="33" spans="1:48" x14ac:dyDescent="0.2">
      <c r="A33" s="2">
        <v>42582</v>
      </c>
      <c r="B33" s="6">
        <f>IFERROR('raw-Return'!B34-Table14[[#This Row],[RF]],"")</f>
        <v>-1.5818336807039167E-2</v>
      </c>
      <c r="C33" s="6">
        <f>IFERROR('raw-Return'!C34-Table14[[#This Row],[RF]],"")</f>
        <v>8.6911172896969383E-3</v>
      </c>
      <c r="D33" s="6">
        <f>IFERROR('raw-Return'!D34-Table14[[#This Row],[RF]],"")</f>
        <v>-2.1235030247412821E-2</v>
      </c>
      <c r="E33" s="6">
        <f>IFERROR('raw-Return'!E34-Table14[[#This Row],[RF]],"")</f>
        <v>-2.124285662573757E-2</v>
      </c>
      <c r="F33" s="6">
        <f>IFERROR('raw-Return'!F34-Table14[[#This Row],[RF]],"")</f>
        <v>-3.0534718857927599E-2</v>
      </c>
      <c r="G33" s="6">
        <f>IFERROR('raw-Return'!G34-Table14[[#This Row],[RF]],"")</f>
        <v>5.0708575914477506E-2</v>
      </c>
      <c r="H33" s="6">
        <f>IFERROR('raw-Return'!H34-Table14[[#This Row],[RF]],"")</f>
        <v>-4.1741340510090284E-2</v>
      </c>
      <c r="I33" s="6">
        <f>IFERROR('raw-Return'!I34-Table14[[#This Row],[RF]],"")</f>
        <v>-4.9671010727361152E-2</v>
      </c>
      <c r="J33" s="6">
        <f>IFERROR('raw-Return'!J34-Table14[[#This Row],[RF]],"")</f>
        <v>-3.5307782591046298E-2</v>
      </c>
      <c r="K33" s="6">
        <f>IFERROR('raw-Return'!K34-Table14[[#This Row],[RF]],"")</f>
        <v>-3.9072556297605664E-2</v>
      </c>
      <c r="L33" s="6">
        <f>IFERROR('raw-Return'!L34-Table14[[#This Row],[RF]],"")</f>
        <v>-3.7031554551091216E-2</v>
      </c>
      <c r="M33" s="6">
        <f>IFERROR('raw-Return'!M34-Table14[[#This Row],[RF]],"")</f>
        <v>-4.0843044304536689E-2</v>
      </c>
      <c r="N33" s="6">
        <f>IFERROR('raw-Return'!N34-Table14[[#This Row],[RF]],"")</f>
        <v>-1.613772507109492E-2</v>
      </c>
      <c r="O33" s="6">
        <f>IFERROR('raw-Return'!O34-Table14[[#This Row],[RF]],"")</f>
        <v>4.0613777265531073E-3</v>
      </c>
      <c r="P33" s="6">
        <f>IFERROR('raw-Return'!P34-Table14[[#This Row],[RF]],"")</f>
        <v>-2.9025750690991801E-2</v>
      </c>
      <c r="Q33" s="6">
        <f>IFERROR('raw-Return'!Q34-Table14[[#This Row],[RF]],"")</f>
        <v>-7.3415082379992863E-2</v>
      </c>
      <c r="R33" s="6">
        <f>IFERROR('raw-Return'!R34-Table14[[#This Row],[RF]],"")</f>
        <v>-5.9122920893098251E-2</v>
      </c>
      <c r="S33" s="6">
        <f>IFERROR('raw-Return'!S34-Table14[[#This Row],[RF]],"")</f>
        <v>-2.0170002600414037E-2</v>
      </c>
      <c r="T33" s="6">
        <f>IFERROR('raw-Return'!T34-Table14[[#This Row],[RF]],"")</f>
        <v>-9.9182960534416914E-2</v>
      </c>
      <c r="U33" s="6">
        <f>IFERROR('raw-Return'!U34-Table14[[#This Row],[RF]],"")</f>
        <v>2.0027980285156267E-2</v>
      </c>
      <c r="V33" s="6">
        <f>IFERROR('raw-Return'!V34-Table14[[#This Row],[RF]],"")</f>
        <v>-3.2972703332187735E-2</v>
      </c>
      <c r="W33" s="6">
        <f>IFERROR('raw-Return'!W34-Table14[[#This Row],[RF]],"")</f>
        <v>-2.1274716798754055E-2</v>
      </c>
      <c r="X33" s="6">
        <f>IFERROR('raw-Return'!X34-Table14[[#This Row],[RF]],"")</f>
        <v>-2.6170898530715768E-2</v>
      </c>
      <c r="Y33" s="6">
        <f>IFERROR('raw-Return'!Y34-Table14[[#This Row],[RF]],"")</f>
        <v>-3.2131822140077169E-2</v>
      </c>
      <c r="Z33" s="6">
        <f>IFERROR('raw-Return'!Z34-Table14[[#This Row],[RF]],"")</f>
        <v>-3.2581392587432444E-2</v>
      </c>
      <c r="AA33" s="6">
        <f>IFERROR('raw-Return'!AA34-Table14[[#This Row],[RF]],"")</f>
        <v>-4.1743159875001455E-2</v>
      </c>
      <c r="AB33" s="6">
        <f>IFERROR('raw-Return'!AB34-Table14[[#This Row],[RF]],"")</f>
        <v>-4.145653845720456E-2</v>
      </c>
      <c r="AC33" s="6">
        <f>IFERROR('raw-Return'!AC34-Table14[[#This Row],[RF]],"")</f>
        <v>-4.145653845720456E-2</v>
      </c>
      <c r="AD33" s="6">
        <f>IFERROR('raw-Return'!AD34-Table14[[#This Row],[RF]],"")</f>
        <v>-4.667024771487762E-2</v>
      </c>
      <c r="AE33" s="6">
        <f>IFERROR('raw-Return'!AE34-Table14[[#This Row],[RF]],"")</f>
        <v>2.5350122319306313E-2</v>
      </c>
      <c r="AF33" s="6">
        <f>IFERROR('raw-Return'!AF34-Table14[[#This Row],[RF]],"")</f>
        <v>-4.6071816261418673E-2</v>
      </c>
      <c r="AG33" s="6">
        <f>IFERROR('raw-Return'!AG34-Table14[[#This Row],[RF]],"")</f>
        <v>-6.8383043413349692E-2</v>
      </c>
      <c r="AH33" s="6">
        <f>IFERROR('raw-Return'!AH34-Table14[[#This Row],[RF]],"")</f>
        <v>-4.9439566711479331E-2</v>
      </c>
      <c r="AI33" s="6">
        <f>IFERROR('raw-Return'!AI34-Table14[[#This Row],[RF]],"")</f>
        <v>-2.3700655358519861E-2</v>
      </c>
      <c r="AJ33" s="6">
        <f>IFERROR('raw-Return'!AJ34-Table14[[#This Row],[RF]],"")</f>
        <v>-4.1245332558333979E-2</v>
      </c>
      <c r="AK33" s="6">
        <f>IFERROR('raw-Return'!AK34-Table14[[#This Row],[RF]],"")</f>
        <v>-2.9279018432372038E-2</v>
      </c>
      <c r="AL33" s="6">
        <f>IFERROR('raw-Return'!AL34-Table14[[#This Row],[RF]],"")</f>
        <v>-3.4047083033091584E-2</v>
      </c>
      <c r="AM33" s="6">
        <f>IFERROR('raw-Return'!AM34-Table14[[#This Row],[RF]],"")</f>
        <v>-4.9310326360761957E-2</v>
      </c>
      <c r="AN33" s="6">
        <f>IFERROR('raw-Return'!AN34-Table14[[#This Row],[RF]],"")</f>
        <v>-4.147864339594045E-2</v>
      </c>
      <c r="AO33" s="6">
        <f>IFERROR('raw-Return'!AO34-Table14[[#This Row],[RF]],"")</f>
        <v>-3.3671410582730918E-3</v>
      </c>
      <c r="AP33" s="6">
        <f>IFERROR('raw-Return'!AP34-Table14[[#This Row],[RF]],"")</f>
        <v>-3.3671410582730918E-3</v>
      </c>
      <c r="AQ33" s="6">
        <f>IFERROR('raw-Return'!AQ34-Table14[[#This Row],[RF]],"")</f>
        <v>-4.2876273540459885E-2</v>
      </c>
      <c r="AR33" s="6">
        <f>IFERROR('raw-Return'!AR34-Table14[[#This Row],[RF]],"")</f>
        <v>-6.0628414182762679E-2</v>
      </c>
      <c r="AS33" s="6">
        <f>IFERROR('raw-Return'!AS34-Table14[[#This Row],[RF]],"")</f>
        <v>-2.6193458259915613E-2</v>
      </c>
      <c r="AT33" s="6">
        <f>IFERROR('raw-Return'!AT34-Table14[[#This Row],[RF]],"")</f>
        <v>-3.95E-2</v>
      </c>
      <c r="AU33" s="6">
        <f>IFERROR('raw-Return'!AU34-Table14[[#This Row],[RF]],"")</f>
        <v>-3.95E-2</v>
      </c>
      <c r="AV33" s="6">
        <f>IFERROR('raw-Return'!AV34-Table14[[#This Row],[RF]],"")</f>
        <v>-3.95E-2</v>
      </c>
    </row>
    <row r="34" spans="1:48" x14ac:dyDescent="0.2">
      <c r="A34" s="2">
        <v>42551</v>
      </c>
      <c r="B34" s="6">
        <f>IFERROR('raw-Return'!B35-Table14[[#This Row],[RF]],"")</f>
        <v>-3.3702810137901666E-3</v>
      </c>
      <c r="C34" s="6">
        <f>IFERROR('raw-Return'!C35-Table14[[#This Row],[RF]],"")</f>
        <v>-2.1764328799401271E-3</v>
      </c>
      <c r="D34" s="6">
        <f>IFERROR('raw-Return'!D35-Table14[[#This Row],[RF]],"")</f>
        <v>-1.360882183499446E-3</v>
      </c>
      <c r="E34" s="6">
        <f>IFERROR('raw-Return'!E35-Table14[[#This Row],[RF]],"")</f>
        <v>7.1028963306630222E-3</v>
      </c>
      <c r="F34" s="6">
        <f>IFERROR('raw-Return'!F35-Table14[[#This Row],[RF]],"")</f>
        <v>-2.6255535932886991E-3</v>
      </c>
      <c r="G34" s="6">
        <f>IFERROR('raw-Return'!G35-Table14[[#This Row],[RF]],"")</f>
        <v>1.1376318241572758E-2</v>
      </c>
      <c r="H34" s="6">
        <f>IFERROR('raw-Return'!H35-Table14[[#This Row],[RF]],"")</f>
        <v>1.797229484964552E-2</v>
      </c>
      <c r="I34" s="6">
        <f>IFERROR('raw-Return'!I35-Table14[[#This Row],[RF]],"")</f>
        <v>2.3046649631377092E-2</v>
      </c>
      <c r="J34" s="6">
        <f>IFERROR('raw-Return'!J35-Table14[[#This Row],[RF]],"")</f>
        <v>1.3282095632101198E-2</v>
      </c>
      <c r="K34" s="6">
        <f>IFERROR('raw-Return'!K35-Table14[[#This Row],[RF]],"")</f>
        <v>1.941495950137645E-2</v>
      </c>
      <c r="L34" s="6">
        <f>IFERROR('raw-Return'!L35-Table14[[#This Row],[RF]],"")</f>
        <v>2.581753298343209E-2</v>
      </c>
      <c r="M34" s="6">
        <f>IFERROR('raw-Return'!M35-Table14[[#This Row],[RF]],"")</f>
        <v>1.4688023177225784E-2</v>
      </c>
      <c r="N34" s="6">
        <f>IFERROR('raw-Return'!N35-Table14[[#This Row],[RF]],"")</f>
        <v>-1.6574280625084041E-3</v>
      </c>
      <c r="O34" s="6">
        <f>IFERROR('raw-Return'!O35-Table14[[#This Row],[RF]],"")</f>
        <v>-6.3949405968445894E-3</v>
      </c>
      <c r="P34" s="6">
        <f>IFERROR('raw-Return'!P35-Table14[[#This Row],[RF]],"")</f>
        <v>-1.8485679945538518E-3</v>
      </c>
      <c r="Q34" s="6">
        <f>IFERROR('raw-Return'!Q35-Table14[[#This Row],[RF]],"")</f>
        <v>-2.4515544626496082E-3</v>
      </c>
      <c r="R34" s="6">
        <f>IFERROR('raw-Return'!R35-Table14[[#This Row],[RF]],"")</f>
        <v>-7.4827888421619693E-3</v>
      </c>
      <c r="S34" s="6">
        <f>IFERROR('raw-Return'!S35-Table14[[#This Row],[RF]],"")</f>
        <v>-2.7928909786339444E-3</v>
      </c>
      <c r="T34" s="6">
        <f>IFERROR('raw-Return'!T35-Table14[[#This Row],[RF]],"")</f>
        <v>-4.2841659810560206E-3</v>
      </c>
      <c r="U34" s="6">
        <f>IFERROR('raw-Return'!U35-Table14[[#This Row],[RF]],"")</f>
        <v>4.8702505462812629E-3</v>
      </c>
      <c r="V34" s="6">
        <f>IFERROR('raw-Return'!V35-Table14[[#This Row],[RF]],"")</f>
        <v>-1.6322219537782683E-3</v>
      </c>
      <c r="W34" s="6">
        <f>IFERROR('raw-Return'!W35-Table14[[#This Row],[RF]],"")</f>
        <v>9.9947881158198304E-3</v>
      </c>
      <c r="X34" s="6">
        <f>IFERROR('raw-Return'!X35-Table14[[#This Row],[RF]],"")</f>
        <v>8.0907011442550858E-3</v>
      </c>
      <c r="Y34" s="6">
        <f>IFERROR('raw-Return'!Y35-Table14[[#This Row],[RF]],"")</f>
        <v>-5.9727741778031794E-4</v>
      </c>
      <c r="Z34" s="6">
        <f>IFERROR('raw-Return'!Z35-Table14[[#This Row],[RF]],"")</f>
        <v>-1.6736623193146449E-2</v>
      </c>
      <c r="AA34" s="6">
        <f>IFERROR('raw-Return'!AA35-Table14[[#This Row],[RF]],"")</f>
        <v>1.4921294946562524E-2</v>
      </c>
      <c r="AB34" s="6">
        <f>IFERROR('raw-Return'!AB35-Table14[[#This Row],[RF]],"")</f>
        <v>1.8109761533730728E-2</v>
      </c>
      <c r="AC34" s="6">
        <f>IFERROR('raw-Return'!AC35-Table14[[#This Row],[RF]],"")</f>
        <v>1.8109761533730728E-2</v>
      </c>
      <c r="AD34" s="6">
        <f>IFERROR('raw-Return'!AD35-Table14[[#This Row],[RF]],"")</f>
        <v>2.4132499076766012E-2</v>
      </c>
      <c r="AE34" s="6">
        <f>IFERROR('raw-Return'!AE35-Table14[[#This Row],[RF]],"")</f>
        <v>-1.114027428524567E-3</v>
      </c>
      <c r="AF34" s="6">
        <f>IFERROR('raw-Return'!AF35-Table14[[#This Row],[RF]],"")</f>
        <v>1.1154199279142907E-2</v>
      </c>
      <c r="AG34" s="6">
        <f>IFERROR('raw-Return'!AG35-Table14[[#This Row],[RF]],"")</f>
        <v>-3.1330746383220758E-3</v>
      </c>
      <c r="AH34" s="6">
        <f>IFERROR('raw-Return'!AH35-Table14[[#This Row],[RF]],"")</f>
        <v>7.035886021424187E-3</v>
      </c>
      <c r="AI34" s="6">
        <f>IFERROR('raw-Return'!AI35-Table14[[#This Row],[RF]],"")</f>
        <v>1.5002284472381273E-3</v>
      </c>
      <c r="AJ34" s="6">
        <f>IFERROR('raw-Return'!AJ35-Table14[[#This Row],[RF]],"")</f>
        <v>1.7978654199838406E-2</v>
      </c>
      <c r="AK34" s="6">
        <f>IFERROR('raw-Return'!AK35-Table14[[#This Row],[RF]],"")</f>
        <v>-1.1969365640868189E-4</v>
      </c>
      <c r="AL34" s="6">
        <f>IFERROR('raw-Return'!AL35-Table14[[#This Row],[RF]],"")</f>
        <v>1.1149418442755465E-2</v>
      </c>
      <c r="AM34" s="6">
        <f>IFERROR('raw-Return'!AM35-Table14[[#This Row],[RF]],"")</f>
        <v>2.5394245641000179E-2</v>
      </c>
      <c r="AN34" s="6">
        <f>IFERROR('raw-Return'!AN35-Table14[[#This Row],[RF]],"")</f>
        <v>1.7670209284431693E-2</v>
      </c>
      <c r="AO34" s="6">
        <f>IFERROR('raw-Return'!AO35-Table14[[#This Row],[RF]],"")</f>
        <v>-7.0703904725018529E-3</v>
      </c>
      <c r="AP34" s="6">
        <f>IFERROR('raw-Return'!AP35-Table14[[#This Row],[RF]],"")</f>
        <v>-7.0703904725018529E-3</v>
      </c>
      <c r="AQ34" s="6">
        <f>IFERROR('raw-Return'!AQ35-Table14[[#This Row],[RF]],"")</f>
        <v>1.9269829251512827E-2</v>
      </c>
      <c r="AR34" s="6">
        <f>IFERROR('raw-Return'!AR35-Table14[[#This Row],[RF]],"")</f>
        <v>-9.349593340923501E-3</v>
      </c>
      <c r="AS34" s="6">
        <f>IFERROR('raw-Return'!AS35-Table14[[#This Row],[RF]],"")</f>
        <v>1.4422771549120139E-2</v>
      </c>
      <c r="AT34" s="6">
        <f>IFERROR('raw-Return'!AT35-Table14[[#This Row],[RF]],"")</f>
        <v>5.0000000000000001E-4</v>
      </c>
      <c r="AU34" s="6">
        <f>IFERROR('raw-Return'!AU35-Table14[[#This Row],[RF]],"")</f>
        <v>5.0000000000000001E-4</v>
      </c>
      <c r="AV34" s="6">
        <f>IFERROR('raw-Return'!AV35-Table14[[#This Row],[RF]],"")</f>
        <v>5.0000000000000001E-4</v>
      </c>
    </row>
    <row r="35" spans="1:48" x14ac:dyDescent="0.2">
      <c r="A35" s="2">
        <v>42521</v>
      </c>
      <c r="B35" s="6">
        <f>IFERROR('raw-Return'!B36-Table14[[#This Row],[RF]],"")</f>
        <v>-1.7037408459167531E-2</v>
      </c>
      <c r="C35" s="6">
        <f>IFERROR('raw-Return'!C36-Table14[[#This Row],[RF]],"")</f>
        <v>-9.7103689603052663E-3</v>
      </c>
      <c r="D35" s="6">
        <f>IFERROR('raw-Return'!D36-Table14[[#This Row],[RF]],"")</f>
        <v>-1.5754155696722411E-2</v>
      </c>
      <c r="E35" s="6">
        <f>IFERROR('raw-Return'!E36-Table14[[#This Row],[RF]],"")</f>
        <v>-2.1482575048624348E-2</v>
      </c>
      <c r="F35" s="6">
        <f>IFERROR('raw-Return'!F36-Table14[[#This Row],[RF]],"")</f>
        <v>-1.8054371096299777E-2</v>
      </c>
      <c r="G35" s="6">
        <f>IFERROR('raw-Return'!G36-Table14[[#This Row],[RF]],"")</f>
        <v>-2.9082522238938664E-2</v>
      </c>
      <c r="H35" s="6">
        <f>IFERROR('raw-Return'!H36-Table14[[#This Row],[RF]],"")</f>
        <v>-1.3508006955747793E-2</v>
      </c>
      <c r="I35" s="6">
        <f>IFERROR('raw-Return'!I36-Table14[[#This Row],[RF]],"")</f>
        <v>-2.6068217849712434E-2</v>
      </c>
      <c r="J35" s="6">
        <f>IFERROR('raw-Return'!J36-Table14[[#This Row],[RF]],"")</f>
        <v>-3.0308461276064742E-3</v>
      </c>
      <c r="K35" s="6">
        <f>IFERROR('raw-Return'!K36-Table14[[#This Row],[RF]],"")</f>
        <v>-2.4295383881263802E-4</v>
      </c>
      <c r="L35" s="6">
        <f>IFERROR('raw-Return'!L36-Table14[[#This Row],[RF]],"")</f>
        <v>-4.5853272277324893E-3</v>
      </c>
      <c r="M35" s="6">
        <f>IFERROR('raw-Return'!M36-Table14[[#This Row],[RF]],"")</f>
        <v>3.1674661517589291E-3</v>
      </c>
      <c r="N35" s="6">
        <f>IFERROR('raw-Return'!N36-Table14[[#This Row],[RF]],"")</f>
        <v>-1.0584599046228955E-2</v>
      </c>
      <c r="O35" s="6">
        <f>IFERROR('raw-Return'!O36-Table14[[#This Row],[RF]],"")</f>
        <v>1.9822124314765981E-3</v>
      </c>
      <c r="P35" s="6">
        <f>IFERROR('raw-Return'!P36-Table14[[#This Row],[RF]],"")</f>
        <v>-1.5828776908301163E-2</v>
      </c>
      <c r="Q35" s="6">
        <f>IFERROR('raw-Return'!Q36-Table14[[#This Row],[RF]],"")</f>
        <v>5.3215999389073891E-3</v>
      </c>
      <c r="R35" s="6">
        <f>IFERROR('raw-Return'!R36-Table14[[#This Row],[RF]],"")</f>
        <v>2.8214701698441695E-3</v>
      </c>
      <c r="S35" s="6">
        <f>IFERROR('raw-Return'!S36-Table14[[#This Row],[RF]],"")</f>
        <v>-2.0313839238577842E-2</v>
      </c>
      <c r="T35" s="6">
        <f>IFERROR('raw-Return'!T36-Table14[[#This Row],[RF]],"")</f>
        <v>9.7850271435580387E-3</v>
      </c>
      <c r="U35" s="6">
        <f>IFERROR('raw-Return'!U36-Table14[[#This Row],[RF]],"")</f>
        <v>-2.2889712937255353E-2</v>
      </c>
      <c r="V35" s="6">
        <f>IFERROR('raw-Return'!V36-Table14[[#This Row],[RF]],"")</f>
        <v>-1.8131884816522798E-2</v>
      </c>
      <c r="W35" s="6">
        <f>IFERROR('raw-Return'!W36-Table14[[#This Row],[RF]],"")</f>
        <v>-2.0824489165786681E-2</v>
      </c>
      <c r="X35" s="6">
        <f>IFERROR('raw-Return'!X36-Table14[[#This Row],[RF]],"")</f>
        <v>-2.3647740862435436E-3</v>
      </c>
      <c r="Y35" s="6">
        <f>IFERROR('raw-Return'!Y36-Table14[[#This Row],[RF]],"")</f>
        <v>-1.6933873819012308E-2</v>
      </c>
      <c r="Z35" s="6">
        <f>IFERROR('raw-Return'!Z36-Table14[[#This Row],[RF]],"")</f>
        <v>3.1466196094700853E-3</v>
      </c>
      <c r="AA35" s="6">
        <f>IFERROR('raw-Return'!AA36-Table14[[#This Row],[RF]],"")</f>
        <v>-7.9438942315472501E-3</v>
      </c>
      <c r="AB35" s="6">
        <f>IFERROR('raw-Return'!AB36-Table14[[#This Row],[RF]],"")</f>
        <v>-1.4028310731397393E-2</v>
      </c>
      <c r="AC35" s="6">
        <f>IFERROR('raw-Return'!AC36-Table14[[#This Row],[RF]],"")</f>
        <v>-1.4028310731397393E-2</v>
      </c>
      <c r="AD35" s="6">
        <f>IFERROR('raw-Return'!AD36-Table14[[#This Row],[RF]],"")</f>
        <v>-1.7708042115912998E-2</v>
      </c>
      <c r="AE35" s="6">
        <f>IFERROR('raw-Return'!AE36-Table14[[#This Row],[RF]],"")</f>
        <v>-1.9751797283143763E-2</v>
      </c>
      <c r="AF35" s="6">
        <f>IFERROR('raw-Return'!AF36-Table14[[#This Row],[RF]],"")</f>
        <v>-1.3106040955032278E-2</v>
      </c>
      <c r="AG35" s="6">
        <f>IFERROR('raw-Return'!AG36-Table14[[#This Row],[RF]],"")</f>
        <v>1.2266311124226752E-2</v>
      </c>
      <c r="AH35" s="6">
        <f>IFERROR('raw-Return'!AH36-Table14[[#This Row],[RF]],"")</f>
        <v>-7.4011662036081623E-3</v>
      </c>
      <c r="AI35" s="6">
        <f>IFERROR('raw-Return'!AI36-Table14[[#This Row],[RF]],"")</f>
        <v>-1.0530023988374954E-2</v>
      </c>
      <c r="AJ35" s="6">
        <f>IFERROR('raw-Return'!AJ36-Table14[[#This Row],[RF]],"")</f>
        <v>-1.1858398759920747E-2</v>
      </c>
      <c r="AK35" s="6">
        <f>IFERROR('raw-Return'!AK36-Table14[[#This Row],[RF]],"")</f>
        <v>-1.9613169456032937E-2</v>
      </c>
      <c r="AL35" s="6">
        <f>IFERROR('raw-Return'!AL36-Table14[[#This Row],[RF]],"")</f>
        <v>-2.6518593994852742E-3</v>
      </c>
      <c r="AM35" s="6">
        <f>IFERROR('raw-Return'!AM36-Table14[[#This Row],[RF]],"")</f>
        <v>-2.5900746845861262E-2</v>
      </c>
      <c r="AN35" s="6">
        <f>IFERROR('raw-Return'!AN36-Table14[[#This Row],[RF]],"")</f>
        <v>-1.3202461014920803E-2</v>
      </c>
      <c r="AO35" s="6">
        <f>IFERROR('raw-Return'!AO36-Table14[[#This Row],[RF]],"")</f>
        <v>-4.4527069463340015E-3</v>
      </c>
      <c r="AP35" s="6">
        <f>IFERROR('raw-Return'!AP36-Table14[[#This Row],[RF]],"")</f>
        <v>-4.4527069463340015E-3</v>
      </c>
      <c r="AQ35" s="6">
        <f>IFERROR('raw-Return'!AQ36-Table14[[#This Row],[RF]],"")</f>
        <v>-1.7391861756110467E-3</v>
      </c>
      <c r="AR35" s="6">
        <f>IFERROR('raw-Return'!AR36-Table14[[#This Row],[RF]],"")</f>
        <v>3.8324347163465715E-3</v>
      </c>
      <c r="AS35" s="6">
        <f>IFERROR('raw-Return'!AS36-Table14[[#This Row],[RF]],"")</f>
        <v>-1.0533757523376781E-2</v>
      </c>
      <c r="AT35" s="6">
        <f>IFERROR('raw-Return'!AT36-Table14[[#This Row],[RF]],"")</f>
        <v>-1.78E-2</v>
      </c>
      <c r="AU35" s="6">
        <f>IFERROR('raw-Return'!AU36-Table14[[#This Row],[RF]],"")</f>
        <v>-1.78E-2</v>
      </c>
      <c r="AV35" s="6">
        <f>IFERROR('raw-Return'!AV36-Table14[[#This Row],[RF]],"")</f>
        <v>-1.78E-2</v>
      </c>
    </row>
    <row r="36" spans="1:48" x14ac:dyDescent="0.2">
      <c r="A36" s="2">
        <v>42490</v>
      </c>
      <c r="B36" s="6">
        <f>IFERROR('raw-Return'!B37-Table14[[#This Row],[RF]],"")</f>
        <v>1.7051985008368215E-3</v>
      </c>
      <c r="C36" s="6">
        <f>IFERROR('raw-Return'!C37-Table14[[#This Row],[RF]],"")</f>
        <v>1.9886714076430598E-2</v>
      </c>
      <c r="D36" s="6">
        <f>IFERROR('raw-Return'!D37-Table14[[#This Row],[RF]],"")</f>
        <v>-2.5433396803041936E-3</v>
      </c>
      <c r="E36" s="6">
        <f>IFERROR('raw-Return'!E37-Table14[[#This Row],[RF]],"")</f>
        <v>-2.762678036654434E-3</v>
      </c>
      <c r="F36" s="6">
        <f>IFERROR('raw-Return'!F37-Table14[[#This Row],[RF]],"")</f>
        <v>-5.8396296474659964E-3</v>
      </c>
      <c r="G36" s="6">
        <f>IFERROR('raw-Return'!G37-Table14[[#This Row],[RF]],"")</f>
        <v>-1.6656876329851369E-2</v>
      </c>
      <c r="H36" s="6">
        <f>IFERROR('raw-Return'!H37-Table14[[#This Row],[RF]],"")</f>
        <v>4.9541314507049891E-2</v>
      </c>
      <c r="I36" s="6">
        <f>IFERROR('raw-Return'!I37-Table14[[#This Row],[RF]],"")</f>
        <v>5.7227376339224909E-2</v>
      </c>
      <c r="J36" s="6">
        <f>IFERROR('raw-Return'!J37-Table14[[#This Row],[RF]],"")</f>
        <v>4.7226808402896489E-2</v>
      </c>
      <c r="K36" s="6">
        <f>IFERROR('raw-Return'!K37-Table14[[#This Row],[RF]],"")</f>
        <v>7.246514428802385E-2</v>
      </c>
      <c r="L36" s="6">
        <f>IFERROR('raw-Return'!L37-Table14[[#This Row],[RF]],"")</f>
        <v>6.6630135086773609E-2</v>
      </c>
      <c r="M36" s="6">
        <f>IFERROR('raw-Return'!M37-Table14[[#This Row],[RF]],"")</f>
        <v>7.6151362626531424E-2</v>
      </c>
      <c r="N36" s="6">
        <f>IFERROR('raw-Return'!N37-Table14[[#This Row],[RF]],"")</f>
        <v>1.0858241287715273E-2</v>
      </c>
      <c r="O36" s="6">
        <f>IFERROR('raw-Return'!O37-Table14[[#This Row],[RF]],"")</f>
        <v>5.035047116178136E-2</v>
      </c>
      <c r="P36" s="6">
        <f>IFERROR('raw-Return'!P37-Table14[[#This Row],[RF]],"")</f>
        <v>1.0418361384482017E-3</v>
      </c>
      <c r="Q36" s="6">
        <f>IFERROR('raw-Return'!Q37-Table14[[#This Row],[RF]],"")</f>
        <v>5.8082468275151608E-2</v>
      </c>
      <c r="R36" s="6">
        <f>IFERROR('raw-Return'!R37-Table14[[#This Row],[RF]],"")</f>
        <v>7.0535928527122413E-2</v>
      </c>
      <c r="S36" s="6">
        <f>IFERROR('raw-Return'!S37-Table14[[#This Row],[RF]],"")</f>
        <v>-8.3589837697909536E-3</v>
      </c>
      <c r="T36" s="6">
        <f>IFERROR('raw-Return'!T37-Table14[[#This Row],[RF]],"")</f>
        <v>5.5074364569432141E-2</v>
      </c>
      <c r="U36" s="6">
        <f>IFERROR('raw-Return'!U37-Table14[[#This Row],[RF]],"")</f>
        <v>-1.118487833497607E-2</v>
      </c>
      <c r="V36" s="6">
        <f>IFERROR('raw-Return'!V37-Table14[[#This Row],[RF]],"")</f>
        <v>-8.1869794222527853E-3</v>
      </c>
      <c r="W36" s="6">
        <f>IFERROR('raw-Return'!W37-Table14[[#This Row],[RF]],"")</f>
        <v>4.7900408670658132E-2</v>
      </c>
      <c r="X36" s="6" t="str">
        <f>IFERROR('raw-Return'!X37-Table14[[#This Row],[RF]],"")</f>
        <v/>
      </c>
      <c r="Y36" s="6">
        <f>IFERROR('raw-Return'!Y37-Table14[[#This Row],[RF]],"")</f>
        <v>-8.7913641626370526E-3</v>
      </c>
      <c r="Z36" s="6">
        <f>IFERROR('raw-Return'!Z37-Table14[[#This Row],[RF]],"")</f>
        <v>8.0141546008393058E-2</v>
      </c>
      <c r="AA36" s="6">
        <f>IFERROR('raw-Return'!AA37-Table14[[#This Row],[RF]],"")</f>
        <v>6.4526086409423353E-2</v>
      </c>
      <c r="AB36" s="6">
        <f>IFERROR('raw-Return'!AB37-Table14[[#This Row],[RF]],"")</f>
        <v>5.3735155931110209E-2</v>
      </c>
      <c r="AC36" s="6">
        <f>IFERROR('raw-Return'!AC37-Table14[[#This Row],[RF]],"")</f>
        <v>5.3735155931110209E-2</v>
      </c>
      <c r="AD36" s="6">
        <f>IFERROR('raw-Return'!AD37-Table14[[#This Row],[RF]],"")</f>
        <v>7.1447431644233159E-2</v>
      </c>
      <c r="AE36" s="6">
        <f>IFERROR('raw-Return'!AE37-Table14[[#This Row],[RF]],"")</f>
        <v>4.0707827004649352E-2</v>
      </c>
      <c r="AF36" s="6">
        <f>IFERROR('raw-Return'!AF37-Table14[[#This Row],[RF]],"")</f>
        <v>6.5671623529631393E-2</v>
      </c>
      <c r="AG36" s="6">
        <f>IFERROR('raw-Return'!AG37-Table14[[#This Row],[RF]],"")</f>
        <v>6.3689797723636907E-2</v>
      </c>
      <c r="AH36" s="6">
        <f>IFERROR('raw-Return'!AH37-Table14[[#This Row],[RF]],"")</f>
        <v>6.5952503564055895E-2</v>
      </c>
      <c r="AI36" s="6">
        <f>IFERROR('raw-Return'!AI37-Table14[[#This Row],[RF]],"")</f>
        <v>-6.963505402394557E-3</v>
      </c>
      <c r="AJ36" s="6">
        <f>IFERROR('raw-Return'!AJ37-Table14[[#This Row],[RF]],"")</f>
        <v>5.7441388310638705E-2</v>
      </c>
      <c r="AK36" s="6">
        <f>IFERROR('raw-Return'!AK37-Table14[[#This Row],[RF]],"")</f>
        <v>2.7365799160946475E-3</v>
      </c>
      <c r="AL36" s="6">
        <f>IFERROR('raw-Return'!AL37-Table14[[#This Row],[RF]],"")</f>
        <v>5.0916580217544957E-2</v>
      </c>
      <c r="AM36" s="6">
        <f>IFERROR('raw-Return'!AM37-Table14[[#This Row],[RF]],"")</f>
        <v>5.9773995934561883E-2</v>
      </c>
      <c r="AN36" s="6">
        <f>IFERROR('raw-Return'!AN37-Table14[[#This Row],[RF]],"")</f>
        <v>5.4478275575117738E-2</v>
      </c>
      <c r="AO36" s="6">
        <f>IFERROR('raw-Return'!AO37-Table14[[#This Row],[RF]],"")</f>
        <v>1.8356940495992999E-2</v>
      </c>
      <c r="AP36" s="6">
        <f>IFERROR('raw-Return'!AP37-Table14[[#This Row],[RF]],"")</f>
        <v>1.8356940495992999E-2</v>
      </c>
      <c r="AQ36" s="6">
        <f>IFERROR('raw-Return'!AQ37-Table14[[#This Row],[RF]],"")</f>
        <v>6.9494736392311393E-2</v>
      </c>
      <c r="AR36" s="6">
        <f>IFERROR('raw-Return'!AR37-Table14[[#This Row],[RF]],"")</f>
        <v>7.0605675646115404E-2</v>
      </c>
      <c r="AS36" s="6">
        <f>IFERROR('raw-Return'!AS37-Table14[[#This Row],[RF]],"")</f>
        <v>4.970286073272466E-2</v>
      </c>
      <c r="AT36" s="6">
        <f>IFERROR('raw-Return'!AT37-Table14[[#This Row],[RF]],"")</f>
        <v>-9.1999999999999998E-3</v>
      </c>
      <c r="AU36" s="6">
        <f>IFERROR('raw-Return'!AU37-Table14[[#This Row],[RF]],"")</f>
        <v>-9.1999999999999998E-3</v>
      </c>
      <c r="AV36" s="6">
        <f>IFERROR('raw-Return'!AV37-Table14[[#This Row],[RF]],"")</f>
        <v>-9.1999999999999998E-3</v>
      </c>
    </row>
    <row r="37" spans="1:48" x14ac:dyDescent="0.2">
      <c r="A37" s="2">
        <v>42460</v>
      </c>
      <c r="B37" s="6">
        <f>IFERROR('raw-Return'!B38-Table14[[#This Row],[RF]],"")</f>
        <v>-6.0619296807156497E-2</v>
      </c>
      <c r="C37" s="6">
        <f>IFERROR('raw-Return'!C38-Table14[[#This Row],[RF]],"")</f>
        <v>-5.1932546457279405E-2</v>
      </c>
      <c r="D37" s="6">
        <f>IFERROR('raw-Return'!D38-Table14[[#This Row],[RF]],"")</f>
        <v>-6.3138685173946274E-2</v>
      </c>
      <c r="E37" s="6">
        <f>IFERROR('raw-Return'!E38-Table14[[#This Row],[RF]],"")</f>
        <v>-5.7940444025282756E-2</v>
      </c>
      <c r="F37" s="6">
        <f>IFERROR('raw-Return'!F38-Table14[[#This Row],[RF]],"")</f>
        <v>-6.7607990730224166E-2</v>
      </c>
      <c r="G37" s="6">
        <f>IFERROR('raw-Return'!G38-Table14[[#This Row],[RF]],"")</f>
        <v>-2.9142313135622433E-2</v>
      </c>
      <c r="H37" s="6">
        <f>IFERROR('raw-Return'!H38-Table14[[#This Row],[RF]],"")</f>
        <v>-7.0793089704083823E-2</v>
      </c>
      <c r="I37" s="6">
        <f>IFERROR('raw-Return'!I38-Table14[[#This Row],[RF]],"")</f>
        <v>-7.5477126318234111E-2</v>
      </c>
      <c r="J37" s="6">
        <f>IFERROR('raw-Return'!J38-Table14[[#This Row],[RF]],"")</f>
        <v>-7.0661326335338392E-2</v>
      </c>
      <c r="K37" s="6">
        <f>IFERROR('raw-Return'!K38-Table14[[#This Row],[RF]],"")</f>
        <v>-6.1851332385811086E-2</v>
      </c>
      <c r="L37" s="6">
        <f>IFERROR('raw-Return'!L38-Table14[[#This Row],[RF]],"")</f>
        <v>-6.904144550357294E-2</v>
      </c>
      <c r="M37" s="6">
        <f>IFERROR('raw-Return'!M38-Table14[[#This Row],[RF]],"")</f>
        <v>-5.4585419461882556E-2</v>
      </c>
      <c r="N37" s="6">
        <f>IFERROR('raw-Return'!N38-Table14[[#This Row],[RF]],"")</f>
        <v>-6.0971878532865564E-2</v>
      </c>
      <c r="O37" s="6">
        <f>IFERROR('raw-Return'!O38-Table14[[#This Row],[RF]],"")</f>
        <v>-6.267611514371263E-2</v>
      </c>
      <c r="P37" s="6">
        <f>IFERROR('raw-Return'!P38-Table14[[#This Row],[RF]],"")</f>
        <v>-6.8843433701851642E-2</v>
      </c>
      <c r="Q37" s="6">
        <f>IFERROR('raw-Return'!Q38-Table14[[#This Row],[RF]],"")</f>
        <v>-0.10049643745012937</v>
      </c>
      <c r="R37" s="6">
        <f>IFERROR('raw-Return'!R38-Table14[[#This Row],[RF]],"")</f>
        <v>-9.3914057758881841E-2</v>
      </c>
      <c r="S37" s="6">
        <f>IFERROR('raw-Return'!S38-Table14[[#This Row],[RF]],"")</f>
        <v>-6.2746415456725546E-2</v>
      </c>
      <c r="T37" s="6">
        <f>IFERROR('raw-Return'!T38-Table14[[#This Row],[RF]],"")</f>
        <v>-0.10187178672499264</v>
      </c>
      <c r="U37" s="6">
        <f>IFERROR('raw-Return'!U38-Table14[[#This Row],[RF]],"")</f>
        <v>-4.3488458985426637E-2</v>
      </c>
      <c r="V37" s="6">
        <f>IFERROR('raw-Return'!V38-Table14[[#This Row],[RF]],"")</f>
        <v>-6.9156187453851214E-2</v>
      </c>
      <c r="W37" s="6">
        <f>IFERROR('raw-Return'!W38-Table14[[#This Row],[RF]],"")</f>
        <v>-5.8289258843018943E-2</v>
      </c>
      <c r="X37" s="6" t="str">
        <f>IFERROR('raw-Return'!X38-Table14[[#This Row],[RF]],"")</f>
        <v/>
      </c>
      <c r="Y37" s="6">
        <f>IFERROR('raw-Return'!Y38-Table14[[#This Row],[RF]],"")</f>
        <v>-6.8184613470567368E-2</v>
      </c>
      <c r="Z37" s="6">
        <f>IFERROR('raw-Return'!Z38-Table14[[#This Row],[RF]],"")</f>
        <v>-5.9302209824981911E-2</v>
      </c>
      <c r="AA37" s="6">
        <f>IFERROR('raw-Return'!AA38-Table14[[#This Row],[RF]],"")</f>
        <v>-5.6009514164553242E-2</v>
      </c>
      <c r="AB37" s="6">
        <f>IFERROR('raw-Return'!AB38-Table14[[#This Row],[RF]],"")</f>
        <v>-7.176103593809402E-2</v>
      </c>
      <c r="AC37" s="6">
        <f>IFERROR('raw-Return'!AC38-Table14[[#This Row],[RF]],"")</f>
        <v>-7.176103593809402E-2</v>
      </c>
      <c r="AD37" s="6">
        <f>IFERROR('raw-Return'!AD38-Table14[[#This Row],[RF]],"")</f>
        <v>-5.9132082474765757E-2</v>
      </c>
      <c r="AE37" s="6">
        <f>IFERROR('raw-Return'!AE38-Table14[[#This Row],[RF]],"")</f>
        <v>-2.9901482690175007E-2</v>
      </c>
      <c r="AF37" s="6">
        <f>IFERROR('raw-Return'!AF38-Table14[[#This Row],[RF]],"")</f>
        <v>-0.10469107405742839</v>
      </c>
      <c r="AG37" s="6">
        <f>IFERROR('raw-Return'!AG38-Table14[[#This Row],[RF]],"")</f>
        <v>-6.5037581454242877E-2</v>
      </c>
      <c r="AH37" s="6">
        <f>IFERROR('raw-Return'!AH38-Table14[[#This Row],[RF]],"")</f>
        <v>-8.0660361020095328E-2</v>
      </c>
      <c r="AI37" s="6">
        <f>IFERROR('raw-Return'!AI38-Table14[[#This Row],[RF]],"")</f>
        <v>-6.7776827621520153E-2</v>
      </c>
      <c r="AJ37" s="6">
        <f>IFERROR('raw-Return'!AJ38-Table14[[#This Row],[RF]],"")</f>
        <v>-6.9708207861199356E-2</v>
      </c>
      <c r="AK37" s="6">
        <f>IFERROR('raw-Return'!AK38-Table14[[#This Row],[RF]],"")</f>
        <v>-6.7935025816384109E-2</v>
      </c>
      <c r="AL37" s="6">
        <f>IFERROR('raw-Return'!AL38-Table14[[#This Row],[RF]],"")</f>
        <v>-6.8606324106293859E-2</v>
      </c>
      <c r="AM37" s="6">
        <f>IFERROR('raw-Return'!AM38-Table14[[#This Row],[RF]],"")</f>
        <v>-7.3643997800109995E-2</v>
      </c>
      <c r="AN37" s="6">
        <f>IFERROR('raw-Return'!AN38-Table14[[#This Row],[RF]],"")</f>
        <v>-7.0950586329647791E-2</v>
      </c>
      <c r="AO37" s="6">
        <f>IFERROR('raw-Return'!AO38-Table14[[#This Row],[RF]],"")</f>
        <v>-5.4013649022425114E-2</v>
      </c>
      <c r="AP37" s="6">
        <f>IFERROR('raw-Return'!AP38-Table14[[#This Row],[RF]],"")</f>
        <v>-5.4013649022425114E-2</v>
      </c>
      <c r="AQ37" s="6">
        <f>IFERROR('raw-Return'!AQ38-Table14[[#This Row],[RF]],"")</f>
        <v>-6.6192400483139902E-2</v>
      </c>
      <c r="AR37" s="6">
        <f>IFERROR('raw-Return'!AR38-Table14[[#This Row],[RF]],"")</f>
        <v>-9.415372164179503E-2</v>
      </c>
      <c r="AS37" s="6">
        <f>IFERROR('raw-Return'!AS38-Table14[[#This Row],[RF]],"")</f>
        <v>-6.4555925623564714E-2</v>
      </c>
      <c r="AT37" s="6">
        <f>IFERROR('raw-Return'!AT38-Table14[[#This Row],[RF]],"")</f>
        <v>-6.9599999999999995E-2</v>
      </c>
      <c r="AU37" s="6">
        <f>IFERROR('raw-Return'!AU38-Table14[[#This Row],[RF]],"")</f>
        <v>-6.9599999999999995E-2</v>
      </c>
      <c r="AV37" s="6">
        <f>IFERROR('raw-Return'!AV38-Table14[[#This Row],[RF]],"")</f>
        <v>-6.9599999999999995E-2</v>
      </c>
    </row>
    <row r="38" spans="1:48" x14ac:dyDescent="0.2">
      <c r="A38" s="2">
        <v>42429</v>
      </c>
      <c r="B38" s="6">
        <f>IFERROR('raw-Return'!B39-Table14[[#This Row],[RF]],"")</f>
        <v>1.9012354202343561E-2</v>
      </c>
      <c r="C38" s="6">
        <f>IFERROR('raw-Return'!C39-Table14[[#This Row],[RF]],"")</f>
        <v>2.4090092369266035E-2</v>
      </c>
      <c r="D38" s="6">
        <f>IFERROR('raw-Return'!D39-Table14[[#This Row],[RF]],"")</f>
        <v>1.2713938248704114E-2</v>
      </c>
      <c r="E38" s="6">
        <f>IFERROR('raw-Return'!E39-Table14[[#This Row],[RF]],"")</f>
        <v>1.3643928176146757E-2</v>
      </c>
      <c r="F38" s="6">
        <f>IFERROR('raw-Return'!F39-Table14[[#This Row],[RF]],"")</f>
        <v>8.6004139407210509E-3</v>
      </c>
      <c r="G38" s="6">
        <f>IFERROR('raw-Return'!G39-Table14[[#This Row],[RF]],"")</f>
        <v>8.5067278317825762E-2</v>
      </c>
      <c r="H38" s="6">
        <f>IFERROR('raw-Return'!H39-Table14[[#This Row],[RF]],"")</f>
        <v>-4.9031978542228107E-2</v>
      </c>
      <c r="I38" s="6">
        <f>IFERROR('raw-Return'!I39-Table14[[#This Row],[RF]],"")</f>
        <v>-5.5057336955965409E-2</v>
      </c>
      <c r="J38" s="6">
        <f>IFERROR('raw-Return'!J39-Table14[[#This Row],[RF]],"")</f>
        <v>-4.3506246916792758E-2</v>
      </c>
      <c r="K38" s="6">
        <f>IFERROR('raw-Return'!K39-Table14[[#This Row],[RF]],"")</f>
        <v>-7.4850297646404745E-2</v>
      </c>
      <c r="L38" s="6">
        <f>IFERROR('raw-Return'!L39-Table14[[#This Row],[RF]],"")</f>
        <v>-8.9115256952804006E-2</v>
      </c>
      <c r="M38" s="6">
        <f>IFERROR('raw-Return'!M39-Table14[[#This Row],[RF]],"")</f>
        <v>-6.2988784790682401E-2</v>
      </c>
      <c r="N38" s="6">
        <f>IFERROR('raw-Return'!N39-Table14[[#This Row],[RF]],"")</f>
        <v>5.3521405732411481E-3</v>
      </c>
      <c r="O38" s="6">
        <f>IFERROR('raw-Return'!O39-Table14[[#This Row],[RF]],"")</f>
        <v>-3.4192111269420239E-3</v>
      </c>
      <c r="P38" s="6">
        <f>IFERROR('raw-Return'!P39-Table14[[#This Row],[RF]],"")</f>
        <v>2.8939056039481654E-3</v>
      </c>
      <c r="Q38" s="6">
        <f>IFERROR('raw-Return'!Q39-Table14[[#This Row],[RF]],"")</f>
        <v>-5.4564546820694039E-2</v>
      </c>
      <c r="R38" s="6">
        <f>IFERROR('raw-Return'!R39-Table14[[#This Row],[RF]],"")</f>
        <v>-5.5328166697496774E-2</v>
      </c>
      <c r="S38" s="6">
        <f>IFERROR('raw-Return'!S39-Table14[[#This Row],[RF]],"")</f>
        <v>2.3425863058767003E-2</v>
      </c>
      <c r="T38" s="6">
        <f>IFERROR('raw-Return'!T39-Table14[[#This Row],[RF]],"")</f>
        <v>-5.4848182401756519E-2</v>
      </c>
      <c r="U38" s="6">
        <f>IFERROR('raw-Return'!U39-Table14[[#This Row],[RF]],"")</f>
        <v>5.2937784888387039E-2</v>
      </c>
      <c r="V38" s="6">
        <f>IFERROR('raw-Return'!V39-Table14[[#This Row],[RF]],"")</f>
        <v>6.4110053541908902E-3</v>
      </c>
      <c r="W38" s="6">
        <f>IFERROR('raw-Return'!W39-Table14[[#This Row],[RF]],"")</f>
        <v>-2.2160413829857818E-2</v>
      </c>
      <c r="X38" s="6" t="str">
        <f>IFERROR('raw-Return'!X39-Table14[[#This Row],[RF]],"")</f>
        <v/>
      </c>
      <c r="Y38" s="6">
        <f>IFERROR('raw-Return'!Y39-Table14[[#This Row],[RF]],"")</f>
        <v>1.3007453608769502E-2</v>
      </c>
      <c r="Z38" s="6">
        <f>IFERROR('raw-Return'!Z39-Table14[[#This Row],[RF]],"")</f>
        <v>-4.779901249276889E-2</v>
      </c>
      <c r="AA38" s="6">
        <f>IFERROR('raw-Return'!AA39-Table14[[#This Row],[RF]],"")</f>
        <v>-6.7926278388300482E-2</v>
      </c>
      <c r="AB38" s="6">
        <f>IFERROR('raw-Return'!AB39-Table14[[#This Row],[RF]],"")</f>
        <v>-4.8498101919401328E-2</v>
      </c>
      <c r="AC38" s="6">
        <f>IFERROR('raw-Return'!AC39-Table14[[#This Row],[RF]],"")</f>
        <v>-4.8498101919401328E-2</v>
      </c>
      <c r="AD38" s="6">
        <f>IFERROR('raw-Return'!AD39-Table14[[#This Row],[RF]],"")</f>
        <v>-7.8413630471422274E-2</v>
      </c>
      <c r="AE38" s="6">
        <f>IFERROR('raw-Return'!AE39-Table14[[#This Row],[RF]],"")</f>
        <v>1.2967306583988668E-2</v>
      </c>
      <c r="AF38" s="6">
        <f>IFERROR('raw-Return'!AF39-Table14[[#This Row],[RF]],"")</f>
        <v>-5.8978234471621128E-2</v>
      </c>
      <c r="AG38" s="6">
        <f>IFERROR('raw-Return'!AG39-Table14[[#This Row],[RF]],"")</f>
        <v>-6.6261364968625031E-2</v>
      </c>
      <c r="AH38" s="6">
        <f>IFERROR('raw-Return'!AH39-Table14[[#This Row],[RF]],"")</f>
        <v>-5.7956306263621728E-2</v>
      </c>
      <c r="AI38" s="6">
        <f>IFERROR('raw-Return'!AI39-Table14[[#This Row],[RF]],"")</f>
        <v>5.6687728403822185E-3</v>
      </c>
      <c r="AJ38" s="6">
        <f>IFERROR('raw-Return'!AJ39-Table14[[#This Row],[RF]],"")</f>
        <v>-5.643915312191098E-2</v>
      </c>
      <c r="AK38" s="6">
        <f>IFERROR('raw-Return'!AK39-Table14[[#This Row],[RF]],"")</f>
        <v>3.1707464938811264E-3</v>
      </c>
      <c r="AL38" s="6">
        <f>IFERROR('raw-Return'!AL39-Table14[[#This Row],[RF]],"")</f>
        <v>-4.6887965711650138E-2</v>
      </c>
      <c r="AM38" s="6">
        <f>IFERROR('raw-Return'!AM39-Table14[[#This Row],[RF]],"")</f>
        <v>-5.9482172697551995E-2</v>
      </c>
      <c r="AN38" s="6">
        <f>IFERROR('raw-Return'!AN39-Table14[[#This Row],[RF]],"")</f>
        <v>-5.2989180634487355E-2</v>
      </c>
      <c r="AO38" s="6">
        <f>IFERROR('raw-Return'!AO39-Table14[[#This Row],[RF]],"")</f>
        <v>-2.4242420251923474E-3</v>
      </c>
      <c r="AP38" s="6">
        <f>IFERROR('raw-Return'!AP39-Table14[[#This Row],[RF]],"")</f>
        <v>-2.4242420251923474E-3</v>
      </c>
      <c r="AQ38" s="6">
        <f>IFERROR('raw-Return'!AQ39-Table14[[#This Row],[RF]],"")</f>
        <v>-8.6414548510747841E-2</v>
      </c>
      <c r="AR38" s="6">
        <f>IFERROR('raw-Return'!AR39-Table14[[#This Row],[RF]],"")</f>
        <v>-5.3885594746361599E-2</v>
      </c>
      <c r="AS38" s="6">
        <f>IFERROR('raw-Return'!AS39-Table14[[#This Row],[RF]],"")</f>
        <v>-2.7437530365009323E-2</v>
      </c>
      <c r="AT38" s="6">
        <f>IFERROR('raw-Return'!AT39-Table14[[#This Row],[RF]],"")</f>
        <v>7.000000000000001E-4</v>
      </c>
      <c r="AU38" s="6">
        <f>IFERROR('raw-Return'!AU39-Table14[[#This Row],[RF]],"")</f>
        <v>7.000000000000001E-4</v>
      </c>
      <c r="AV38" s="6">
        <f>IFERROR('raw-Return'!AV39-Table14[[#This Row],[RF]],"")</f>
        <v>7.000000000000001E-4</v>
      </c>
    </row>
    <row r="39" spans="1:48" x14ac:dyDescent="0.2">
      <c r="A39" s="2">
        <v>42400</v>
      </c>
      <c r="B39" s="6">
        <f>IFERROR('raw-Return'!B40-Table14[[#This Row],[RF]],"")</f>
        <v>4.4300646478689164E-2</v>
      </c>
      <c r="C39" s="6">
        <f>IFERROR('raw-Return'!C40-Table14[[#This Row],[RF]],"")</f>
        <v>3.7610152407686635E-2</v>
      </c>
      <c r="D39" s="6">
        <f>IFERROR('raw-Return'!D40-Table14[[#This Row],[RF]],"")</f>
        <v>5.1008383014414703E-2</v>
      </c>
      <c r="E39" s="6">
        <f>IFERROR('raw-Return'!E40-Table14[[#This Row],[RF]],"")</f>
        <v>5.1657058293496337E-2</v>
      </c>
      <c r="F39" s="6">
        <f>IFERROR('raw-Return'!F40-Table14[[#This Row],[RF]],"")</f>
        <v>5.3339280087697526E-2</v>
      </c>
      <c r="G39" s="6">
        <f>IFERROR('raw-Return'!G40-Table14[[#This Row],[RF]],"")</f>
        <v>3.1127728443113421E-2</v>
      </c>
      <c r="H39" s="6">
        <f>IFERROR('raw-Return'!H40-Table14[[#This Row],[RF]],"")</f>
        <v>3.5671461075988863E-2</v>
      </c>
      <c r="I39" s="6">
        <f>IFERROR('raw-Return'!I40-Table14[[#This Row],[RF]],"")</f>
        <v>2.8697610768694391E-2</v>
      </c>
      <c r="J39" s="6">
        <f>IFERROR('raw-Return'!J40-Table14[[#This Row],[RF]],"")</f>
        <v>4.3503493414776905E-2</v>
      </c>
      <c r="K39" s="6">
        <f>IFERROR('raw-Return'!K40-Table14[[#This Row],[RF]],"")</f>
        <v>1.0306726883805982E-2</v>
      </c>
      <c r="L39" s="6">
        <f>IFERROR('raw-Return'!L40-Table14[[#This Row],[RF]],"")</f>
        <v>1.9505292661330741E-2</v>
      </c>
      <c r="M39" s="6">
        <f>IFERROR('raw-Return'!M40-Table14[[#This Row],[RF]],"")</f>
        <v>1.6454730651981539E-3</v>
      </c>
      <c r="N39" s="6">
        <f>IFERROR('raw-Return'!N40-Table14[[#This Row],[RF]],"")</f>
        <v>4.4911605234948658E-2</v>
      </c>
      <c r="O39" s="6">
        <f>IFERROR('raw-Return'!O40-Table14[[#This Row],[RF]],"")</f>
        <v>3.6950761088076066E-2</v>
      </c>
      <c r="P39" s="6">
        <f>IFERROR('raw-Return'!P40-Table14[[#This Row],[RF]],"")</f>
        <v>5.0742029066224624E-2</v>
      </c>
      <c r="Q39" s="6">
        <f>IFERROR('raw-Return'!Q40-Table14[[#This Row],[RF]],"")</f>
        <v>3.0365051519246976E-2</v>
      </c>
      <c r="R39" s="6">
        <f>IFERROR('raw-Return'!R40-Table14[[#This Row],[RF]],"")</f>
        <v>2.4943282458702386E-2</v>
      </c>
      <c r="S39" s="6">
        <f>IFERROR('raw-Return'!S40-Table14[[#This Row],[RF]],"")</f>
        <v>5.2450567282644099E-2</v>
      </c>
      <c r="T39" s="6">
        <f>IFERROR('raw-Return'!T40-Table14[[#This Row],[RF]],"")</f>
        <v>2.7606275393348277E-2</v>
      </c>
      <c r="U39" s="6">
        <f>IFERROR('raw-Return'!U40-Table14[[#This Row],[RF]],"")</f>
        <v>5.0548040179663099E-2</v>
      </c>
      <c r="V39" s="6">
        <f>IFERROR('raw-Return'!V40-Table14[[#This Row],[RF]],"")</f>
        <v>5.5244551386451811E-2</v>
      </c>
      <c r="W39" s="6">
        <f>IFERROR('raw-Return'!W40-Table14[[#This Row],[RF]],"")</f>
        <v>4.2987008692110827E-2</v>
      </c>
      <c r="X39" s="6" t="str">
        <f>IFERROR('raw-Return'!X40-Table14[[#This Row],[RF]],"")</f>
        <v/>
      </c>
      <c r="Y39" s="6">
        <f>IFERROR('raw-Return'!Y40-Table14[[#This Row],[RF]],"")</f>
        <v>5.0963285925640721E-2</v>
      </c>
      <c r="Z39" s="6">
        <f>IFERROR('raw-Return'!Z40-Table14[[#This Row],[RF]],"")</f>
        <v>3.4724091778202702E-2</v>
      </c>
      <c r="AA39" s="6">
        <f>IFERROR('raw-Return'!AA40-Table14[[#This Row],[RF]],"")</f>
        <v>2.2997154221542825E-2</v>
      </c>
      <c r="AB39" s="6">
        <f>IFERROR('raw-Return'!AB40-Table14[[#This Row],[RF]],"")</f>
        <v>3.4660007307531514E-2</v>
      </c>
      <c r="AC39" s="6">
        <f>IFERROR('raw-Return'!AC40-Table14[[#This Row],[RF]],"")</f>
        <v>3.4660007307531514E-2</v>
      </c>
      <c r="AD39" s="6">
        <f>IFERROR('raw-Return'!AD40-Table14[[#This Row],[RF]],"")</f>
        <v>2.8582441235320853E-2</v>
      </c>
      <c r="AE39" s="6">
        <f>IFERROR('raw-Return'!AE40-Table14[[#This Row],[RF]],"")</f>
        <v>4.6402790385677316E-2</v>
      </c>
      <c r="AF39" s="6">
        <f>IFERROR('raw-Return'!AF40-Table14[[#This Row],[RF]],"")</f>
        <v>3.8662217835931621E-2</v>
      </c>
      <c r="AG39" s="6">
        <f>IFERROR('raw-Return'!AG40-Table14[[#This Row],[RF]],"")</f>
        <v>3.3621554797498863E-2</v>
      </c>
      <c r="AH39" s="6">
        <f>IFERROR('raw-Return'!AH40-Table14[[#This Row],[RF]],"")</f>
        <v>2.9488976164940749E-2</v>
      </c>
      <c r="AI39" s="6">
        <f>IFERROR('raw-Return'!AI40-Table14[[#This Row],[RF]],"")</f>
        <v>6.6887934979700386E-2</v>
      </c>
      <c r="AJ39" s="6">
        <f>IFERROR('raw-Return'!AJ40-Table14[[#This Row],[RF]],"")</f>
        <v>3.0911721929349566E-2</v>
      </c>
      <c r="AK39" s="6">
        <f>IFERROR('raw-Return'!AK40-Table14[[#This Row],[RF]],"")</f>
        <v>5.8111960724066013E-2</v>
      </c>
      <c r="AL39" s="6">
        <f>IFERROR('raw-Return'!AL40-Table14[[#This Row],[RF]],"")</f>
        <v>3.9038410458666316E-2</v>
      </c>
      <c r="AM39" s="6">
        <f>IFERROR('raw-Return'!AM40-Table14[[#This Row],[RF]],"")</f>
        <v>2.9893752205296907E-2</v>
      </c>
      <c r="AN39" s="6">
        <f>IFERROR('raw-Return'!AN40-Table14[[#This Row],[RF]],"")</f>
        <v>3.5035032954994903E-2</v>
      </c>
      <c r="AO39" s="6">
        <f>IFERROR('raw-Return'!AO40-Table14[[#This Row],[RF]],"")</f>
        <v>3.3460838691999471E-2</v>
      </c>
      <c r="AP39" s="6">
        <f>IFERROR('raw-Return'!AP40-Table14[[#This Row],[RF]],"")</f>
        <v>3.3460838691999471E-2</v>
      </c>
      <c r="AQ39" s="6">
        <f>IFERROR('raw-Return'!AQ40-Table14[[#This Row],[RF]],"")</f>
        <v>1.4547765235071751E-2</v>
      </c>
      <c r="AR39" s="6">
        <f>IFERROR('raw-Return'!AR40-Table14[[#This Row],[RF]],"")</f>
        <v>2.8445131272039979E-2</v>
      </c>
      <c r="AS39" s="6">
        <f>IFERROR('raw-Return'!AS40-Table14[[#This Row],[RF]],"")</f>
        <v>3.8313195150110911E-2</v>
      </c>
      <c r="AT39" s="6">
        <f>IFERROR('raw-Return'!AT40-Table14[[#This Row],[RF]],"")</f>
        <v>5.7699999999999994E-2</v>
      </c>
      <c r="AU39" s="6">
        <f>IFERROR('raw-Return'!AU40-Table14[[#This Row],[RF]],"")</f>
        <v>5.7699999999999994E-2</v>
      </c>
      <c r="AV39" s="6">
        <f>IFERROR('raw-Return'!AV40-Table14[[#This Row],[RF]],"")</f>
        <v>5.7699999999999994E-2</v>
      </c>
    </row>
    <row r="40" spans="1:48" x14ac:dyDescent="0.2">
      <c r="A40" s="2">
        <v>42369</v>
      </c>
      <c r="B40" s="6">
        <f>IFERROR('raw-Return'!B41-Table14[[#This Row],[RF]],"")</f>
        <v>1.5580182908617238E-2</v>
      </c>
      <c r="C40" s="6">
        <f>IFERROR('raw-Return'!C41-Table14[[#This Row],[RF]],"")</f>
        <v>9.7715399770152457E-3</v>
      </c>
      <c r="D40" s="6">
        <f>IFERROR('raw-Return'!D41-Table14[[#This Row],[RF]],"")</f>
        <v>1.5756828588651187E-2</v>
      </c>
      <c r="E40" s="6">
        <f>IFERROR('raw-Return'!E41-Table14[[#This Row],[RF]],"")</f>
        <v>2.2108216911913284E-2</v>
      </c>
      <c r="F40" s="6">
        <f>IFERROR('raw-Return'!F41-Table14[[#This Row],[RF]],"")</f>
        <v>1.7769453407624428E-2</v>
      </c>
      <c r="G40" s="6">
        <f>IFERROR('raw-Return'!G41-Table14[[#This Row],[RF]],"")</f>
        <v>7.4212421728489554E-3</v>
      </c>
      <c r="H40" s="6">
        <f>IFERROR('raw-Return'!H41-Table14[[#This Row],[RF]],"")</f>
        <v>2.5816940479480303E-2</v>
      </c>
      <c r="I40" s="6">
        <f>IFERROR('raw-Return'!I41-Table14[[#This Row],[RF]],"")</f>
        <v>2.3216892156966155E-2</v>
      </c>
      <c r="J40" s="6">
        <f>IFERROR('raw-Return'!J41-Table14[[#This Row],[RF]],"")</f>
        <v>2.7223876597654632E-2</v>
      </c>
      <c r="K40" s="6">
        <f>IFERROR('raw-Return'!K41-Table14[[#This Row],[RF]],"")</f>
        <v>3.9838063881119712E-2</v>
      </c>
      <c r="L40" s="6">
        <f>IFERROR('raw-Return'!L41-Table14[[#This Row],[RF]],"")</f>
        <v>4.5914507062486842E-2</v>
      </c>
      <c r="M40" s="6">
        <f>IFERROR('raw-Return'!M41-Table14[[#This Row],[RF]],"")</f>
        <v>3.4840634240824675E-2</v>
      </c>
      <c r="N40" s="6">
        <f>IFERROR('raw-Return'!N41-Table14[[#This Row],[RF]],"")</f>
        <v>1.8891283156934616E-2</v>
      </c>
      <c r="O40" s="6">
        <f>IFERROR('raw-Return'!O41-Table14[[#This Row],[RF]],"")</f>
        <v>1.539620320466201E-2</v>
      </c>
      <c r="P40" s="6">
        <f>IFERROR('raw-Return'!P41-Table14[[#This Row],[RF]],"")</f>
        <v>1.9936842646897161E-2</v>
      </c>
      <c r="Q40" s="6">
        <f>IFERROR('raw-Return'!Q41-Table14[[#This Row],[RF]],"")</f>
        <v>1.4082373414593567E-2</v>
      </c>
      <c r="R40" s="6">
        <f>IFERROR('raw-Return'!R41-Table14[[#This Row],[RF]],"")</f>
        <v>8.4870680632876429E-3</v>
      </c>
      <c r="S40" s="6">
        <f>IFERROR('raw-Return'!S41-Table14[[#This Row],[RF]],"")</f>
        <v>1.6256448605231292E-2</v>
      </c>
      <c r="T40" s="6">
        <f>IFERROR('raw-Return'!T41-Table14[[#This Row],[RF]],"")</f>
        <v>9.195667685300727E-3</v>
      </c>
      <c r="U40" s="6">
        <f>IFERROR('raw-Return'!U41-Table14[[#This Row],[RF]],"")</f>
        <v>1.0982069648975249E-2</v>
      </c>
      <c r="V40" s="6">
        <f>IFERROR('raw-Return'!V41-Table14[[#This Row],[RF]],"")</f>
        <v>1.8905147662538428E-2</v>
      </c>
      <c r="W40" s="6">
        <f>IFERROR('raw-Return'!W41-Table14[[#This Row],[RF]],"")</f>
        <v>2.4350614165457422E-2</v>
      </c>
      <c r="X40" s="6" t="str">
        <f>IFERROR('raw-Return'!X41-Table14[[#This Row],[RF]],"")</f>
        <v/>
      </c>
      <c r="Y40" s="6">
        <f>IFERROR('raw-Return'!Y41-Table14[[#This Row],[RF]],"")</f>
        <v>1.7963025215288978E-2</v>
      </c>
      <c r="Z40" s="6">
        <f>IFERROR('raw-Return'!Z41-Table14[[#This Row],[RF]],"")</f>
        <v>-1.6098404801655995E-3</v>
      </c>
      <c r="AA40" s="6">
        <f>IFERROR('raw-Return'!AA41-Table14[[#This Row],[RF]],"")</f>
        <v>2.7916417766236937E-2</v>
      </c>
      <c r="AB40" s="6">
        <f>IFERROR('raw-Return'!AB41-Table14[[#This Row],[RF]],"")</f>
        <v>2.5924619576166378E-2</v>
      </c>
      <c r="AC40" s="6">
        <f>IFERROR('raw-Return'!AC41-Table14[[#This Row],[RF]],"")</f>
        <v>2.5924619576166378E-2</v>
      </c>
      <c r="AD40" s="6">
        <f>IFERROR('raw-Return'!AD41-Table14[[#This Row],[RF]],"")</f>
        <v>2.1499647094615219E-2</v>
      </c>
      <c r="AE40" s="6">
        <f>IFERROR('raw-Return'!AE41-Table14[[#This Row],[RF]],"")</f>
        <v>1.1561081774638497E-2</v>
      </c>
      <c r="AF40" s="6">
        <f>IFERROR('raw-Return'!AF41-Table14[[#This Row],[RF]],"")</f>
        <v>2.2061904699237137E-2</v>
      </c>
      <c r="AG40" s="6">
        <f>IFERROR('raw-Return'!AG41-Table14[[#This Row],[RF]],"")</f>
        <v>2.3815931745536815E-2</v>
      </c>
      <c r="AH40" s="6">
        <f>IFERROR('raw-Return'!AH41-Table14[[#This Row],[RF]],"")</f>
        <v>2.0932695626381951E-2</v>
      </c>
      <c r="AI40" s="6">
        <f>IFERROR('raw-Return'!AI41-Table14[[#This Row],[RF]],"")</f>
        <v>2.3850345697523593E-2</v>
      </c>
      <c r="AJ40" s="6">
        <f>IFERROR('raw-Return'!AJ41-Table14[[#This Row],[RF]],"")</f>
        <v>2.7690856609412676E-2</v>
      </c>
      <c r="AK40" s="6">
        <f>IFERROR('raw-Return'!AK41-Table14[[#This Row],[RF]],"")</f>
        <v>1.9838784472605068E-2</v>
      </c>
      <c r="AL40" s="6">
        <f>IFERROR('raw-Return'!AL41-Table14[[#This Row],[RF]],"")</f>
        <v>2.7158751146670605E-2</v>
      </c>
      <c r="AM40" s="6">
        <f>IFERROR('raw-Return'!AM41-Table14[[#This Row],[RF]],"")</f>
        <v>2.3231866641863112E-2</v>
      </c>
      <c r="AN40" s="6">
        <f>IFERROR('raw-Return'!AN41-Table14[[#This Row],[RF]],"")</f>
        <v>2.5120204220038415E-2</v>
      </c>
      <c r="AO40" s="6">
        <f>IFERROR('raw-Return'!AO41-Table14[[#This Row],[RF]],"")</f>
        <v>1.9730558599571572E-2</v>
      </c>
      <c r="AP40" s="6">
        <f>IFERROR('raw-Return'!AP41-Table14[[#This Row],[RF]],"")</f>
        <v>1.9730558599571572E-2</v>
      </c>
      <c r="AQ40" s="6">
        <f>IFERROR('raw-Return'!AQ41-Table14[[#This Row],[RF]],"")</f>
        <v>3.8168885521770279E-2</v>
      </c>
      <c r="AR40" s="6">
        <f>IFERROR('raw-Return'!AR41-Table14[[#This Row],[RF]],"")</f>
        <v>8.5249991399437043E-3</v>
      </c>
      <c r="AS40" s="6">
        <f>IFERROR('raw-Return'!AS41-Table14[[#This Row],[RF]],"")</f>
        <v>2.3900954880793083E-2</v>
      </c>
      <c r="AT40" s="6">
        <f>IFERROR('raw-Return'!AT41-Table14[[#This Row],[RF]],"")</f>
        <v>2.1700000000000001E-2</v>
      </c>
      <c r="AU40" s="6">
        <f>IFERROR('raw-Return'!AU41-Table14[[#This Row],[RF]],"")</f>
        <v>2.1700000000000001E-2</v>
      </c>
      <c r="AV40" s="6">
        <f>IFERROR('raw-Return'!AV41-Table14[[#This Row],[RF]],"")</f>
        <v>2.1700000000000001E-2</v>
      </c>
    </row>
    <row r="41" spans="1:48" x14ac:dyDescent="0.2">
      <c r="A41" s="2">
        <v>42338</v>
      </c>
      <c r="B41" s="6">
        <f>IFERROR('raw-Return'!B42-Table14[[#This Row],[RF]],"")</f>
        <v>-7.1874314279834553E-3</v>
      </c>
      <c r="C41" s="6">
        <f>IFERROR('raw-Return'!C42-Table14[[#This Row],[RF]],"")</f>
        <v>-2.0397260666495456E-3</v>
      </c>
      <c r="D41" s="6">
        <f>IFERROR('raw-Return'!D42-Table14[[#This Row],[RF]],"")</f>
        <v>-7.3242061157441987E-3</v>
      </c>
      <c r="E41" s="6">
        <f>IFERROR('raw-Return'!E42-Table14[[#This Row],[RF]],"")</f>
        <v>-7.7639414584668859E-4</v>
      </c>
      <c r="F41" s="6">
        <f>IFERROR('raw-Return'!F42-Table14[[#This Row],[RF]],"")</f>
        <v>-7.5049917401430258E-3</v>
      </c>
      <c r="G41" s="6">
        <f>IFERROR('raw-Return'!G42-Table14[[#This Row],[RF]],"")</f>
        <v>-9.9520185419669852E-3</v>
      </c>
      <c r="H41" s="6">
        <f>IFERROR('raw-Return'!H42-Table14[[#This Row],[RF]],"")</f>
        <v>8.2601899683733271E-2</v>
      </c>
      <c r="I41" s="6">
        <f>IFERROR('raw-Return'!I42-Table14[[#This Row],[RF]],"")</f>
        <v>9.2555588020452773E-2</v>
      </c>
      <c r="J41" s="6">
        <f>IFERROR('raw-Return'!J42-Table14[[#This Row],[RF]],"")</f>
        <v>7.2428416231205273E-2</v>
      </c>
      <c r="K41" s="6">
        <f>IFERROR('raw-Return'!K42-Table14[[#This Row],[RF]],"")</f>
        <v>5.111817435443871E-2</v>
      </c>
      <c r="L41" s="6">
        <f>IFERROR('raw-Return'!L42-Table14[[#This Row],[RF]],"")</f>
        <v>4.0962611077158644E-2</v>
      </c>
      <c r="M41" s="6">
        <f>IFERROR('raw-Return'!M42-Table14[[#This Row],[RF]],"")</f>
        <v>6.0772465860849549E-2</v>
      </c>
      <c r="N41" s="6">
        <f>IFERROR('raw-Return'!N42-Table14[[#This Row],[RF]],"")</f>
        <v>-5.6312525092720514E-3</v>
      </c>
      <c r="O41" s="6">
        <f>IFERROR('raw-Return'!O42-Table14[[#This Row],[RF]],"")</f>
        <v>5.7496869151178742E-5</v>
      </c>
      <c r="P41" s="6">
        <f>IFERROR('raw-Return'!P42-Table14[[#This Row],[RF]],"")</f>
        <v>-5.9379842339261704E-3</v>
      </c>
      <c r="Q41" s="6">
        <f>IFERROR('raw-Return'!Q42-Table14[[#This Row],[RF]],"")</f>
        <v>6.1739305905888435E-2</v>
      </c>
      <c r="R41" s="6">
        <f>IFERROR('raw-Return'!R42-Table14[[#This Row],[RF]],"")</f>
        <v>6.1225669850561597E-2</v>
      </c>
      <c r="S41" s="6">
        <f>IFERROR('raw-Return'!S42-Table14[[#This Row],[RF]],"")</f>
        <v>-1.3242396582311029E-2</v>
      </c>
      <c r="T41" s="6">
        <f>IFERROR('raw-Return'!T42-Table14[[#This Row],[RF]],"")</f>
        <v>5.3351665392782403E-2</v>
      </c>
      <c r="U41" s="6">
        <f>IFERROR('raw-Return'!U42-Table14[[#This Row],[RF]],"")</f>
        <v>-1.1679485445539046E-2</v>
      </c>
      <c r="V41" s="6">
        <f>IFERROR('raw-Return'!V42-Table14[[#This Row],[RF]],"")</f>
        <v>-7.6700297434028689E-3</v>
      </c>
      <c r="W41" s="6">
        <f>IFERROR('raw-Return'!W42-Table14[[#This Row],[RF]],"")</f>
        <v>6.1807599675940232E-2</v>
      </c>
      <c r="X41" s="6" t="str">
        <f>IFERROR('raw-Return'!X42-Table14[[#This Row],[RF]],"")</f>
        <v/>
      </c>
      <c r="Y41" s="6">
        <f>IFERROR('raw-Return'!Y42-Table14[[#This Row],[RF]],"")</f>
        <v>-7.1092134548450051E-3</v>
      </c>
      <c r="Z41" s="6">
        <f>IFERROR('raw-Return'!Z42-Table14[[#This Row],[RF]],"")</f>
        <v>4.4947862941173748E-2</v>
      </c>
      <c r="AA41" s="6">
        <f>IFERROR('raw-Return'!AA42-Table14[[#This Row],[RF]],"")</f>
        <v>5.7465246040679756E-2</v>
      </c>
      <c r="AB41" s="6">
        <f>IFERROR('raw-Return'!AB42-Table14[[#This Row],[RF]],"")</f>
        <v>7.8883795473068619E-2</v>
      </c>
      <c r="AC41" s="6">
        <f>IFERROR('raw-Return'!AC42-Table14[[#This Row],[RF]],"")</f>
        <v>7.8883795473068619E-2</v>
      </c>
      <c r="AD41" s="6">
        <f>IFERROR('raw-Return'!AD42-Table14[[#This Row],[RF]],"")</f>
        <v>5.0418277398569349E-2</v>
      </c>
      <c r="AE41" s="6">
        <f>IFERROR('raw-Return'!AE42-Table14[[#This Row],[RF]],"")</f>
        <v>8.2304794073319087E-2</v>
      </c>
      <c r="AF41" s="6">
        <f>IFERROR('raw-Return'!AF42-Table14[[#This Row],[RF]],"")</f>
        <v>7.0019682551626439E-2</v>
      </c>
      <c r="AG41" s="6">
        <f>IFERROR('raw-Return'!AG42-Table14[[#This Row],[RF]],"")</f>
        <v>4.1371561253448257E-2</v>
      </c>
      <c r="AH41" s="6">
        <f>IFERROR('raw-Return'!AH42-Table14[[#This Row],[RF]],"")</f>
        <v>6.7232818079139334E-2</v>
      </c>
      <c r="AI41" s="6">
        <f>IFERROR('raw-Return'!AI42-Table14[[#This Row],[RF]],"")</f>
        <v>-2.0605289163621657E-3</v>
      </c>
      <c r="AJ41" s="6">
        <f>IFERROR('raw-Return'!AJ42-Table14[[#This Row],[RF]],"")</f>
        <v>7.3425572605805345E-2</v>
      </c>
      <c r="AK41" s="6">
        <f>IFERROR('raw-Return'!AK42-Table14[[#This Row],[RF]],"")</f>
        <v>-4.7769351686590203E-3</v>
      </c>
      <c r="AL41" s="6">
        <f>IFERROR('raw-Return'!AL42-Table14[[#This Row],[RF]],"")</f>
        <v>7.0891991095643869E-2</v>
      </c>
      <c r="AM41" s="6">
        <f>IFERROR('raw-Return'!AM42-Table14[[#This Row],[RF]],"")</f>
        <v>8.4043858803015514E-2</v>
      </c>
      <c r="AN41" s="6">
        <f>IFERROR('raw-Return'!AN42-Table14[[#This Row],[RF]],"")</f>
        <v>7.7201333946913808E-2</v>
      </c>
      <c r="AO41" s="6">
        <f>IFERROR('raw-Return'!AO42-Table14[[#This Row],[RF]],"")</f>
        <v>1.8155427083319124E-2</v>
      </c>
      <c r="AP41" s="6">
        <f>IFERROR('raw-Return'!AP42-Table14[[#This Row],[RF]],"")</f>
        <v>1.8155427083319124E-2</v>
      </c>
      <c r="AQ41" s="6">
        <f>IFERROR('raw-Return'!AQ42-Table14[[#This Row],[RF]],"")</f>
        <v>4.987177147530391E-2</v>
      </c>
      <c r="AR41" s="6">
        <f>IFERROR('raw-Return'!AR42-Table14[[#This Row],[RF]],"")</f>
        <v>5.6893851562041679E-2</v>
      </c>
      <c r="AS41" s="6">
        <f>IFERROR('raw-Return'!AS42-Table14[[#This Row],[RF]],"")</f>
        <v>7.8537491588102359E-2</v>
      </c>
      <c r="AT41" s="6">
        <f>IFERROR('raw-Return'!AT42-Table14[[#This Row],[RF]],"")</f>
        <v>-5.6000000000000008E-3</v>
      </c>
      <c r="AU41" s="6">
        <f>IFERROR('raw-Return'!AU42-Table14[[#This Row],[RF]],"")</f>
        <v>-5.6000000000000008E-3</v>
      </c>
      <c r="AV41" s="6">
        <f>IFERROR('raw-Return'!AV42-Table14[[#This Row],[RF]],"")</f>
        <v>-5.6000000000000008E-3</v>
      </c>
    </row>
    <row r="42" spans="1:48" x14ac:dyDescent="0.2">
      <c r="A42" s="2">
        <v>42308</v>
      </c>
      <c r="B42" s="6">
        <f>IFERROR('raw-Return'!B43-Table14[[#This Row],[RF]],"")</f>
        <v>-6.8797534761233833E-2</v>
      </c>
      <c r="C42" s="6">
        <f>IFERROR('raw-Return'!C43-Table14[[#This Row],[RF]],"")</f>
        <v>-7.0047974703370749E-2</v>
      </c>
      <c r="D42" s="6">
        <f>IFERROR('raw-Return'!D43-Table14[[#This Row],[RF]],"")</f>
        <v>-7.1532654331197251E-2</v>
      </c>
      <c r="E42" s="6">
        <f>IFERROR('raw-Return'!E43-Table14[[#This Row],[RF]],"")</f>
        <v>-7.058170907754345E-2</v>
      </c>
      <c r="F42" s="6">
        <f>IFERROR('raw-Return'!F43-Table14[[#This Row],[RF]],"")</f>
        <v>-7.352538011790842E-2</v>
      </c>
      <c r="G42" s="6">
        <f>IFERROR('raw-Return'!G43-Table14[[#This Row],[RF]],"")</f>
        <v>-6.2798642334385021E-2</v>
      </c>
      <c r="H42" s="6">
        <f>IFERROR('raw-Return'!H43-Table14[[#This Row],[RF]],"")</f>
        <v>-0.10769137576025899</v>
      </c>
      <c r="I42" s="6">
        <f>IFERROR('raw-Return'!I43-Table14[[#This Row],[RF]],"")</f>
        <v>-0.10853559136595957</v>
      </c>
      <c r="J42" s="6">
        <f>IFERROR('raw-Return'!J43-Table14[[#This Row],[RF]],"")</f>
        <v>-0.10597364325065849</v>
      </c>
      <c r="K42" s="6">
        <f>IFERROR('raw-Return'!K43-Table14[[#This Row],[RF]],"")</f>
        <v>-0.13106561875969713</v>
      </c>
      <c r="L42" s="6">
        <f>IFERROR('raw-Return'!L43-Table14[[#This Row],[RF]],"")</f>
        <v>-0.13889341862718052</v>
      </c>
      <c r="M42" s="6">
        <f>IFERROR('raw-Return'!M43-Table14[[#This Row],[RF]],"")</f>
        <v>-0.12443444362001731</v>
      </c>
      <c r="N42" s="6">
        <f>IFERROR('raw-Return'!N43-Table14[[#This Row],[RF]],"")</f>
        <v>-6.3101846200902187E-2</v>
      </c>
      <c r="O42" s="6">
        <f>IFERROR('raw-Return'!O43-Table14[[#This Row],[RF]],"")</f>
        <v>-6.7290696598487951E-2</v>
      </c>
      <c r="P42" s="6">
        <f>IFERROR('raw-Return'!P43-Table14[[#This Row],[RF]],"")</f>
        <v>-7.3125416059260581E-2</v>
      </c>
      <c r="Q42" s="6">
        <f>IFERROR('raw-Return'!Q43-Table14[[#This Row],[RF]],"")</f>
        <v>-0.12246430878773683</v>
      </c>
      <c r="R42" s="6">
        <f>IFERROR('raw-Return'!R43-Table14[[#This Row],[RF]],"")</f>
        <v>-0.12290072449846466</v>
      </c>
      <c r="S42" s="6">
        <f>IFERROR('raw-Return'!S43-Table14[[#This Row],[RF]],"")</f>
        <v>-6.6608827029326231E-2</v>
      </c>
      <c r="T42" s="6">
        <f>IFERROR('raw-Return'!T43-Table14[[#This Row],[RF]],"")</f>
        <v>-0.12310202304785721</v>
      </c>
      <c r="U42" s="6">
        <f>IFERROR('raw-Return'!U43-Table14[[#This Row],[RF]],"")</f>
        <v>-6.101587851881872E-2</v>
      </c>
      <c r="V42" s="6">
        <f>IFERROR('raw-Return'!V43-Table14[[#This Row],[RF]],"")</f>
        <v>-7.5237793665167238E-2</v>
      </c>
      <c r="W42" s="6">
        <f>IFERROR('raw-Return'!W43-Table14[[#This Row],[RF]],"")</f>
        <v>-0.10174143942246959</v>
      </c>
      <c r="X42" s="6" t="str">
        <f>IFERROR('raw-Return'!X43-Table14[[#This Row],[RF]],"")</f>
        <v/>
      </c>
      <c r="Y42" s="6">
        <f>IFERROR('raw-Return'!Y43-Table14[[#This Row],[RF]],"")</f>
        <v>-7.1848751306798339E-2</v>
      </c>
      <c r="Z42" s="6">
        <f>IFERROR('raw-Return'!Z43-Table14[[#This Row],[RF]],"")</f>
        <v>-7.8069403614418706E-2</v>
      </c>
      <c r="AA42" s="6">
        <f>IFERROR('raw-Return'!AA43-Table14[[#This Row],[RF]],"")</f>
        <v>-0.12497633632615089</v>
      </c>
      <c r="AB42" s="6">
        <f>IFERROR('raw-Return'!AB43-Table14[[#This Row],[RF]],"")</f>
        <v>-0.10715300329101694</v>
      </c>
      <c r="AC42" s="6">
        <f>IFERROR('raw-Return'!AC43-Table14[[#This Row],[RF]],"")</f>
        <v>-0.10715300329101694</v>
      </c>
      <c r="AD42" s="6">
        <f>IFERROR('raw-Return'!AD43-Table14[[#This Row],[RF]],"")</f>
        <v>-0.12206308760878957</v>
      </c>
      <c r="AE42" s="6">
        <f>IFERROR('raw-Return'!AE43-Table14[[#This Row],[RF]],"")</f>
        <v>-0.13614353325113959</v>
      </c>
      <c r="AF42" s="6">
        <f>IFERROR('raw-Return'!AF43-Table14[[#This Row],[RF]],"")</f>
        <v>-0.11943639163092289</v>
      </c>
      <c r="AG42" s="6">
        <f>IFERROR('raw-Return'!AG43-Table14[[#This Row],[RF]],"")</f>
        <v>-0.10556152710593268</v>
      </c>
      <c r="AH42" s="6">
        <f>IFERROR('raw-Return'!AH43-Table14[[#This Row],[RF]],"")</f>
        <v>-0.11943175851927222</v>
      </c>
      <c r="AI42" s="6">
        <f>IFERROR('raw-Return'!AI43-Table14[[#This Row],[RF]],"")</f>
        <v>-7.2235373062805461E-2</v>
      </c>
      <c r="AJ42" s="6">
        <f>IFERROR('raw-Return'!AJ43-Table14[[#This Row],[RF]],"")</f>
        <v>-0.1115939244552847</v>
      </c>
      <c r="AK42" s="6">
        <f>IFERROR('raw-Return'!AK43-Table14[[#This Row],[RF]],"")</f>
        <v>-7.8127755856472567E-2</v>
      </c>
      <c r="AL42" s="6">
        <f>IFERROR('raw-Return'!AL43-Table14[[#This Row],[RF]],"")</f>
        <v>-0.10946232938654453</v>
      </c>
      <c r="AM42" s="6">
        <f>IFERROR('raw-Return'!AM43-Table14[[#This Row],[RF]],"")</f>
        <v>-0.10930178960002411</v>
      </c>
      <c r="AN42" s="6">
        <f>IFERROR('raw-Return'!AN43-Table14[[#This Row],[RF]],"")</f>
        <v>-0.1095793521097622</v>
      </c>
      <c r="AO42" s="6">
        <f>IFERROR('raw-Return'!AO43-Table14[[#This Row],[RF]],"")</f>
        <v>-9.5538170293140032E-2</v>
      </c>
      <c r="AP42" s="6">
        <f>IFERROR('raw-Return'!AP43-Table14[[#This Row],[RF]],"")</f>
        <v>-9.5538170293140032E-2</v>
      </c>
      <c r="AQ42" s="6">
        <f>IFERROR('raw-Return'!AQ43-Table14[[#This Row],[RF]],"")</f>
        <v>-0.13290310190811794</v>
      </c>
      <c r="AR42" s="6">
        <f>IFERROR('raw-Return'!AR43-Table14[[#This Row],[RF]],"")</f>
        <v>-0.12086688441195824</v>
      </c>
      <c r="AS42" s="6">
        <f>IFERROR('raw-Return'!AS43-Table14[[#This Row],[RF]],"")</f>
        <v>-0.10133533328378451</v>
      </c>
      <c r="AT42" s="6">
        <f>IFERROR('raw-Return'!AT43-Table14[[#This Row],[RF]],"")</f>
        <v>-7.7499999999999999E-2</v>
      </c>
      <c r="AU42" s="6">
        <f>IFERROR('raw-Return'!AU43-Table14[[#This Row],[RF]],"")</f>
        <v>-7.7499999999999999E-2</v>
      </c>
      <c r="AV42" s="6">
        <f>IFERROR('raw-Return'!AV43-Table14[[#This Row],[RF]],"")</f>
        <v>-7.7499999999999999E-2</v>
      </c>
    </row>
    <row r="43" spans="1:48" x14ac:dyDescent="0.2">
      <c r="A43" s="2">
        <v>42277</v>
      </c>
      <c r="B43" s="6">
        <f>IFERROR('raw-Return'!B44-Table14[[#This Row],[RF]],"")</f>
        <v>2.6649752835749614E-2</v>
      </c>
      <c r="C43" s="6">
        <f>IFERROR('raw-Return'!C44-Table14[[#This Row],[RF]],"")</f>
        <v>1.6222116889975942E-2</v>
      </c>
      <c r="D43" s="6">
        <f>IFERROR('raw-Return'!D44-Table14[[#This Row],[RF]],"")</f>
        <v>2.6333266232294657E-2</v>
      </c>
      <c r="E43" s="6">
        <f>IFERROR('raw-Return'!E44-Table14[[#This Row],[RF]],"")</f>
        <v>2.2974320922871057E-2</v>
      </c>
      <c r="F43" s="6">
        <f>IFERROR('raw-Return'!F44-Table14[[#This Row],[RF]],"")</f>
        <v>2.8922565168591437E-2</v>
      </c>
      <c r="G43" s="6">
        <f>IFERROR('raw-Return'!G44-Table14[[#This Row],[RF]],"")</f>
        <v>2.2757659085713984E-2</v>
      </c>
      <c r="H43" s="6">
        <f>IFERROR('raw-Return'!H44-Table14[[#This Row],[RF]],"")</f>
        <v>-3.2343315999393711E-2</v>
      </c>
      <c r="I43" s="6">
        <f>IFERROR('raw-Return'!I44-Table14[[#This Row],[RF]],"")</f>
        <v>-3.4542124069765583E-2</v>
      </c>
      <c r="J43" s="6">
        <f>IFERROR('raw-Return'!J44-Table14[[#This Row],[RF]],"")</f>
        <v>-2.9987940926317118E-2</v>
      </c>
      <c r="K43" s="6">
        <f>IFERROR('raw-Return'!K44-Table14[[#This Row],[RF]],"")</f>
        <v>-2.7485708341276442E-2</v>
      </c>
      <c r="L43" s="6">
        <f>IFERROR('raw-Return'!L44-Table14[[#This Row],[RF]],"")</f>
        <v>-3.9033702175006062E-2</v>
      </c>
      <c r="M43" s="6">
        <f>IFERROR('raw-Return'!M44-Table14[[#This Row],[RF]],"")</f>
        <v>-1.7565903878395343E-2</v>
      </c>
      <c r="N43" s="6">
        <f>IFERROR('raw-Return'!N44-Table14[[#This Row],[RF]],"")</f>
        <v>1.8814619053618649E-2</v>
      </c>
      <c r="O43" s="6">
        <f>IFERROR('raw-Return'!O44-Table14[[#This Row],[RF]],"")</f>
        <v>5.9256985974863244E-3</v>
      </c>
      <c r="P43" s="6">
        <f>IFERROR('raw-Return'!P44-Table14[[#This Row],[RF]],"")</f>
        <v>2.5887425494479928E-2</v>
      </c>
      <c r="Q43" s="6">
        <f>IFERROR('raw-Return'!Q44-Table14[[#This Row],[RF]],"")</f>
        <v>-4.1547697692223488E-2</v>
      </c>
      <c r="R43" s="6">
        <f>IFERROR('raw-Return'!R44-Table14[[#This Row],[RF]],"")</f>
        <v>-4.6631160366351447E-2</v>
      </c>
      <c r="S43" s="6">
        <f>IFERROR('raw-Return'!S44-Table14[[#This Row],[RF]],"")</f>
        <v>2.8621676428583993E-2</v>
      </c>
      <c r="T43" s="6">
        <f>IFERROR('raw-Return'!T44-Table14[[#This Row],[RF]],"")</f>
        <v>-3.9363703338269156E-2</v>
      </c>
      <c r="U43" s="6">
        <f>IFERROR('raw-Return'!U44-Table14[[#This Row],[RF]],"")</f>
        <v>2.2501904755875941E-2</v>
      </c>
      <c r="V43" s="6">
        <f>IFERROR('raw-Return'!V44-Table14[[#This Row],[RF]],"")</f>
        <v>2.9490733875879034E-2</v>
      </c>
      <c r="W43" s="6">
        <f>IFERROR('raw-Return'!W44-Table14[[#This Row],[RF]],"")</f>
        <v>-2.7860996898759142E-2</v>
      </c>
      <c r="X43" s="6" t="str">
        <f>IFERROR('raw-Return'!X44-Table14[[#This Row],[RF]],"")</f>
        <v/>
      </c>
      <c r="Y43" s="6">
        <f>IFERROR('raw-Return'!Y44-Table14[[#This Row],[RF]],"")</f>
        <v>2.8342573028126768E-2</v>
      </c>
      <c r="Z43" s="6">
        <f>IFERROR('raw-Return'!Z44-Table14[[#This Row],[RF]],"")</f>
        <v>-4.3630846636838409E-2</v>
      </c>
      <c r="AA43" s="6">
        <f>IFERROR('raw-Return'!AA44-Table14[[#This Row],[RF]],"")</f>
        <v>-1.3281169926452945E-2</v>
      </c>
      <c r="AB43" s="6">
        <f>IFERROR('raw-Return'!AB44-Table14[[#This Row],[RF]],"")</f>
        <v>-3.0717835653644991E-2</v>
      </c>
      <c r="AC43" s="6">
        <f>IFERROR('raw-Return'!AC44-Table14[[#This Row],[RF]],"")</f>
        <v>-3.0717835653644991E-2</v>
      </c>
      <c r="AD43" s="6">
        <f>IFERROR('raw-Return'!AD44-Table14[[#This Row],[RF]],"")</f>
        <v>-2.7771504662816908E-2</v>
      </c>
      <c r="AE43" s="6">
        <f>IFERROR('raw-Return'!AE44-Table14[[#This Row],[RF]],"")</f>
        <v>-4.5079551981746374E-4</v>
      </c>
      <c r="AF43" s="6">
        <f>IFERROR('raw-Return'!AF44-Table14[[#This Row],[RF]],"")</f>
        <v>-4.5967823873215012E-2</v>
      </c>
      <c r="AG43" s="6">
        <f>IFERROR('raw-Return'!AG44-Table14[[#This Row],[RF]],"")</f>
        <v>-2.6032779439918378E-2</v>
      </c>
      <c r="AH43" s="6">
        <f>IFERROR('raw-Return'!AH44-Table14[[#This Row],[RF]],"")</f>
        <v>-3.5523547654139502E-2</v>
      </c>
      <c r="AI43" s="6" t="str">
        <f>IFERROR('raw-Return'!AI44-Table14[[#This Row],[RF]],"")</f>
        <v/>
      </c>
      <c r="AJ43" s="6">
        <f>IFERROR('raw-Return'!AJ44-Table14[[#This Row],[RF]],"")</f>
        <v>-3.0121572531573042E-2</v>
      </c>
      <c r="AK43" s="6">
        <f>IFERROR('raw-Return'!AK44-Table14[[#This Row],[RF]],"")</f>
        <v>2.6897137008844725E-2</v>
      </c>
      <c r="AL43" s="6">
        <f>IFERROR('raw-Return'!AL44-Table14[[#This Row],[RF]],"")</f>
        <v>-2.7600910209452816E-2</v>
      </c>
      <c r="AM43" s="6">
        <f>IFERROR('raw-Return'!AM44-Table14[[#This Row],[RF]],"")</f>
        <v>-3.2204471122230842E-2</v>
      </c>
      <c r="AN43" s="6">
        <f>IFERROR('raw-Return'!AN44-Table14[[#This Row],[RF]],"")</f>
        <v>-2.9533444719150141E-2</v>
      </c>
      <c r="AO43" s="6">
        <f>IFERROR('raw-Return'!AO44-Table14[[#This Row],[RF]],"")</f>
        <v>1.4031770800797934E-2</v>
      </c>
      <c r="AP43" s="6">
        <f>IFERROR('raw-Return'!AP44-Table14[[#This Row],[RF]],"")</f>
        <v>1.4031770800797934E-2</v>
      </c>
      <c r="AQ43" s="6">
        <f>IFERROR('raw-Return'!AQ44-Table14[[#This Row],[RF]],"")</f>
        <v>-2.800987732359133E-2</v>
      </c>
      <c r="AR43" s="6">
        <f>IFERROR('raw-Return'!AR44-Table14[[#This Row],[RF]],"")</f>
        <v>-4.3553257090795765E-2</v>
      </c>
      <c r="AS43" s="6">
        <f>IFERROR('raw-Return'!AS44-Table14[[#This Row],[RF]],"")</f>
        <v>-2.5805640131841993E-2</v>
      </c>
      <c r="AT43" s="6">
        <f>IFERROR('raw-Return'!AT44-Table14[[#This Row],[RF]],"")</f>
        <v>3.0800000000000001E-2</v>
      </c>
      <c r="AU43" s="6">
        <f>IFERROR('raw-Return'!AU44-Table14[[#This Row],[RF]],"")</f>
        <v>3.0800000000000001E-2</v>
      </c>
      <c r="AV43" s="6">
        <f>IFERROR('raw-Return'!AV44-Table14[[#This Row],[RF]],"")</f>
        <v>3.0800000000000001E-2</v>
      </c>
    </row>
    <row r="44" spans="1:48" x14ac:dyDescent="0.2">
      <c r="A44" s="2">
        <v>42247</v>
      </c>
      <c r="B44" s="6">
        <f>IFERROR('raw-Return'!B45-Table14[[#This Row],[RF]],"")</f>
        <v>6.7454866347078424E-2</v>
      </c>
      <c r="C44" s="6">
        <f>IFERROR('raw-Return'!C45-Table14[[#This Row],[RF]],"")</f>
        <v>8.7568242055731549E-2</v>
      </c>
      <c r="D44" s="6">
        <f>IFERROR('raw-Return'!D45-Table14[[#This Row],[RF]],"")</f>
        <v>6.7126153609119221E-2</v>
      </c>
      <c r="E44" s="6">
        <f>IFERROR('raw-Return'!E45-Table14[[#This Row],[RF]],"")</f>
        <v>7.1973546332564586E-2</v>
      </c>
      <c r="F44" s="6">
        <f>IFERROR('raw-Return'!F45-Table14[[#This Row],[RF]],"")</f>
        <v>6.0779844545564503E-2</v>
      </c>
      <c r="G44" s="6">
        <f>IFERROR('raw-Return'!G45-Table14[[#This Row],[RF]],"")</f>
        <v>0.13059903298447106</v>
      </c>
      <c r="H44" s="6">
        <f>IFERROR('raw-Return'!H45-Table14[[#This Row],[RF]],"")</f>
        <v>8.2439680785297176E-2</v>
      </c>
      <c r="I44" s="6">
        <f>IFERROR('raw-Return'!I45-Table14[[#This Row],[RF]],"")</f>
        <v>9.5369920687336851E-2</v>
      </c>
      <c r="J44" s="6">
        <f>IFERROR('raw-Return'!J45-Table14[[#This Row],[RF]],"")</f>
        <v>7.1240359538674802E-2</v>
      </c>
      <c r="K44" s="6">
        <f>IFERROR('raw-Return'!K45-Table14[[#This Row],[RF]],"")</f>
        <v>5.7594686716552539E-2</v>
      </c>
      <c r="L44" s="6">
        <f>IFERROR('raw-Return'!L45-Table14[[#This Row],[RF]],"")</f>
        <v>6.5507542441612721E-2</v>
      </c>
      <c r="M44" s="6">
        <f>IFERROR('raw-Return'!M45-Table14[[#This Row],[RF]],"")</f>
        <v>5.0759621741331633E-2</v>
      </c>
      <c r="N44" s="6">
        <f>IFERROR('raw-Return'!N45-Table14[[#This Row],[RF]],"")</f>
        <v>5.9707981680447546E-2</v>
      </c>
      <c r="O44" s="6">
        <f>IFERROR('raw-Return'!O45-Table14[[#This Row],[RF]],"")</f>
        <v>8.4144342873004652E-2</v>
      </c>
      <c r="P44" s="6">
        <f>IFERROR('raw-Return'!P45-Table14[[#This Row],[RF]],"")</f>
        <v>6.2580098038439669E-2</v>
      </c>
      <c r="Q44" s="6">
        <f>IFERROR('raw-Return'!Q45-Table14[[#This Row],[RF]],"")</f>
        <v>7.4996559332002333E-2</v>
      </c>
      <c r="R44" s="6">
        <f>IFERROR('raw-Return'!R45-Table14[[#This Row],[RF]],"")</f>
        <v>5.742631417429455E-2</v>
      </c>
      <c r="S44" s="6">
        <f>IFERROR('raw-Return'!S45-Table14[[#This Row],[RF]],"")</f>
        <v>6.7839844289181661E-2</v>
      </c>
      <c r="T44" s="6">
        <f>IFERROR('raw-Return'!T45-Table14[[#This Row],[RF]],"")</f>
        <v>8.7046837151589562E-2</v>
      </c>
      <c r="U44" s="6">
        <f>IFERROR('raw-Return'!U45-Table14[[#This Row],[RF]],"")</f>
        <v>9.8274665069438827E-2</v>
      </c>
      <c r="V44" s="6">
        <f>IFERROR('raw-Return'!V45-Table14[[#This Row],[RF]],"")</f>
        <v>6.1041470827150494E-2</v>
      </c>
      <c r="W44" s="6">
        <f>IFERROR('raw-Return'!W45-Table14[[#This Row],[RF]],"")</f>
        <v>8.2028721184568942E-2</v>
      </c>
      <c r="X44" s="6" t="str">
        <f>IFERROR('raw-Return'!X45-Table14[[#This Row],[RF]],"")</f>
        <v/>
      </c>
      <c r="Y44" s="6">
        <f>IFERROR('raw-Return'!Y45-Table14[[#This Row],[RF]],"")</f>
        <v>6.7178511218462633E-2</v>
      </c>
      <c r="Z44" s="6">
        <f>IFERROR('raw-Return'!Z45-Table14[[#This Row],[RF]],"")</f>
        <v>5.3920357134936585E-2</v>
      </c>
      <c r="AA44" s="6">
        <f>IFERROR('raw-Return'!AA45-Table14[[#This Row],[RF]],"")</f>
        <v>6.9784544159803508E-2</v>
      </c>
      <c r="AB44" s="6">
        <f>IFERROR('raw-Return'!AB45-Table14[[#This Row],[RF]],"")</f>
        <v>8.2113034736259527E-2</v>
      </c>
      <c r="AC44" s="6">
        <f>IFERROR('raw-Return'!AC45-Table14[[#This Row],[RF]],"")</f>
        <v>8.2113034736259527E-2</v>
      </c>
      <c r="AD44" s="6">
        <f>IFERROR('raw-Return'!AD45-Table14[[#This Row],[RF]],"")</f>
        <v>7.5048799795983001E-2</v>
      </c>
      <c r="AE44" s="6">
        <f>IFERROR('raw-Return'!AE45-Table14[[#This Row],[RF]],"")</f>
        <v>5.4321106879306795E-2</v>
      </c>
      <c r="AF44" s="6">
        <f>IFERROR('raw-Return'!AF45-Table14[[#This Row],[RF]],"")</f>
        <v>5.4991511484763549E-2</v>
      </c>
      <c r="AG44" s="6">
        <f>IFERROR('raw-Return'!AG45-Table14[[#This Row],[RF]],"")</f>
        <v>3.1202156247485673E-2</v>
      </c>
      <c r="AH44" s="6">
        <f>IFERROR('raw-Return'!AH45-Table14[[#This Row],[RF]],"")</f>
        <v>6.5447112068482083E-2</v>
      </c>
      <c r="AI44" s="6" t="str">
        <f>IFERROR('raw-Return'!AI45-Table14[[#This Row],[RF]],"")</f>
        <v/>
      </c>
      <c r="AJ44" s="6">
        <f>IFERROR('raw-Return'!AJ45-Table14[[#This Row],[RF]],"")</f>
        <v>7.7456510859508221E-2</v>
      </c>
      <c r="AK44" s="6">
        <f>IFERROR('raw-Return'!AK45-Table14[[#This Row],[RF]],"")</f>
        <v>5.8763800067666565E-2</v>
      </c>
      <c r="AL44" s="6">
        <f>IFERROR('raw-Return'!AL45-Table14[[#This Row],[RF]],"")</f>
        <v>7.0473940180154626E-2</v>
      </c>
      <c r="AM44" s="6">
        <f>IFERROR('raw-Return'!AM45-Table14[[#This Row],[RF]],"")</f>
        <v>9.3053490516549431E-2</v>
      </c>
      <c r="AN44" s="6">
        <f>IFERROR('raw-Return'!AN45-Table14[[#This Row],[RF]],"")</f>
        <v>8.1399587848404176E-2</v>
      </c>
      <c r="AO44" s="6">
        <f>IFERROR('raw-Return'!AO45-Table14[[#This Row],[RF]],"")</f>
        <v>5.9089890949017947E-2</v>
      </c>
      <c r="AP44" s="6">
        <f>IFERROR('raw-Return'!AP45-Table14[[#This Row],[RF]],"")</f>
        <v>5.9089890949017947E-2</v>
      </c>
      <c r="AQ44" s="6">
        <f>IFERROR('raw-Return'!AQ45-Table14[[#This Row],[RF]],"")</f>
        <v>5.8566939400834121E-2</v>
      </c>
      <c r="AR44" s="6">
        <f>IFERROR('raw-Return'!AR45-Table14[[#This Row],[RF]],"")</f>
        <v>5.4844511777273446E-2</v>
      </c>
      <c r="AS44" s="6">
        <f>IFERROR('raw-Return'!AS45-Table14[[#This Row],[RF]],"")</f>
        <v>7.0927884075778991E-2</v>
      </c>
      <c r="AT44" s="6">
        <f>IFERROR('raw-Return'!AT45-Table14[[#This Row],[RF]],"")</f>
        <v>6.0400000000000002E-2</v>
      </c>
      <c r="AU44" s="6">
        <f>IFERROR('raw-Return'!AU45-Table14[[#This Row],[RF]],"")</f>
        <v>6.0400000000000002E-2</v>
      </c>
      <c r="AV44" s="6">
        <f>IFERROR('raw-Return'!AV45-Table14[[#This Row],[RF]],"")</f>
        <v>6.0400000000000002E-2</v>
      </c>
    </row>
    <row r="45" spans="1:48" x14ac:dyDescent="0.2">
      <c r="A45" s="2">
        <v>42216</v>
      </c>
      <c r="B45" s="6">
        <f>IFERROR('raw-Return'!B46-Table14[[#This Row],[RF]],"")</f>
        <v>-3.1143831583849067E-2</v>
      </c>
      <c r="C45" s="6">
        <f>IFERROR('raw-Return'!C46-Table14[[#This Row],[RF]],"")</f>
        <v>-5.2930524757227398E-2</v>
      </c>
      <c r="D45" s="6">
        <f>IFERROR('raw-Return'!D46-Table14[[#This Row],[RF]],"")</f>
        <v>-2.8550798322486335E-2</v>
      </c>
      <c r="E45" s="6">
        <f>IFERROR('raw-Return'!E46-Table14[[#This Row],[RF]],"")</f>
        <v>-2.9787839328642738E-2</v>
      </c>
      <c r="F45" s="6">
        <f>IFERROR('raw-Return'!F46-Table14[[#This Row],[RF]],"")</f>
        <v>-1.7761641556730021E-2</v>
      </c>
      <c r="G45" s="6">
        <f>IFERROR('raw-Return'!G46-Table14[[#This Row],[RF]],"")</f>
        <v>-8.3651164597424083E-2</v>
      </c>
      <c r="H45" s="6">
        <f>IFERROR('raw-Return'!H46-Table14[[#This Row],[RF]],"")</f>
        <v>-4.0097888811428978E-2</v>
      </c>
      <c r="I45" s="6">
        <f>IFERROR('raw-Return'!I46-Table14[[#This Row],[RF]],"")</f>
        <v>-3.6049132267776757E-2</v>
      </c>
      <c r="J45" s="6">
        <f>IFERROR('raw-Return'!J46-Table14[[#This Row],[RF]],"")</f>
        <v>-4.1569326960162939E-2</v>
      </c>
      <c r="K45" s="6">
        <f>IFERROR('raw-Return'!K46-Table14[[#This Row],[RF]],"")</f>
        <v>-2.3659390386182508E-2</v>
      </c>
      <c r="L45" s="6">
        <f>IFERROR('raw-Return'!L46-Table14[[#This Row],[RF]],"")</f>
        <v>-1.6713857393799301E-2</v>
      </c>
      <c r="M45" s="6">
        <f>IFERROR('raw-Return'!M46-Table14[[#This Row],[RF]],"")</f>
        <v>-3.0285409073973622E-2</v>
      </c>
      <c r="N45" s="6">
        <f>IFERROR('raw-Return'!N46-Table14[[#This Row],[RF]],"")</f>
        <v>-3.0623300432868459E-2</v>
      </c>
      <c r="O45" s="6">
        <f>IFERROR('raw-Return'!O46-Table14[[#This Row],[RF]],"")</f>
        <v>-5.5838588153778207E-2</v>
      </c>
      <c r="P45" s="6">
        <f>IFERROR('raw-Return'!P46-Table14[[#This Row],[RF]],"")</f>
        <v>-2.1613554405128497E-2</v>
      </c>
      <c r="Q45" s="6">
        <f>IFERROR('raw-Return'!Q46-Table14[[#This Row],[RF]],"")</f>
        <v>-5.6483725400382406E-2</v>
      </c>
      <c r="R45" s="6">
        <f>IFERROR('raw-Return'!R46-Table14[[#This Row],[RF]],"")</f>
        <v>-5.4169324823735737E-2</v>
      </c>
      <c r="S45" s="6">
        <f>IFERROR('raw-Return'!S46-Table14[[#This Row],[RF]],"")</f>
        <v>-2.4908509392376019E-2</v>
      </c>
      <c r="T45" s="6">
        <f>IFERROR('raw-Return'!T46-Table14[[#This Row],[RF]],"")</f>
        <v>-6.3048166365801045E-2</v>
      </c>
      <c r="U45" s="6">
        <f>IFERROR('raw-Return'!U46-Table14[[#This Row],[RF]],"")</f>
        <v>-5.3095482313848225E-2</v>
      </c>
      <c r="V45" s="6">
        <f>IFERROR('raw-Return'!V46-Table14[[#This Row],[RF]],"")</f>
        <v>-1.5854223303503754E-2</v>
      </c>
      <c r="W45" s="6">
        <f>IFERROR('raw-Return'!W46-Table14[[#This Row],[RF]],"")</f>
        <v>-4.6078367103253887E-2</v>
      </c>
      <c r="X45" s="6" t="str">
        <f>IFERROR('raw-Return'!X46-Table14[[#This Row],[RF]],"")</f>
        <v/>
      </c>
      <c r="Y45" s="6">
        <f>IFERROR('raw-Return'!Y46-Table14[[#This Row],[RF]],"")</f>
        <v>-2.3589361358221681E-2</v>
      </c>
      <c r="Z45" s="6">
        <f>IFERROR('raw-Return'!Z46-Table14[[#This Row],[RF]],"")</f>
        <v>-5.5014477041975957E-2</v>
      </c>
      <c r="AA45" s="6">
        <f>IFERROR('raw-Return'!AA46-Table14[[#This Row],[RF]],"")</f>
        <v>-3.8836350987484863E-2</v>
      </c>
      <c r="AB45" s="6">
        <f>IFERROR('raw-Return'!AB46-Table14[[#This Row],[RF]],"")</f>
        <v>-3.9349882416103849E-2</v>
      </c>
      <c r="AC45" s="6">
        <f>IFERROR('raw-Return'!AC46-Table14[[#This Row],[RF]],"")</f>
        <v>-3.9349882416103849E-2</v>
      </c>
      <c r="AD45" s="6">
        <f>IFERROR('raw-Return'!AD46-Table14[[#This Row],[RF]],"")</f>
        <v>-2.785446891043478E-2</v>
      </c>
      <c r="AE45" s="6">
        <f>IFERROR('raw-Return'!AE46-Table14[[#This Row],[RF]],"")</f>
        <v>-2.7335068879855404E-2</v>
      </c>
      <c r="AF45" s="6">
        <f>IFERROR('raw-Return'!AF46-Table14[[#This Row],[RF]],"")</f>
        <v>-4.7152433192414162E-2</v>
      </c>
      <c r="AG45" s="6">
        <f>IFERROR('raw-Return'!AG46-Table14[[#This Row],[RF]],"")</f>
        <v>-4.4732468805965625E-2</v>
      </c>
      <c r="AH45" s="6">
        <f>IFERROR('raw-Return'!AH46-Table14[[#This Row],[RF]],"")</f>
        <v>-4.4607260139971988E-2</v>
      </c>
      <c r="AI45" s="6" t="str">
        <f>IFERROR('raw-Return'!AI46-Table14[[#This Row],[RF]],"")</f>
        <v/>
      </c>
      <c r="AJ45" s="6">
        <f>IFERROR('raw-Return'!AJ46-Table14[[#This Row],[RF]],"")</f>
        <v>-3.6371230225623413E-2</v>
      </c>
      <c r="AK45" s="6">
        <f>IFERROR('raw-Return'!AK46-Table14[[#This Row],[RF]],"")</f>
        <v>-1.6840202764795396E-2</v>
      </c>
      <c r="AL45" s="6">
        <f>IFERROR('raw-Return'!AL46-Table14[[#This Row],[RF]],"")</f>
        <v>-4.3480972275449697E-2</v>
      </c>
      <c r="AM45" s="6">
        <f>IFERROR('raw-Return'!AM46-Table14[[#This Row],[RF]],"")</f>
        <v>-3.4642017869243619E-2</v>
      </c>
      <c r="AN45" s="6">
        <f>IFERROR('raw-Return'!AN46-Table14[[#This Row],[RF]],"")</f>
        <v>-3.9490642941708703E-2</v>
      </c>
      <c r="AO45" s="6">
        <f>IFERROR('raw-Return'!AO46-Table14[[#This Row],[RF]],"")</f>
        <v>-3.4396417827095488E-2</v>
      </c>
      <c r="AP45" s="6">
        <f>IFERROR('raw-Return'!AP46-Table14[[#This Row],[RF]],"")</f>
        <v>-3.4396417827095488E-2</v>
      </c>
      <c r="AQ45" s="6">
        <f>IFERROR('raw-Return'!AQ46-Table14[[#This Row],[RF]],"")</f>
        <v>-2.2530899557361126E-2</v>
      </c>
      <c r="AR45" s="6">
        <f>IFERROR('raw-Return'!AR46-Table14[[#This Row],[RF]],"")</f>
        <v>-5.2885917632949947E-2</v>
      </c>
      <c r="AS45" s="6">
        <f>IFERROR('raw-Return'!AS46-Table14[[#This Row],[RF]],"")</f>
        <v>-4.9805909351692518E-2</v>
      </c>
      <c r="AT45" s="6">
        <f>IFERROR('raw-Return'!AT46-Table14[[#This Row],[RF]],"")</f>
        <v>-1.54E-2</v>
      </c>
      <c r="AU45" s="6">
        <f>IFERROR('raw-Return'!AU46-Table14[[#This Row],[RF]],"")</f>
        <v>-1.54E-2</v>
      </c>
      <c r="AV45" s="6">
        <f>IFERROR('raw-Return'!AV46-Table14[[#This Row],[RF]],"")</f>
        <v>-1.54E-2</v>
      </c>
    </row>
    <row r="46" spans="1:48" x14ac:dyDescent="0.2">
      <c r="A46" s="2">
        <v>42185</v>
      </c>
      <c r="B46" s="6">
        <f>IFERROR('raw-Return'!B47-Table14[[#This Row],[RF]],"")</f>
        <v>8.7559596190655217E-3</v>
      </c>
      <c r="C46" s="6">
        <f>IFERROR('raw-Return'!C47-Table14[[#This Row],[RF]],"")</f>
        <v>-1.1631325264885507E-2</v>
      </c>
      <c r="D46" s="6">
        <f>IFERROR('raw-Return'!D47-Table14[[#This Row],[RF]],"")</f>
        <v>8.4790119771347636E-3</v>
      </c>
      <c r="E46" s="6">
        <f>IFERROR('raw-Return'!E47-Table14[[#This Row],[RF]],"")</f>
        <v>8.8462036547080278E-3</v>
      </c>
      <c r="F46" s="6">
        <f>IFERROR('raw-Return'!F47-Table14[[#This Row],[RF]],"")</f>
        <v>1.5437365559990333E-2</v>
      </c>
      <c r="G46" s="6">
        <f>IFERROR('raw-Return'!G47-Table14[[#This Row],[RF]],"")</f>
        <v>-2.1177605021476566E-2</v>
      </c>
      <c r="H46" s="6">
        <f>IFERROR('raw-Return'!H47-Table14[[#This Row],[RF]],"")</f>
        <v>2.9503442201297768E-2</v>
      </c>
      <c r="I46" s="6">
        <f>IFERROR('raw-Return'!I47-Table14[[#This Row],[RF]],"")</f>
        <v>3.073881731354202E-2</v>
      </c>
      <c r="J46" s="6">
        <f>IFERROR('raw-Return'!J47-Table14[[#This Row],[RF]],"")</f>
        <v>2.6124958481862935E-2</v>
      </c>
      <c r="K46" s="6">
        <f>IFERROR('raw-Return'!K47-Table14[[#This Row],[RF]],"")</f>
        <v>3.5432965363153456E-2</v>
      </c>
      <c r="L46" s="6">
        <f>IFERROR('raw-Return'!L47-Table14[[#This Row],[RF]],"")</f>
        <v>4.2775587651460965E-2</v>
      </c>
      <c r="M46" s="6">
        <f>IFERROR('raw-Return'!M47-Table14[[#This Row],[RF]],"")</f>
        <v>2.887873437883428E-2</v>
      </c>
      <c r="N46" s="6">
        <f>IFERROR('raw-Return'!N47-Table14[[#This Row],[RF]],"")</f>
        <v>5.2727088440877243E-3</v>
      </c>
      <c r="O46" s="6">
        <f>IFERROR('raw-Return'!O47-Table14[[#This Row],[RF]],"")</f>
        <v>-1.6725115414821003E-2</v>
      </c>
      <c r="P46" s="6">
        <f>IFERROR('raw-Return'!P47-Table14[[#This Row],[RF]],"")</f>
        <v>1.4597416727347066E-2</v>
      </c>
      <c r="Q46" s="6">
        <f>IFERROR('raw-Return'!Q47-Table14[[#This Row],[RF]],"")</f>
        <v>1.4783449474614761E-2</v>
      </c>
      <c r="R46" s="6">
        <f>IFERROR('raw-Return'!R47-Table14[[#This Row],[RF]],"")</f>
        <v>4.936898620565032E-3</v>
      </c>
      <c r="S46" s="6">
        <f>IFERROR('raw-Return'!S47-Table14[[#This Row],[RF]],"")</f>
        <v>1.3127533472585017E-2</v>
      </c>
      <c r="T46" s="6">
        <f>IFERROR('raw-Return'!T47-Table14[[#This Row],[RF]],"")</f>
        <v>1.8138264232102984E-2</v>
      </c>
      <c r="U46" s="6">
        <f>IFERROR('raw-Return'!U47-Table14[[#This Row],[RF]],"")</f>
        <v>-9.4401981815800187E-3</v>
      </c>
      <c r="V46" s="6">
        <f>IFERROR('raw-Return'!V47-Table14[[#This Row],[RF]],"")</f>
        <v>1.5409764959033588E-2</v>
      </c>
      <c r="W46" s="6">
        <f>IFERROR('raw-Return'!W47-Table14[[#This Row],[RF]],"")</f>
        <v>2.4878066202244663E-2</v>
      </c>
      <c r="X46" s="6" t="str">
        <f>IFERROR('raw-Return'!X47-Table14[[#This Row],[RF]],"")</f>
        <v/>
      </c>
      <c r="Y46" s="6">
        <f>IFERROR('raw-Return'!Y47-Table14[[#This Row],[RF]],"")</f>
        <v>1.2068933559079585E-2</v>
      </c>
      <c r="Z46" s="6">
        <f>IFERROR('raw-Return'!Z47-Table14[[#This Row],[RF]],"")</f>
        <v>-8.0473550730335366E-3</v>
      </c>
      <c r="AA46" s="6">
        <f>IFERROR('raw-Return'!AA47-Table14[[#This Row],[RF]],"")</f>
        <v>2.734433267731675E-2</v>
      </c>
      <c r="AB46" s="6">
        <f>IFERROR('raw-Return'!AB47-Table14[[#This Row],[RF]],"")</f>
        <v>2.7838291881446063E-2</v>
      </c>
      <c r="AC46" s="6">
        <f>IFERROR('raw-Return'!AC47-Table14[[#This Row],[RF]],"")</f>
        <v>2.7838291881446063E-2</v>
      </c>
      <c r="AD46" s="6">
        <f>IFERROR('raw-Return'!AD47-Table14[[#This Row],[RF]],"")</f>
        <v>2.5168353643422313E-2</v>
      </c>
      <c r="AE46" s="6">
        <f>IFERROR('raw-Return'!AE47-Table14[[#This Row],[RF]],"")</f>
        <v>-3.0102304296136598E-3</v>
      </c>
      <c r="AF46" s="6">
        <f>IFERROR('raw-Return'!AF47-Table14[[#This Row],[RF]],"")</f>
        <v>9.4949004904302456E-3</v>
      </c>
      <c r="AG46" s="6">
        <f>IFERROR('raw-Return'!AG47-Table14[[#This Row],[RF]],"")</f>
        <v>1.7186547061624945E-2</v>
      </c>
      <c r="AH46" s="6">
        <f>IFERROR('raw-Return'!AH47-Table14[[#This Row],[RF]],"")</f>
        <v>1.8635785286192828E-2</v>
      </c>
      <c r="AI46" s="6" t="str">
        <f>IFERROR('raw-Return'!AI47-Table14[[#This Row],[RF]],"")</f>
        <v/>
      </c>
      <c r="AJ46" s="6">
        <f>IFERROR('raw-Return'!AJ47-Table14[[#This Row],[RF]],"")</f>
        <v>2.8423563694897201E-2</v>
      </c>
      <c r="AK46" s="6">
        <f>IFERROR('raw-Return'!AK47-Table14[[#This Row],[RF]],"")</f>
        <v>1.4698516833533425E-2</v>
      </c>
      <c r="AL46" s="6">
        <f>IFERROR('raw-Return'!AL47-Table14[[#This Row],[RF]],"")</f>
        <v>2.7070252985295661E-2</v>
      </c>
      <c r="AM46" s="6">
        <f>IFERROR('raw-Return'!AM47-Table14[[#This Row],[RF]],"")</f>
        <v>3.0076371972490711E-2</v>
      </c>
      <c r="AN46" s="6">
        <f>IFERROR('raw-Return'!AN47-Table14[[#This Row],[RF]],"")</f>
        <v>2.8468461138273858E-2</v>
      </c>
      <c r="AO46" s="6">
        <f>IFERROR('raw-Return'!AO47-Table14[[#This Row],[RF]],"")</f>
        <v>1.0366286115059541E-2</v>
      </c>
      <c r="AP46" s="6">
        <f>IFERROR('raw-Return'!AP47-Table14[[#This Row],[RF]],"")</f>
        <v>1.0366286115059541E-2</v>
      </c>
      <c r="AQ46" s="6">
        <f>IFERROR('raw-Return'!AQ47-Table14[[#This Row],[RF]],"")</f>
        <v>3.3314398949031786E-2</v>
      </c>
      <c r="AR46" s="6">
        <f>IFERROR('raw-Return'!AR47-Table14[[#This Row],[RF]],"")</f>
        <v>6.2269301213677894E-3</v>
      </c>
      <c r="AS46" s="6">
        <f>IFERROR('raw-Return'!AS47-Table14[[#This Row],[RF]],"")</f>
        <v>1.9039259867547419E-2</v>
      </c>
      <c r="AT46" s="6">
        <f>IFERROR('raw-Return'!AT47-Table14[[#This Row],[RF]],"")</f>
        <v>1.5300000000000001E-2</v>
      </c>
      <c r="AU46" s="6">
        <f>IFERROR('raw-Return'!AU47-Table14[[#This Row],[RF]],"")</f>
        <v>1.5300000000000001E-2</v>
      </c>
      <c r="AV46" s="6">
        <f>IFERROR('raw-Return'!AV47-Table14[[#This Row],[RF]],"")</f>
        <v>1.5300000000000001E-2</v>
      </c>
    </row>
    <row r="47" spans="1:48" x14ac:dyDescent="0.2">
      <c r="A47" s="2">
        <v>42155</v>
      </c>
      <c r="B47" s="6">
        <f>IFERROR('raw-Return'!B48-Table14[[#This Row],[RF]],"")</f>
        <v>-1.8735020022298043E-2</v>
      </c>
      <c r="C47" s="6">
        <f>IFERROR('raw-Return'!C48-Table14[[#This Row],[RF]],"")</f>
        <v>-4.2371726844520452E-2</v>
      </c>
      <c r="D47" s="6">
        <f>IFERROR('raw-Return'!D48-Table14[[#This Row],[RF]],"")</f>
        <v>-1.9081505720932423E-2</v>
      </c>
      <c r="E47" s="6">
        <f>IFERROR('raw-Return'!E48-Table14[[#This Row],[RF]],"")</f>
        <v>-2.487166240844213E-2</v>
      </c>
      <c r="F47" s="6">
        <f>IFERROR('raw-Return'!F48-Table14[[#This Row],[RF]],"")</f>
        <v>-1.5494884222425009E-2</v>
      </c>
      <c r="G47" s="6">
        <f>IFERROR('raw-Return'!G48-Table14[[#This Row],[RF]],"")</f>
        <v>-6.981303803325184E-2</v>
      </c>
      <c r="H47" s="6">
        <f>IFERROR('raw-Return'!H48-Table14[[#This Row],[RF]],"")</f>
        <v>-3.4844612521937601E-3</v>
      </c>
      <c r="I47" s="6">
        <f>IFERROR('raw-Return'!I48-Table14[[#This Row],[RF]],"")</f>
        <v>-1.2615217274963342E-2</v>
      </c>
      <c r="J47" s="6">
        <f>IFERROR('raw-Return'!J48-Table14[[#This Row],[RF]],"")</f>
        <v>4.3314974134641138E-3</v>
      </c>
      <c r="K47" s="6">
        <f>IFERROR('raw-Return'!K48-Table14[[#This Row],[RF]],"")</f>
        <v>-3.3931873584386596E-2</v>
      </c>
      <c r="L47" s="6">
        <f>IFERROR('raw-Return'!L48-Table14[[#This Row],[RF]],"")</f>
        <v>-2.0852678737566965E-2</v>
      </c>
      <c r="M47" s="6">
        <f>IFERROR('raw-Return'!M48-Table14[[#This Row],[RF]],"")</f>
        <v>-2.6409032829574353E-2</v>
      </c>
      <c r="N47" s="6">
        <f>IFERROR('raw-Return'!N48-Table14[[#This Row],[RF]],"")</f>
        <v>-1.5855430754318889E-2</v>
      </c>
      <c r="O47" s="6">
        <f>IFERROR('raw-Return'!O48-Table14[[#This Row],[RF]],"")</f>
        <v>-3.7529276821814228E-2</v>
      </c>
      <c r="P47" s="6">
        <f>IFERROR('raw-Return'!P48-Table14[[#This Row],[RF]],"")</f>
        <v>-1.4602577254361926E-2</v>
      </c>
      <c r="Q47" s="6">
        <f>IFERROR('raw-Return'!Q48-Table14[[#This Row],[RF]],"")</f>
        <v>2.5088524425528391E-2</v>
      </c>
      <c r="R47" s="6">
        <f>IFERROR('raw-Return'!R48-Table14[[#This Row],[RF]],"")</f>
        <v>3.3779813375009848E-2</v>
      </c>
      <c r="S47" s="6">
        <f>IFERROR('raw-Return'!S48-Table14[[#This Row],[RF]],"")</f>
        <v>-1.6346149963481438E-2</v>
      </c>
      <c r="T47" s="6">
        <f>IFERROR('raw-Return'!T48-Table14[[#This Row],[RF]],"")</f>
        <v>2.8830946889202569E-2</v>
      </c>
      <c r="U47" s="6">
        <f>IFERROR('raw-Return'!U48-Table14[[#This Row],[RF]],"")</f>
        <v>-4.4351627598897825E-2</v>
      </c>
      <c r="V47" s="6">
        <f>IFERROR('raw-Return'!V48-Table14[[#This Row],[RF]],"")</f>
        <v>-1.3130620468024323E-2</v>
      </c>
      <c r="W47" s="6">
        <f>IFERROR('raw-Return'!W48-Table14[[#This Row],[RF]],"")</f>
        <v>-1.5709016165271483E-2</v>
      </c>
      <c r="X47" s="6" t="str">
        <f>IFERROR('raw-Return'!X48-Table14[[#This Row],[RF]],"")</f>
        <v/>
      </c>
      <c r="Y47" s="6">
        <f>IFERROR('raw-Return'!Y48-Table14[[#This Row],[RF]],"")</f>
        <v>-1.3415274704481728E-2</v>
      </c>
      <c r="Z47" s="6">
        <f>IFERROR('raw-Return'!Z48-Table14[[#This Row],[RF]],"")</f>
        <v>3.7199647278725545E-2</v>
      </c>
      <c r="AA47" s="6">
        <f>IFERROR('raw-Return'!AA48-Table14[[#This Row],[RF]],"")</f>
        <v>-1.6563508416209516E-2</v>
      </c>
      <c r="AB47" s="6">
        <f>IFERROR('raw-Return'!AB48-Table14[[#This Row],[RF]],"")</f>
        <v>-3.6297560846700327E-3</v>
      </c>
      <c r="AC47" s="6">
        <f>IFERROR('raw-Return'!AC48-Table14[[#This Row],[RF]],"")</f>
        <v>-3.6297560846700327E-3</v>
      </c>
      <c r="AD47" s="6">
        <f>IFERROR('raw-Return'!AD48-Table14[[#This Row],[RF]],"")</f>
        <v>-2.4509081822185974E-2</v>
      </c>
      <c r="AE47" s="6">
        <f>IFERROR('raw-Return'!AE48-Table14[[#This Row],[RF]],"")</f>
        <v>2.3334364356411952E-2</v>
      </c>
      <c r="AF47" s="6">
        <f>IFERROR('raw-Return'!AF48-Table14[[#This Row],[RF]],"")</f>
        <v>2.1021622905096848E-2</v>
      </c>
      <c r="AG47" s="6">
        <f>IFERROR('raw-Return'!AG48-Table14[[#This Row],[RF]],"")</f>
        <v>4.2190612403291416E-2</v>
      </c>
      <c r="AH47" s="6">
        <f>IFERROR('raw-Return'!AH48-Table14[[#This Row],[RF]],"")</f>
        <v>1.1914071877920096E-2</v>
      </c>
      <c r="AI47" s="6" t="str">
        <f>IFERROR('raw-Return'!AI48-Table14[[#This Row],[RF]],"")</f>
        <v/>
      </c>
      <c r="AJ47" s="6">
        <f>IFERROR('raw-Return'!AJ48-Table14[[#This Row],[RF]],"")</f>
        <v>-7.6034827691510709E-3</v>
      </c>
      <c r="AK47" s="6">
        <f>IFERROR('raw-Return'!AK48-Table14[[#This Row],[RF]],"")</f>
        <v>-7.0042223459902408E-3</v>
      </c>
      <c r="AL47" s="6">
        <f>IFERROR('raw-Return'!AL48-Table14[[#This Row],[RF]],"")</f>
        <v>-8.1838762965874556E-4</v>
      </c>
      <c r="AM47" s="6">
        <f>IFERROR('raw-Return'!AM48-Table14[[#This Row],[RF]],"")</f>
        <v>1.4644330338490053E-2</v>
      </c>
      <c r="AN47" s="6">
        <f>IFERROR('raw-Return'!AN48-Table14[[#This Row],[RF]],"")</f>
        <v>-6.273622140541224E-3</v>
      </c>
      <c r="AO47" s="6">
        <f>IFERROR('raw-Return'!AO48-Table14[[#This Row],[RF]],"")</f>
        <v>4.2565854875553644E-5</v>
      </c>
      <c r="AP47" s="6">
        <f>IFERROR('raw-Return'!AP48-Table14[[#This Row],[RF]],"")</f>
        <v>4.2565854875553644E-5</v>
      </c>
      <c r="AQ47" s="6">
        <f>IFERROR('raw-Return'!AQ48-Table14[[#This Row],[RF]],"")</f>
        <v>-2.941433474853955E-2</v>
      </c>
      <c r="AR47" s="6">
        <f>IFERROR('raw-Return'!AR48-Table14[[#This Row],[RF]],"")</f>
        <v>3.4481453039731991E-2</v>
      </c>
      <c r="AS47" s="6">
        <f>IFERROR('raw-Return'!AS48-Table14[[#This Row],[RF]],"")</f>
        <v>3.4049715331954666E-3</v>
      </c>
      <c r="AT47" s="6">
        <f>IFERROR('raw-Return'!AT48-Table14[[#This Row],[RF]],"")</f>
        <v>-1.3600000000000001E-2</v>
      </c>
      <c r="AU47" s="6">
        <f>IFERROR('raw-Return'!AU48-Table14[[#This Row],[RF]],"")</f>
        <v>-1.3600000000000001E-2</v>
      </c>
      <c r="AV47" s="6">
        <f>IFERROR('raw-Return'!AV48-Table14[[#This Row],[RF]],"")</f>
        <v>-1.3600000000000001E-2</v>
      </c>
    </row>
    <row r="48" spans="1:48" x14ac:dyDescent="0.2">
      <c r="A48" s="2">
        <v>42124</v>
      </c>
      <c r="B48" s="6">
        <f>IFERROR('raw-Return'!B49-Table14[[#This Row],[RF]],"")</f>
        <v>-1.9432773094565205E-3</v>
      </c>
      <c r="C48" s="6">
        <f>IFERROR('raw-Return'!C49-Table14[[#This Row],[RF]],"")</f>
        <v>-2.2607358344981345E-3</v>
      </c>
      <c r="D48" s="6">
        <f>IFERROR('raw-Return'!D49-Table14[[#This Row],[RF]],"")</f>
        <v>-2.435784813256109E-3</v>
      </c>
      <c r="E48" s="6">
        <f>IFERROR('raw-Return'!E49-Table14[[#This Row],[RF]],"")</f>
        <v>-2.1508368999001272E-3</v>
      </c>
      <c r="F48" s="6">
        <f>IFERROR('raw-Return'!F49-Table14[[#This Row],[RF]],"")</f>
        <v>-2.3601578004645964E-3</v>
      </c>
      <c r="G48" s="6">
        <f>IFERROR('raw-Return'!G49-Table14[[#This Row],[RF]],"")</f>
        <v>2.9883677152513664E-3</v>
      </c>
      <c r="H48" s="6">
        <f>IFERROR('raw-Return'!H49-Table14[[#This Row],[RF]],"")</f>
        <v>-2.7869145475373541E-2</v>
      </c>
      <c r="I48" s="6">
        <f>IFERROR('raw-Return'!I49-Table14[[#This Row],[RF]],"")</f>
        <v>-2.7077626314477281E-2</v>
      </c>
      <c r="J48" s="6">
        <f>IFERROR('raw-Return'!J49-Table14[[#This Row],[RF]],"")</f>
        <v>-2.8123352826440611E-2</v>
      </c>
      <c r="K48" s="6">
        <f>IFERROR('raw-Return'!K49-Table14[[#This Row],[RF]],"")</f>
        <v>8.6631996320205747E-3</v>
      </c>
      <c r="L48" s="6">
        <f>IFERROR('raw-Return'!L49-Table14[[#This Row],[RF]],"")</f>
        <v>-9.4219165081802329E-3</v>
      </c>
      <c r="M48" s="6">
        <f>IFERROR('raw-Return'!M49-Table14[[#This Row],[RF]],"")</f>
        <v>6.1709095853102079E-3</v>
      </c>
      <c r="N48" s="6">
        <f>IFERROR('raw-Return'!N49-Table14[[#This Row],[RF]],"")</f>
        <v>-4.9269347875095905E-3</v>
      </c>
      <c r="O48" s="6">
        <f>IFERROR('raw-Return'!O49-Table14[[#This Row],[RF]],"")</f>
        <v>-7.404167099965814E-3</v>
      </c>
      <c r="P48" s="6">
        <f>IFERROR('raw-Return'!P49-Table14[[#This Row],[RF]],"")</f>
        <v>-4.3434740470586876E-3</v>
      </c>
      <c r="Q48" s="6">
        <f>IFERROR('raw-Return'!Q49-Table14[[#This Row],[RF]],"")</f>
        <v>-2.2477594901860614E-2</v>
      </c>
      <c r="R48" s="6">
        <f>IFERROR('raw-Return'!R49-Table14[[#This Row],[RF]],"")</f>
        <v>-2.321276899644507E-2</v>
      </c>
      <c r="S48" s="6">
        <f>IFERROR('raw-Return'!S49-Table14[[#This Row],[RF]],"")</f>
        <v>4.9940876465772149E-4</v>
      </c>
      <c r="T48" s="6">
        <f>IFERROR('raw-Return'!T49-Table14[[#This Row],[RF]],"")</f>
        <v>-3.5803455284552851E-2</v>
      </c>
      <c r="U48" s="6">
        <f>IFERROR('raw-Return'!U49-Table14[[#This Row],[RF]],"")</f>
        <v>1.8696598190655221E-3</v>
      </c>
      <c r="V48" s="6">
        <f>IFERROR('raw-Return'!V49-Table14[[#This Row],[RF]],"")</f>
        <v>-4.3982868472087601E-3</v>
      </c>
      <c r="W48" s="6">
        <f>IFERROR('raw-Return'!W49-Table14[[#This Row],[RF]],"")</f>
        <v>-3.4041208707462953E-2</v>
      </c>
      <c r="X48" s="6" t="str">
        <f>IFERROR('raw-Return'!X49-Table14[[#This Row],[RF]],"")</f>
        <v/>
      </c>
      <c r="Y48" s="6">
        <f>IFERROR('raw-Return'!Y49-Table14[[#This Row],[RF]],"")</f>
        <v>-2.2670195021232522E-3</v>
      </c>
      <c r="Z48" s="6">
        <f>IFERROR('raw-Return'!Z49-Table14[[#This Row],[RF]],"")</f>
        <v>-1.8028800388469862E-2</v>
      </c>
      <c r="AA48" s="6">
        <f>IFERROR('raw-Return'!AA49-Table14[[#This Row],[RF]],"")</f>
        <v>-6.6451630449140099E-3</v>
      </c>
      <c r="AB48" s="6">
        <f>IFERROR('raw-Return'!AB49-Table14[[#This Row],[RF]],"")</f>
        <v>-2.6631376324643168E-2</v>
      </c>
      <c r="AC48" s="6">
        <f>IFERROR('raw-Return'!AC49-Table14[[#This Row],[RF]],"")</f>
        <v>-2.6631376324643168E-2</v>
      </c>
      <c r="AD48" s="6">
        <f>IFERROR('raw-Return'!AD49-Table14[[#This Row],[RF]],"")</f>
        <v>6.9302821355343878E-3</v>
      </c>
      <c r="AE48" s="6">
        <f>IFERROR('raw-Return'!AE49-Table14[[#This Row],[RF]],"")</f>
        <v>-3.028596093267109E-2</v>
      </c>
      <c r="AF48" s="6">
        <f>IFERROR('raw-Return'!AF49-Table14[[#This Row],[RF]],"")</f>
        <v>-1.8915285506717451E-3</v>
      </c>
      <c r="AG48" s="6">
        <f>IFERROR('raw-Return'!AG49-Table14[[#This Row],[RF]],"")</f>
        <v>-1.9813213827819736E-2</v>
      </c>
      <c r="AH48" s="6">
        <f>IFERROR('raw-Return'!AH49-Table14[[#This Row],[RF]],"")</f>
        <v>-2.3000202902427196E-2</v>
      </c>
      <c r="AI48" s="6" t="str">
        <f>IFERROR('raw-Return'!AI49-Table14[[#This Row],[RF]],"")</f>
        <v/>
      </c>
      <c r="AJ48" s="6">
        <f>IFERROR('raw-Return'!AJ49-Table14[[#This Row],[RF]],"")</f>
        <v>-2.2307598596328231E-2</v>
      </c>
      <c r="AK48" s="6">
        <f>IFERROR('raw-Return'!AK49-Table14[[#This Row],[RF]],"")</f>
        <v>-9.3910864914261531E-3</v>
      </c>
      <c r="AL48" s="6">
        <f>IFERROR('raw-Return'!AL49-Table14[[#This Row],[RF]],"")</f>
        <v>-2.4960935740611073E-2</v>
      </c>
      <c r="AM48" s="6">
        <f>IFERROR('raw-Return'!AM49-Table14[[#This Row],[RF]],"")</f>
        <v>-4.8125940490976279E-2</v>
      </c>
      <c r="AN48" s="6">
        <f>IFERROR('raw-Return'!AN49-Table14[[#This Row],[RF]],"")</f>
        <v>-2.36609141442151E-2</v>
      </c>
      <c r="AO48" s="6">
        <f>IFERROR('raw-Return'!AO49-Table14[[#This Row],[RF]],"")</f>
        <v>-4.4259580145962043E-3</v>
      </c>
      <c r="AP48" s="6">
        <f>IFERROR('raw-Return'!AP49-Table14[[#This Row],[RF]],"")</f>
        <v>-4.4259580145962043E-3</v>
      </c>
      <c r="AQ48" s="6">
        <f>IFERROR('raw-Return'!AQ49-Table14[[#This Row],[RF]],"")</f>
        <v>6.70824387450743E-3</v>
      </c>
      <c r="AR48" s="6">
        <f>IFERROR('raw-Return'!AR49-Table14[[#This Row],[RF]],"")</f>
        <v>-2.385641938921133E-2</v>
      </c>
      <c r="AS48" s="6">
        <f>IFERROR('raw-Return'!AS49-Table14[[#This Row],[RF]],"")</f>
        <v>-3.0734304708002185E-2</v>
      </c>
      <c r="AT48" s="6">
        <f>IFERROR('raw-Return'!AT49-Table14[[#This Row],[RF]],"")</f>
        <v>-5.8999999999999999E-3</v>
      </c>
      <c r="AU48" s="6">
        <f>IFERROR('raw-Return'!AU49-Table14[[#This Row],[RF]],"")</f>
        <v>-5.8999999999999999E-3</v>
      </c>
      <c r="AV48" s="6">
        <f>IFERROR('raw-Return'!AV49-Table14[[#This Row],[RF]],"")</f>
        <v>-5.8999999999999999E-3</v>
      </c>
    </row>
    <row r="49" spans="1:48" x14ac:dyDescent="0.2">
      <c r="A49" s="2">
        <v>42094</v>
      </c>
      <c r="B49" s="6">
        <f>IFERROR('raw-Return'!B50-Table14[[#This Row],[RF]],"")</f>
        <v>-4.9817599618727643E-3</v>
      </c>
      <c r="C49" s="6">
        <f>IFERROR('raw-Return'!C50-Table14[[#This Row],[RF]],"")</f>
        <v>-3.3342920524287986E-2</v>
      </c>
      <c r="D49" s="6">
        <f>IFERROR('raw-Return'!D50-Table14[[#This Row],[RF]],"")</f>
        <v>-3.9338534156826283E-3</v>
      </c>
      <c r="E49" s="6">
        <f>IFERROR('raw-Return'!E50-Table14[[#This Row],[RF]],"")</f>
        <v>8.02949333305715E-3</v>
      </c>
      <c r="F49" s="6">
        <f>IFERROR('raw-Return'!F50-Table14[[#This Row],[RF]],"")</f>
        <v>5.3685337725094678E-3</v>
      </c>
      <c r="G49" s="6">
        <f>IFERROR('raw-Return'!G50-Table14[[#This Row],[RF]],"")</f>
        <v>-8.0062295532300362E-2</v>
      </c>
      <c r="H49" s="6">
        <f>IFERROR('raw-Return'!H50-Table14[[#This Row],[RF]],"")</f>
        <v>6.7747546051689547E-2</v>
      </c>
      <c r="I49" s="6">
        <f>IFERROR('raw-Return'!I50-Table14[[#This Row],[RF]],"")</f>
        <v>7.3872132469329124E-2</v>
      </c>
      <c r="J49" s="6">
        <f>IFERROR('raw-Return'!J50-Table14[[#This Row],[RF]],"")</f>
        <v>6.3502693643035527E-2</v>
      </c>
      <c r="K49" s="6">
        <f>IFERROR('raw-Return'!K50-Table14[[#This Row],[RF]],"")</f>
        <v>6.9337405955033696E-2</v>
      </c>
      <c r="L49" s="6">
        <f>IFERROR('raw-Return'!L50-Table14[[#This Row],[RF]],"")</f>
        <v>7.0988464650089469E-2</v>
      </c>
      <c r="M49" s="6">
        <f>IFERROR('raw-Return'!M50-Table14[[#This Row],[RF]],"")</f>
        <v>6.7869469578918942E-2</v>
      </c>
      <c r="N49" s="6">
        <f>IFERROR('raw-Return'!N50-Table14[[#This Row],[RF]],"")</f>
        <v>-1.1579055614857475E-3</v>
      </c>
      <c r="O49" s="6">
        <f>IFERROR('raw-Return'!O50-Table14[[#This Row],[RF]],"")</f>
        <v>-2.3545127490029225E-2</v>
      </c>
      <c r="P49" s="6">
        <f>IFERROR('raw-Return'!P50-Table14[[#This Row],[RF]],"")</f>
        <v>7.6681936488949415E-3</v>
      </c>
      <c r="Q49" s="6">
        <f>IFERROR('raw-Return'!Q50-Table14[[#This Row],[RF]],"")</f>
        <v>7.2857920667112844E-2</v>
      </c>
      <c r="R49" s="6">
        <f>IFERROR('raw-Return'!R50-Table14[[#This Row],[RF]],"")</f>
        <v>6.9659957656829211E-2</v>
      </c>
      <c r="S49" s="6">
        <f>IFERROR('raw-Return'!S50-Table14[[#This Row],[RF]],"")</f>
        <v>-5.3063769170656888E-3</v>
      </c>
      <c r="T49" s="6">
        <f>IFERROR('raw-Return'!T50-Table14[[#This Row],[RF]],"")</f>
        <v>7.21470528742333E-2</v>
      </c>
      <c r="U49" s="6">
        <f>IFERROR('raw-Return'!U50-Table14[[#This Row],[RF]],"")</f>
        <v>-4.5643489225383846E-2</v>
      </c>
      <c r="V49" s="6">
        <f>IFERROR('raw-Return'!V50-Table14[[#This Row],[RF]],"")</f>
        <v>8.5621780536352526E-3</v>
      </c>
      <c r="W49" s="6">
        <f>IFERROR('raw-Return'!W50-Table14[[#This Row],[RF]],"")</f>
        <v>6.7085821974434259E-2</v>
      </c>
      <c r="X49" s="6" t="str">
        <f>IFERROR('raw-Return'!X50-Table14[[#This Row],[RF]],"")</f>
        <v/>
      </c>
      <c r="Y49" s="6">
        <f>IFERROR('raw-Return'!Y50-Table14[[#This Row],[RF]],"")</f>
        <v>6.7487869074531887E-3</v>
      </c>
      <c r="Z49" s="6">
        <f>IFERROR('raw-Return'!Z50-Table14[[#This Row],[RF]],"")</f>
        <v>4.8017602582927435E-2</v>
      </c>
      <c r="AA49" s="6">
        <f>IFERROR('raw-Return'!AA50-Table14[[#This Row],[RF]],"")</f>
        <v>6.4701528827819335E-2</v>
      </c>
      <c r="AB49" s="6">
        <f>IFERROR('raw-Return'!AB50-Table14[[#This Row],[RF]],"")</f>
        <v>6.7182382887983075E-2</v>
      </c>
      <c r="AC49" s="6">
        <f>IFERROR('raw-Return'!AC50-Table14[[#This Row],[RF]],"")</f>
        <v>6.7182382887983075E-2</v>
      </c>
      <c r="AD49" s="6">
        <f>IFERROR('raw-Return'!AD50-Table14[[#This Row],[RF]],"")</f>
        <v>7.7354125064761484E-2</v>
      </c>
      <c r="AE49" s="6">
        <f>IFERROR('raw-Return'!AE50-Table14[[#This Row],[RF]],"")</f>
        <v>7.7367932152854549E-2</v>
      </c>
      <c r="AF49" s="6">
        <f>IFERROR('raw-Return'!AF50-Table14[[#This Row],[RF]],"")</f>
        <v>7.1908108033894261E-2</v>
      </c>
      <c r="AG49" s="6">
        <f>IFERROR('raw-Return'!AG50-Table14[[#This Row],[RF]],"")</f>
        <v>7.3952860548882074E-2</v>
      </c>
      <c r="AH49" s="6">
        <f>IFERROR('raw-Return'!AH50-Table14[[#This Row],[RF]],"")</f>
        <v>7.0724493932739066E-2</v>
      </c>
      <c r="AI49" s="6" t="str">
        <f>IFERROR('raw-Return'!AI50-Table14[[#This Row],[RF]],"")</f>
        <v/>
      </c>
      <c r="AJ49" s="6">
        <f>IFERROR('raw-Return'!AJ50-Table14[[#This Row],[RF]],"")</f>
        <v>6.8826482375428447E-2</v>
      </c>
      <c r="AK49" s="6">
        <f>IFERROR('raw-Return'!AK50-Table14[[#This Row],[RF]],"")</f>
        <v>9.1353652983355987E-3</v>
      </c>
      <c r="AL49" s="6">
        <f>IFERROR('raw-Return'!AL50-Table14[[#This Row],[RF]],"")</f>
        <v>6.4272806338979152E-2</v>
      </c>
      <c r="AM49" s="6">
        <f>IFERROR('raw-Return'!AM50-Table14[[#This Row],[RF]],"")</f>
        <v>7.3664076354374233E-2</v>
      </c>
      <c r="AN49" s="6">
        <f>IFERROR('raw-Return'!AN50-Table14[[#This Row],[RF]],"")</f>
        <v>6.9312348422339146E-2</v>
      </c>
      <c r="AO49" s="6">
        <f>IFERROR('raw-Return'!AO50-Table14[[#This Row],[RF]],"")</f>
        <v>2.207472486726049E-2</v>
      </c>
      <c r="AP49" s="6">
        <f>IFERROR('raw-Return'!AP50-Table14[[#This Row],[RF]],"")</f>
        <v>2.207472486726049E-2</v>
      </c>
      <c r="AQ49" s="6">
        <f>IFERROR('raw-Return'!AQ50-Table14[[#This Row],[RF]],"")</f>
        <v>7.1952429253868813E-2</v>
      </c>
      <c r="AR49" s="6">
        <f>IFERROR('raw-Return'!AR50-Table14[[#This Row],[RF]],"")</f>
        <v>6.8980731352145899E-2</v>
      </c>
      <c r="AS49" s="6">
        <f>IFERROR('raw-Return'!AS50-Table14[[#This Row],[RF]],"")</f>
        <v>6.015860026626009E-2</v>
      </c>
      <c r="AT49" s="6">
        <f>IFERROR('raw-Return'!AT50-Table14[[#This Row],[RF]],"")</f>
        <v>1.1200000000000002E-2</v>
      </c>
      <c r="AU49" s="6">
        <f>IFERROR('raw-Return'!AU50-Table14[[#This Row],[RF]],"")</f>
        <v>1.1200000000000002E-2</v>
      </c>
      <c r="AV49" s="6">
        <f>IFERROR('raw-Return'!AV50-Table14[[#This Row],[RF]],"")</f>
        <v>1.1200000000000002E-2</v>
      </c>
    </row>
    <row r="50" spans="1:48" x14ac:dyDescent="0.2">
      <c r="A50" s="2">
        <v>42063</v>
      </c>
      <c r="B50" s="6">
        <f>IFERROR('raw-Return'!B51-Table14[[#This Row],[RF]],"")</f>
        <v>-3.0431538416750704E-2</v>
      </c>
      <c r="C50" s="6">
        <f>IFERROR('raw-Return'!C51-Table14[[#This Row],[RF]],"")</f>
        <v>4.1581350264571423E-3</v>
      </c>
      <c r="D50" s="6">
        <f>IFERROR('raw-Return'!D51-Table14[[#This Row],[RF]],"")</f>
        <v>-3.7255505350902808E-2</v>
      </c>
      <c r="E50" s="6">
        <f>IFERROR('raw-Return'!E51-Table14[[#This Row],[RF]],"")</f>
        <v>-4.3339827178928571E-2</v>
      </c>
      <c r="F50" s="6">
        <f>IFERROR('raw-Return'!F51-Table14[[#This Row],[RF]],"")</f>
        <v>-5.1838852877811405E-2</v>
      </c>
      <c r="G50" s="6">
        <f>IFERROR('raw-Return'!G51-Table14[[#This Row],[RF]],"")</f>
        <v>8.1219787321591325E-2</v>
      </c>
      <c r="H50" s="6">
        <f>IFERROR('raw-Return'!H51-Table14[[#This Row],[RF]],"")</f>
        <v>-9.2074701247138541E-2</v>
      </c>
      <c r="I50" s="6">
        <f>IFERROR('raw-Return'!I51-Table14[[#This Row],[RF]],"")</f>
        <v>-7.5451336913003403E-2</v>
      </c>
      <c r="J50" s="6">
        <f>IFERROR('raw-Return'!J51-Table14[[#This Row],[RF]],"")</f>
        <v>-0.10414679514092337</v>
      </c>
      <c r="K50" s="6">
        <f>IFERROR('raw-Return'!K51-Table14[[#This Row],[RF]],"")</f>
        <v>-8.2848623280734807E-2</v>
      </c>
      <c r="L50" s="6">
        <f>IFERROR('raw-Return'!L51-Table14[[#This Row],[RF]],"")</f>
        <v>-7.0621879012866734E-2</v>
      </c>
      <c r="M50" s="6">
        <f>IFERROR('raw-Return'!M51-Table14[[#This Row],[RF]],"")</f>
        <v>-9.4304801392808585E-2</v>
      </c>
      <c r="N50" s="6">
        <f>IFERROR('raw-Return'!N51-Table14[[#This Row],[RF]],"")</f>
        <v>-3.1033815485589235E-2</v>
      </c>
      <c r="O50" s="6">
        <f>IFERROR('raw-Return'!O51-Table14[[#This Row],[RF]],"")</f>
        <v>-4.8704560992093096E-3</v>
      </c>
      <c r="P50" s="6">
        <f>IFERROR('raw-Return'!P51-Table14[[#This Row],[RF]],"")</f>
        <v>-5.1972705951319177E-2</v>
      </c>
      <c r="Q50" s="6">
        <f>IFERROR('raw-Return'!Q51-Table14[[#This Row],[RF]],"")</f>
        <v>-5.4171749572188822E-2</v>
      </c>
      <c r="R50" s="6">
        <f>IFERROR('raw-Return'!R51-Table14[[#This Row],[RF]],"")</f>
        <v>-6.1516386150688863E-2</v>
      </c>
      <c r="S50" s="6">
        <f>IFERROR('raw-Return'!S51-Table14[[#This Row],[RF]],"")</f>
        <v>-3.6495087673162986E-2</v>
      </c>
      <c r="T50" s="6">
        <f>IFERROR('raw-Return'!T51-Table14[[#This Row],[RF]],"")</f>
        <v>-5.6147783218804516E-2</v>
      </c>
      <c r="U50" s="6">
        <f>IFERROR('raw-Return'!U51-Table14[[#This Row],[RF]],"")</f>
        <v>2.5279735332973584E-2</v>
      </c>
      <c r="V50" s="6">
        <f>IFERROR('raw-Return'!V51-Table14[[#This Row],[RF]],"")</f>
        <v>-5.647344978510236E-2</v>
      </c>
      <c r="W50" s="6">
        <f>IFERROR('raw-Return'!W51-Table14[[#This Row],[RF]],"")</f>
        <v>-9.5118125678510718E-2</v>
      </c>
      <c r="X50" s="6" t="str">
        <f>IFERROR('raw-Return'!X51-Table14[[#This Row],[RF]],"")</f>
        <v/>
      </c>
      <c r="Y50" s="6">
        <f>IFERROR('raw-Return'!Y51-Table14[[#This Row],[RF]],"")</f>
        <v>-5.2494628036420556E-2</v>
      </c>
      <c r="Z50" s="6">
        <f>IFERROR('raw-Return'!Z51-Table14[[#This Row],[RF]],"")</f>
        <v>-3.4771690561726888E-2</v>
      </c>
      <c r="AA50" s="6">
        <f>IFERROR('raw-Return'!AA51-Table14[[#This Row],[RF]],"")</f>
        <v>-8.5012144389399164E-2</v>
      </c>
      <c r="AB50" s="6">
        <f>IFERROR('raw-Return'!AB51-Table14[[#This Row],[RF]],"")</f>
        <v>-9.0160638289684875E-2</v>
      </c>
      <c r="AC50" s="6">
        <f>IFERROR('raw-Return'!AC51-Table14[[#This Row],[RF]],"")</f>
        <v>-9.0160638289684875E-2</v>
      </c>
      <c r="AD50" s="6">
        <f>IFERROR('raw-Return'!AD51-Table14[[#This Row],[RF]],"")</f>
        <v>-7.6565815043673074E-2</v>
      </c>
      <c r="AE50" s="6">
        <f>IFERROR('raw-Return'!AE51-Table14[[#This Row],[RF]],"")</f>
        <v>-8.0271970526552855E-2</v>
      </c>
      <c r="AF50" s="6">
        <f>IFERROR('raw-Return'!AF51-Table14[[#This Row],[RF]],"")</f>
        <v>-4.9508800037559732E-2</v>
      </c>
      <c r="AG50" s="6">
        <f>IFERROR('raw-Return'!AG51-Table14[[#This Row],[RF]],"")</f>
        <v>-6.7515122103327302E-2</v>
      </c>
      <c r="AH50" s="6">
        <f>IFERROR('raw-Return'!AH51-Table14[[#This Row],[RF]],"")</f>
        <v>-7.7553672600103457E-2</v>
      </c>
      <c r="AI50" s="6" t="str">
        <f>IFERROR('raw-Return'!AI51-Table14[[#This Row],[RF]],"")</f>
        <v/>
      </c>
      <c r="AJ50" s="6">
        <f>IFERROR('raw-Return'!AJ51-Table14[[#This Row],[RF]],"")</f>
        <v>-8.8773632047023682E-2</v>
      </c>
      <c r="AK50" s="6">
        <f>IFERROR('raw-Return'!AK51-Table14[[#This Row],[RF]],"")</f>
        <v>-5.1155054137817492E-2</v>
      </c>
      <c r="AL50" s="6">
        <f>IFERROR('raw-Return'!AL51-Table14[[#This Row],[RF]],"")</f>
        <v>-0.1022973832867666</v>
      </c>
      <c r="AM50" s="6">
        <f>IFERROR('raw-Return'!AM51-Table14[[#This Row],[RF]],"")</f>
        <v>-7.6342315254176424E-2</v>
      </c>
      <c r="AN50" s="6">
        <f>IFERROR('raw-Return'!AN51-Table14[[#This Row],[RF]],"")</f>
        <v>-9.0896491988245204E-2</v>
      </c>
      <c r="AO50" s="6">
        <f>IFERROR('raw-Return'!AO51-Table14[[#This Row],[RF]],"")</f>
        <v>-5.5491566221199752E-2</v>
      </c>
      <c r="AP50" s="6">
        <f>IFERROR('raw-Return'!AP51-Table14[[#This Row],[RF]],"")</f>
        <v>-5.5491566221199752E-2</v>
      </c>
      <c r="AQ50" s="6">
        <f>IFERROR('raw-Return'!AQ51-Table14[[#This Row],[RF]],"")</f>
        <v>-8.0671045856502949E-2</v>
      </c>
      <c r="AR50" s="6">
        <f>IFERROR('raw-Return'!AR51-Table14[[#This Row],[RF]],"")</f>
        <v>-5.8647558023978121E-2</v>
      </c>
      <c r="AS50" s="6">
        <f>IFERROR('raw-Return'!AS51-Table14[[#This Row],[RF]],"")</f>
        <v>-9.0130535984643795E-2</v>
      </c>
      <c r="AT50" s="6">
        <f>IFERROR('raw-Return'!AT51-Table14[[#This Row],[RF]],"")</f>
        <v>-6.13E-2</v>
      </c>
      <c r="AU50" s="6">
        <f>IFERROR('raw-Return'!AU51-Table14[[#This Row],[RF]],"")</f>
        <v>-6.13E-2</v>
      </c>
      <c r="AV50" s="6">
        <f>IFERROR('raw-Return'!AV51-Table14[[#This Row],[RF]],"")</f>
        <v>-6.13E-2</v>
      </c>
    </row>
    <row r="51" spans="1:48" x14ac:dyDescent="0.2">
      <c r="A51" s="2">
        <v>42035</v>
      </c>
      <c r="B51" s="6">
        <f>IFERROR('raw-Return'!B52-Table14[[#This Row],[RF]],"")</f>
        <v>2.0973975613462908E-2</v>
      </c>
      <c r="C51" s="6">
        <f>IFERROR('raw-Return'!C52-Table14[[#This Row],[RF]],"")</f>
        <v>4.5647142776890623E-2</v>
      </c>
      <c r="D51" s="6">
        <f>IFERROR('raw-Return'!D52-Table14[[#This Row],[RF]],"")</f>
        <v>2.5100444545592109E-2</v>
      </c>
      <c r="E51" s="6">
        <f>IFERROR('raw-Return'!E52-Table14[[#This Row],[RF]],"")</f>
        <v>3.7399634539338908E-2</v>
      </c>
      <c r="F51" s="6">
        <f>IFERROR('raw-Return'!F52-Table14[[#This Row],[RF]],"")</f>
        <v>2.5052167071757597E-2</v>
      </c>
      <c r="G51" s="6">
        <f>IFERROR('raw-Return'!G52-Table14[[#This Row],[RF]],"")</f>
        <v>7.2834431557418186E-2</v>
      </c>
      <c r="H51" s="6">
        <f>IFERROR('raw-Return'!H52-Table14[[#This Row],[RF]],"")</f>
        <v>2.3639200737843074E-2</v>
      </c>
      <c r="I51" s="6">
        <f>IFERROR('raw-Return'!I52-Table14[[#This Row],[RF]],"")</f>
        <v>1.6702118527571957E-2</v>
      </c>
      <c r="J51" s="6">
        <f>IFERROR('raw-Return'!J52-Table14[[#This Row],[RF]],"")</f>
        <v>2.7030271103021235E-2</v>
      </c>
      <c r="K51" s="6">
        <f>IFERROR('raw-Return'!K52-Table14[[#This Row],[RF]],"")</f>
        <v>2.9532264122459777E-2</v>
      </c>
      <c r="L51" s="6">
        <f>IFERROR('raw-Return'!L52-Table14[[#This Row],[RF]],"")</f>
        <v>2.8719100799478463E-2</v>
      </c>
      <c r="M51" s="6">
        <f>IFERROR('raw-Return'!M52-Table14[[#This Row],[RF]],"")</f>
        <v>3.1566857117130906E-2</v>
      </c>
      <c r="N51" s="6">
        <f>IFERROR('raw-Return'!N52-Table14[[#This Row],[RF]],"")</f>
        <v>2.167846527385962E-2</v>
      </c>
      <c r="O51" s="6">
        <f>IFERROR('raw-Return'!O52-Table14[[#This Row],[RF]],"")</f>
        <v>4.153062747112389E-2</v>
      </c>
      <c r="P51" s="6">
        <f>IFERROR('raw-Return'!P52-Table14[[#This Row],[RF]],"")</f>
        <v>2.422492898877902E-2</v>
      </c>
      <c r="Q51" s="6">
        <f>IFERROR('raw-Return'!Q52-Table14[[#This Row],[RF]],"")</f>
        <v>-1.2591582768358717E-2</v>
      </c>
      <c r="R51" s="6">
        <f>IFERROR('raw-Return'!R52-Table14[[#This Row],[RF]],"")</f>
        <v>-1.6019723648336499E-2</v>
      </c>
      <c r="S51" s="6">
        <f>IFERROR('raw-Return'!S52-Table14[[#This Row],[RF]],"")</f>
        <v>2.7361436818096867E-2</v>
      </c>
      <c r="T51" s="6">
        <f>IFERROR('raw-Return'!T52-Table14[[#This Row],[RF]],"")</f>
        <v>-2.1011191231534183E-2</v>
      </c>
      <c r="U51" s="6">
        <f>IFERROR('raw-Return'!U52-Table14[[#This Row],[RF]],"")</f>
        <v>5.7210658250048105E-2</v>
      </c>
      <c r="V51" s="6">
        <f>IFERROR('raw-Return'!V52-Table14[[#This Row],[RF]],"")</f>
        <v>2.7305351225516566E-2</v>
      </c>
      <c r="W51" s="6">
        <f>IFERROR('raw-Return'!W52-Table14[[#This Row],[RF]],"")</f>
        <v>2.6589577075330478E-2</v>
      </c>
      <c r="X51" s="6" t="str">
        <f>IFERROR('raw-Return'!X52-Table14[[#This Row],[RF]],"")</f>
        <v/>
      </c>
      <c r="Y51" s="6">
        <f>IFERROR('raw-Return'!Y52-Table14[[#This Row],[RF]],"")</f>
        <v>2.6612839293051898E-2</v>
      </c>
      <c r="Z51" s="6">
        <f>IFERROR('raw-Return'!Z52-Table14[[#This Row],[RF]],"")</f>
        <v>-1.6965553266208761E-2</v>
      </c>
      <c r="AA51" s="6">
        <f>IFERROR('raw-Return'!AA52-Table14[[#This Row],[RF]],"")</f>
        <v>2.1353514913384646E-2</v>
      </c>
      <c r="AB51" s="6">
        <f>IFERROR('raw-Return'!AB52-Table14[[#This Row],[RF]],"")</f>
        <v>2.2520391602662709E-2</v>
      </c>
      <c r="AC51" s="6">
        <f>IFERROR('raw-Return'!AC52-Table14[[#This Row],[RF]],"")</f>
        <v>2.2520391602662709E-2</v>
      </c>
      <c r="AD51" s="6">
        <f>IFERROR('raw-Return'!AD52-Table14[[#This Row],[RF]],"")</f>
        <v>2.0899320792453584E-2</v>
      </c>
      <c r="AE51" s="6">
        <f>IFERROR('raw-Return'!AE52-Table14[[#This Row],[RF]],"")</f>
        <v>-2.6664282497622444E-2</v>
      </c>
      <c r="AF51" s="6">
        <f>IFERROR('raw-Return'!AF52-Table14[[#This Row],[RF]],"")</f>
        <v>-1.9046224699480648E-3</v>
      </c>
      <c r="AG51" s="6">
        <f>IFERROR('raw-Return'!AG52-Table14[[#This Row],[RF]],"")</f>
        <v>-3.3288910676718859E-3</v>
      </c>
      <c r="AH51" s="6">
        <f>IFERROR('raw-Return'!AH52-Table14[[#This Row],[RF]],"")</f>
        <v>5.1444867865801762E-3</v>
      </c>
      <c r="AI51" s="6" t="str">
        <f>IFERROR('raw-Return'!AI52-Table14[[#This Row],[RF]],"")</f>
        <v/>
      </c>
      <c r="AJ51" s="6">
        <f>IFERROR('raw-Return'!AJ52-Table14[[#This Row],[RF]],"")</f>
        <v>2.5567339015598361E-2</v>
      </c>
      <c r="AK51" s="6">
        <f>IFERROR('raw-Return'!AK52-Table14[[#This Row],[RF]],"")</f>
        <v>8.9947421766122075E-3</v>
      </c>
      <c r="AL51" s="6">
        <f>IFERROR('raw-Return'!AL52-Table14[[#This Row],[RF]],"")</f>
        <v>2.8617407251347853E-2</v>
      </c>
      <c r="AM51" s="6">
        <f>IFERROR('raw-Return'!AM52-Table14[[#This Row],[RF]],"")</f>
        <v>1.7617936309106113E-2</v>
      </c>
      <c r="AN51" s="6">
        <f>IFERROR('raw-Return'!AN52-Table14[[#This Row],[RF]],"")</f>
        <v>2.3242276116410481E-2</v>
      </c>
      <c r="AO51" s="6">
        <f>IFERROR('raw-Return'!AO52-Table14[[#This Row],[RF]],"")</f>
        <v>-2.7643581075311903E-3</v>
      </c>
      <c r="AP51" s="6">
        <f>IFERROR('raw-Return'!AP52-Table14[[#This Row],[RF]],"")</f>
        <v>-2.7643581075311903E-3</v>
      </c>
      <c r="AQ51" s="6">
        <f>IFERROR('raw-Return'!AQ52-Table14[[#This Row],[RF]],"")</f>
        <v>2.7147501684551361E-2</v>
      </c>
      <c r="AR51" s="6">
        <f>IFERROR('raw-Return'!AR52-Table14[[#This Row],[RF]],"")</f>
        <v>-1.5442915407053687E-2</v>
      </c>
      <c r="AS51" s="6">
        <f>IFERROR('raw-Return'!AS52-Table14[[#This Row],[RF]],"")</f>
        <v>1.1710413540960789E-2</v>
      </c>
      <c r="AT51" s="6">
        <f>IFERROR('raw-Return'!AT52-Table14[[#This Row],[RF]],"")</f>
        <v>3.1099999999999999E-2</v>
      </c>
      <c r="AU51" s="6">
        <f>IFERROR('raw-Return'!AU52-Table14[[#This Row],[RF]],"")</f>
        <v>3.1099999999999999E-2</v>
      </c>
      <c r="AV51" s="6">
        <f>IFERROR('raw-Return'!AV52-Table14[[#This Row],[RF]],"")</f>
        <v>3.1099999999999999E-2</v>
      </c>
    </row>
    <row r="52" spans="1:48" x14ac:dyDescent="0.2">
      <c r="A52" s="2">
        <v>42004</v>
      </c>
      <c r="B52" s="6">
        <f>IFERROR('raw-Return'!B53-Table14[[#This Row],[RF]],"")</f>
        <v>6.8553488084839957E-3</v>
      </c>
      <c r="C52" s="6">
        <f>IFERROR('raw-Return'!C53-Table14[[#This Row],[RF]],"")</f>
        <v>1.4261764317656866E-2</v>
      </c>
      <c r="D52" s="6">
        <f>IFERROR('raw-Return'!D53-Table14[[#This Row],[RF]],"")</f>
        <v>6.8193627599778088E-3</v>
      </c>
      <c r="E52" s="6">
        <f>IFERROR('raw-Return'!E53-Table14[[#This Row],[RF]],"")</f>
        <v>8.3664166783468767E-3</v>
      </c>
      <c r="F52" s="6">
        <f>IFERROR('raw-Return'!F53-Table14[[#This Row],[RF]],"")</f>
        <v>2.1731072129718802E-3</v>
      </c>
      <c r="G52" s="6">
        <f>IFERROR('raw-Return'!G53-Table14[[#This Row],[RF]],"")</f>
        <v>4.3842680643730494E-2</v>
      </c>
      <c r="H52" s="6">
        <f>IFERROR('raw-Return'!H53-Table14[[#This Row],[RF]],"")</f>
        <v>2.6379233483815389E-2</v>
      </c>
      <c r="I52" s="6">
        <f>IFERROR('raw-Return'!I53-Table14[[#This Row],[RF]],"")</f>
        <v>3.1472954266406353E-2</v>
      </c>
      <c r="J52" s="6">
        <f>IFERROR('raw-Return'!J53-Table14[[#This Row],[RF]],"")</f>
        <v>2.3072586927264171E-2</v>
      </c>
      <c r="K52" s="6">
        <f>IFERROR('raw-Return'!K53-Table14[[#This Row],[RF]],"")</f>
        <v>1.1254203117813177E-2</v>
      </c>
      <c r="L52" s="6">
        <f>IFERROR('raw-Return'!L53-Table14[[#This Row],[RF]],"")</f>
        <v>1.050517172491856E-2</v>
      </c>
      <c r="M52" s="6">
        <f>IFERROR('raw-Return'!M53-Table14[[#This Row],[RF]],"")</f>
        <v>1.1610178445769014E-2</v>
      </c>
      <c r="N52" s="6">
        <f>IFERROR('raw-Return'!N53-Table14[[#This Row],[RF]],"")</f>
        <v>5.2194322676480491E-3</v>
      </c>
      <c r="O52" s="6">
        <f>IFERROR('raw-Return'!O53-Table14[[#This Row],[RF]],"")</f>
        <v>3.0287641076012888E-3</v>
      </c>
      <c r="P52" s="6">
        <f>IFERROR('raw-Return'!P53-Table14[[#This Row],[RF]],"")</f>
        <v>1.2586943599513616E-3</v>
      </c>
      <c r="Q52" s="6">
        <f>IFERROR('raw-Return'!Q53-Table14[[#This Row],[RF]],"")</f>
        <v>5.9999999999999995E-4</v>
      </c>
      <c r="R52" s="6">
        <f>IFERROR('raw-Return'!R53-Table14[[#This Row],[RF]],"")</f>
        <v>-2.7144540108864808E-3</v>
      </c>
      <c r="S52" s="6">
        <f>IFERROR('raw-Return'!S53-Table14[[#This Row],[RF]],"")</f>
        <v>6.5996873349843492E-3</v>
      </c>
      <c r="T52" s="6">
        <f>IFERROR('raw-Return'!T53-Table14[[#This Row],[RF]],"")</f>
        <v>2.1285903337179789E-2</v>
      </c>
      <c r="U52" s="6">
        <f>IFERROR('raw-Return'!U53-Table14[[#This Row],[RF]],"")</f>
        <v>2.2726918686078856E-2</v>
      </c>
      <c r="V52" s="6">
        <f>IFERROR('raw-Return'!V53-Table14[[#This Row],[RF]],"")</f>
        <v>1.6357676466681285E-3</v>
      </c>
      <c r="W52" s="6">
        <f>IFERROR('raw-Return'!W53-Table14[[#This Row],[RF]],"")</f>
        <v>3.2734056372494783E-2</v>
      </c>
      <c r="X52" s="6" t="str">
        <f>IFERROR('raw-Return'!X53-Table14[[#This Row],[RF]],"")</f>
        <v/>
      </c>
      <c r="Y52" s="6">
        <f>IFERROR('raw-Return'!Y53-Table14[[#This Row],[RF]],"")</f>
        <v>6.364388777971474E-3</v>
      </c>
      <c r="Z52" s="6">
        <f>IFERROR('raw-Return'!Z53-Table14[[#This Row],[RF]],"")</f>
        <v>-1.0633109534073527E-2</v>
      </c>
      <c r="AA52" s="6">
        <f>IFERROR('raw-Return'!AA53-Table14[[#This Row],[RF]],"")</f>
        <v>2.778606722300998E-2</v>
      </c>
      <c r="AB52" s="6">
        <f>IFERROR('raw-Return'!AB53-Table14[[#This Row],[RF]],"")</f>
        <v>2.796802907535818E-2</v>
      </c>
      <c r="AC52" s="6">
        <f>IFERROR('raw-Return'!AC53-Table14[[#This Row],[RF]],"")</f>
        <v>2.796802907535818E-2</v>
      </c>
      <c r="AD52" s="6">
        <f>IFERROR('raw-Return'!AD53-Table14[[#This Row],[RF]],"")</f>
        <v>3.185026369453621E-2</v>
      </c>
      <c r="AE52" s="6">
        <f>IFERROR('raw-Return'!AE53-Table14[[#This Row],[RF]],"")</f>
        <v>9.4836838961052765E-3</v>
      </c>
      <c r="AF52" s="6">
        <f>IFERROR('raw-Return'!AF53-Table14[[#This Row],[RF]],"")</f>
        <v>-3.7189124811866689E-2</v>
      </c>
      <c r="AG52" s="6">
        <f>IFERROR('raw-Return'!AG53-Table14[[#This Row],[RF]],"")</f>
        <v>-1.8315313440674431E-2</v>
      </c>
      <c r="AH52" s="6">
        <f>IFERROR('raw-Return'!AH53-Table14[[#This Row],[RF]],"")</f>
        <v>1.3236410575549206E-2</v>
      </c>
      <c r="AI52" s="6" t="str">
        <f>IFERROR('raw-Return'!AI53-Table14[[#This Row],[RF]],"")</f>
        <v/>
      </c>
      <c r="AJ52" s="6">
        <f>IFERROR('raw-Return'!AJ53-Table14[[#This Row],[RF]],"")</f>
        <v>2.5345309728557929E-2</v>
      </c>
      <c r="AK52" s="6">
        <f>IFERROR('raw-Return'!AK53-Table14[[#This Row],[RF]],"")</f>
        <v>-9.8228904887192117E-4</v>
      </c>
      <c r="AL52" s="6">
        <f>IFERROR('raw-Return'!AL53-Table14[[#This Row],[RF]],"")</f>
        <v>2.5289913777835359E-2</v>
      </c>
      <c r="AM52" s="6">
        <f>IFERROR('raw-Return'!AM53-Table14[[#This Row],[RF]],"")</f>
        <v>3.141494460510004E-2</v>
      </c>
      <c r="AN52" s="6">
        <f>IFERROR('raw-Return'!AN53-Table14[[#This Row],[RF]],"")</f>
        <v>2.8139252223196531E-2</v>
      </c>
      <c r="AO52" s="6">
        <f>IFERROR('raw-Return'!AO53-Table14[[#This Row],[RF]],"")</f>
        <v>-8.1275209054920035E-3</v>
      </c>
      <c r="AP52" s="6">
        <f>IFERROR('raw-Return'!AP53-Table14[[#This Row],[RF]],"")</f>
        <v>-8.1275209054920035E-3</v>
      </c>
      <c r="AQ52" s="6">
        <f>IFERROR('raw-Return'!AQ53-Table14[[#This Row],[RF]],"")</f>
        <v>1.3919980165694467E-2</v>
      </c>
      <c r="AR52" s="6">
        <f>IFERROR('raw-Return'!AR53-Table14[[#This Row],[RF]],"")</f>
        <v>-4.4957843805023996E-3</v>
      </c>
      <c r="AS52" s="6">
        <f>IFERROR('raw-Return'!AS53-Table14[[#This Row],[RF]],"")</f>
        <v>3.0902072879746289E-2</v>
      </c>
      <c r="AT52" s="6">
        <f>IFERROR('raw-Return'!AT53-Table14[[#This Row],[RF]],"")</f>
        <v>5.9999999999999995E-4</v>
      </c>
      <c r="AU52" s="6">
        <f>IFERROR('raw-Return'!AU53-Table14[[#This Row],[RF]],"")</f>
        <v>5.9999999999999995E-4</v>
      </c>
      <c r="AV52" s="6">
        <f>IFERROR('raw-Return'!AV53-Table14[[#This Row],[RF]],"")</f>
        <v>5.9999999999999995E-4</v>
      </c>
    </row>
    <row r="53" spans="1:48" x14ac:dyDescent="0.2">
      <c r="A53" s="2">
        <v>41973</v>
      </c>
      <c r="B53" s="6">
        <f>IFERROR('raw-Return'!B54-Table14[[#This Row],[RF]],"")</f>
        <v>-1.6612937766234435E-2</v>
      </c>
      <c r="C53" s="6">
        <f>IFERROR('raw-Return'!C54-Table14[[#This Row],[RF]],"")</f>
        <v>-9.539253072686469E-3</v>
      </c>
      <c r="D53" s="6">
        <f>IFERROR('raw-Return'!D54-Table14[[#This Row],[RF]],"")</f>
        <v>-2.0293386200538919E-2</v>
      </c>
      <c r="E53" s="6">
        <f>IFERROR('raw-Return'!E54-Table14[[#This Row],[RF]],"")</f>
        <v>-2.0522492530476253E-2</v>
      </c>
      <c r="F53" s="6">
        <f>IFERROR('raw-Return'!F54-Table14[[#This Row],[RF]],"")</f>
        <v>-2.2501334294465023E-2</v>
      </c>
      <c r="G53" s="6">
        <f>IFERROR('raw-Return'!G54-Table14[[#This Row],[RF]],"")</f>
        <v>1.6307254053374711E-2</v>
      </c>
      <c r="H53" s="6">
        <f>IFERROR('raw-Return'!H54-Table14[[#This Row],[RF]],"")</f>
        <v>-4.0242951054495803E-3</v>
      </c>
      <c r="I53" s="6">
        <f>IFERROR('raw-Return'!I54-Table14[[#This Row],[RF]],"")</f>
        <v>2.8989361134506807E-3</v>
      </c>
      <c r="J53" s="6">
        <f>IFERROR('raw-Return'!J54-Table14[[#This Row],[RF]],"")</f>
        <v>-9.6677586590105148E-3</v>
      </c>
      <c r="K53" s="6">
        <f>IFERROR('raw-Return'!K54-Table14[[#This Row],[RF]],"")</f>
        <v>1.972810135668376E-2</v>
      </c>
      <c r="L53" s="6">
        <f>IFERROR('raw-Return'!L54-Table14[[#This Row],[RF]],"")</f>
        <v>1.339413438057754E-2</v>
      </c>
      <c r="M53" s="6">
        <f>IFERROR('raw-Return'!M54-Table14[[#This Row],[RF]],"")</f>
        <v>2.3005719329738241E-2</v>
      </c>
      <c r="N53" s="6">
        <f>IFERROR('raw-Return'!N54-Table14[[#This Row],[RF]],"")</f>
        <v>-1.6796891322190675E-2</v>
      </c>
      <c r="O53" s="6">
        <f>IFERROR('raw-Return'!O54-Table14[[#This Row],[RF]],"")</f>
        <v>-6.2995846336803309E-3</v>
      </c>
      <c r="P53" s="6">
        <f>IFERROR('raw-Return'!P54-Table14[[#This Row],[RF]],"")</f>
        <v>-2.2306184208928412E-2</v>
      </c>
      <c r="Q53" s="6">
        <f>IFERROR('raw-Return'!Q54-Table14[[#This Row],[RF]],"")</f>
        <v>-2.9074702477085133E-2</v>
      </c>
      <c r="R53" s="6">
        <f>IFERROR('raw-Return'!R54-Table14[[#This Row],[RF]],"")</f>
        <v>-2.3470411961287994E-2</v>
      </c>
      <c r="S53" s="6">
        <f>IFERROR('raw-Return'!S54-Table14[[#This Row],[RF]],"")</f>
        <v>-1.6092038369725756E-2</v>
      </c>
      <c r="T53" s="6">
        <f>IFERROR('raw-Return'!T54-Table14[[#This Row],[RF]],"")</f>
        <v>-4.4480685916099244E-2</v>
      </c>
      <c r="U53" s="6">
        <f>IFERROR('raw-Return'!U54-Table14[[#This Row],[RF]],"")</f>
        <v>-8.8374546741412999E-4</v>
      </c>
      <c r="V53" s="6">
        <f>IFERROR('raw-Return'!V54-Table14[[#This Row],[RF]],"")</f>
        <v>-2.3477949986967204E-2</v>
      </c>
      <c r="W53" s="6">
        <f>IFERROR('raw-Return'!W54-Table14[[#This Row],[RF]],"")</f>
        <v>1.038111554495149E-3</v>
      </c>
      <c r="X53" s="6" t="str">
        <f>IFERROR('raw-Return'!X54-Table14[[#This Row],[RF]],"")</f>
        <v/>
      </c>
      <c r="Y53" s="6">
        <f>IFERROR('raw-Return'!Y54-Table14[[#This Row],[RF]],"")</f>
        <v>-1.8483909746061764E-2</v>
      </c>
      <c r="Z53" s="6">
        <f>IFERROR('raw-Return'!Z54-Table14[[#This Row],[RF]],"")</f>
        <v>1.8742372375229212E-2</v>
      </c>
      <c r="AA53" s="6">
        <f>IFERROR('raw-Return'!AA54-Table14[[#This Row],[RF]],"")</f>
        <v>1.0040694470307612E-2</v>
      </c>
      <c r="AB53" s="6">
        <f>IFERROR('raw-Return'!AB54-Table14[[#This Row],[RF]],"")</f>
        <v>-1.2917297176887922E-3</v>
      </c>
      <c r="AC53" s="6">
        <f>IFERROR('raw-Return'!AC54-Table14[[#This Row],[RF]],"")</f>
        <v>-1.2917297176887922E-3</v>
      </c>
      <c r="AD53" s="6">
        <f>IFERROR('raw-Return'!AD54-Table14[[#This Row],[RF]],"")</f>
        <v>8.4232603288464068E-3</v>
      </c>
      <c r="AE53" s="6">
        <f>IFERROR('raw-Return'!AE54-Table14[[#This Row],[RF]],"")</f>
        <v>-4.646513244642634E-3</v>
      </c>
      <c r="AF53" s="6">
        <f>IFERROR('raw-Return'!AF54-Table14[[#This Row],[RF]],"")</f>
        <v>5.12940833966943E-3</v>
      </c>
      <c r="AG53" s="6">
        <f>IFERROR('raw-Return'!AG54-Table14[[#This Row],[RF]],"")</f>
        <v>-4.0336690071958753E-2</v>
      </c>
      <c r="AH53" s="6">
        <f>IFERROR('raw-Return'!AH54-Table14[[#This Row],[RF]],"")</f>
        <v>-1.6089933137996146E-2</v>
      </c>
      <c r="AI53" s="6" t="str">
        <f>IFERROR('raw-Return'!AI54-Table14[[#This Row],[RF]],"")</f>
        <v/>
      </c>
      <c r="AJ53" s="6">
        <f>IFERROR('raw-Return'!AJ54-Table14[[#This Row],[RF]],"")</f>
        <v>1.9515869920894956E-3</v>
      </c>
      <c r="AK53" s="6">
        <f>IFERROR('raw-Return'!AK54-Table14[[#This Row],[RF]],"")</f>
        <v>-2.4686741228553553E-2</v>
      </c>
      <c r="AL53" s="6">
        <f>IFERROR('raw-Return'!AL54-Table14[[#This Row],[RF]],"")</f>
        <v>-7.4955777747835219E-3</v>
      </c>
      <c r="AM53" s="6">
        <f>IFERROR('raw-Return'!AM54-Table14[[#This Row],[RF]],"")</f>
        <v>4.2977467529646506E-3</v>
      </c>
      <c r="AN53" s="6">
        <f>IFERROR('raw-Return'!AN54-Table14[[#This Row],[RF]],"")</f>
        <v>-1.9538189832201437E-3</v>
      </c>
      <c r="AO53" s="6">
        <f>IFERROR('raw-Return'!AO54-Table14[[#This Row],[RF]],"")</f>
        <v>-1.3116244117566875E-2</v>
      </c>
      <c r="AP53" s="6">
        <f>IFERROR('raw-Return'!AP54-Table14[[#This Row],[RF]],"")</f>
        <v>-1.3116244117566875E-2</v>
      </c>
      <c r="AQ53" s="6">
        <f>IFERROR('raw-Return'!AQ54-Table14[[#This Row],[RF]],"")</f>
        <v>1.5172318896708416E-2</v>
      </c>
      <c r="AR53" s="6">
        <f>IFERROR('raw-Return'!AR54-Table14[[#This Row],[RF]],"")</f>
        <v>-2.6278243534343302E-2</v>
      </c>
      <c r="AS53" s="6">
        <f>IFERROR('raw-Return'!AS54-Table14[[#This Row],[RF]],"")</f>
        <v>-8.3040337452692028E-4</v>
      </c>
      <c r="AT53" s="6">
        <f>IFERROR('raw-Return'!AT54-Table14[[#This Row],[RF]],"")</f>
        <v>-2.5499999999999998E-2</v>
      </c>
      <c r="AU53" s="6">
        <f>IFERROR('raw-Return'!AU54-Table14[[#This Row],[RF]],"")</f>
        <v>-2.5499999999999998E-2</v>
      </c>
      <c r="AV53" s="6">
        <f>IFERROR('raw-Return'!AV54-Table14[[#This Row],[RF]],"")</f>
        <v>-2.5499999999999998E-2</v>
      </c>
    </row>
    <row r="54" spans="1:48" x14ac:dyDescent="0.2">
      <c r="A54" s="2">
        <v>41943</v>
      </c>
      <c r="B54" s="6">
        <f>IFERROR('raw-Return'!B55-Table14[[#This Row],[RF]],"")</f>
        <v>-3.7301453642360149E-2</v>
      </c>
      <c r="C54" s="6">
        <f>IFERROR('raw-Return'!C55-Table14[[#This Row],[RF]],"")</f>
        <v>-5.30966900665365E-2</v>
      </c>
      <c r="D54" s="6">
        <f>IFERROR('raw-Return'!D55-Table14[[#This Row],[RF]],"")</f>
        <v>-3.3069251227171415E-2</v>
      </c>
      <c r="E54" s="6">
        <f>IFERROR('raw-Return'!E55-Table14[[#This Row],[RF]],"")</f>
        <v>-2.7729643633222945E-2</v>
      </c>
      <c r="F54" s="6">
        <f>IFERROR('raw-Return'!F55-Table14[[#This Row],[RF]],"")</f>
        <v>-2.7720721677571003E-2</v>
      </c>
      <c r="G54" s="6">
        <f>IFERROR('raw-Return'!G55-Table14[[#This Row],[RF]],"")</f>
        <v>-6.2590675809478302E-2</v>
      </c>
      <c r="H54" s="6">
        <f>IFERROR('raw-Return'!H55-Table14[[#This Row],[RF]],"")</f>
        <v>-4.2068857960967598E-2</v>
      </c>
      <c r="I54" s="6">
        <f>IFERROR('raw-Return'!I55-Table14[[#This Row],[RF]],"")</f>
        <v>-4.2650154641851512E-2</v>
      </c>
      <c r="J54" s="6">
        <f>IFERROR('raw-Return'!J55-Table14[[#This Row],[RF]],"")</f>
        <v>-4.0805143526179255E-2</v>
      </c>
      <c r="K54" s="6">
        <f>IFERROR('raw-Return'!K55-Table14[[#This Row],[RF]],"")</f>
        <v>-7.8731801767152221E-2</v>
      </c>
      <c r="L54" s="6">
        <f>IFERROR('raw-Return'!L55-Table14[[#This Row],[RF]],"")</f>
        <v>-7.3423718418308193E-2</v>
      </c>
      <c r="M54" s="6">
        <f>IFERROR('raw-Return'!M55-Table14[[#This Row],[RF]],"")</f>
        <v>-8.0484344002082264E-2</v>
      </c>
      <c r="N54" s="6">
        <f>IFERROR('raw-Return'!N55-Table14[[#This Row],[RF]],"")</f>
        <v>-4.09859249933332E-2</v>
      </c>
      <c r="O54" s="6">
        <f>IFERROR('raw-Return'!O55-Table14[[#This Row],[RF]],"")</f>
        <v>-5.8321281899520017E-2</v>
      </c>
      <c r="P54" s="6">
        <f>IFERROR('raw-Return'!P55-Table14[[#This Row],[RF]],"")</f>
        <v>-2.9754171169387056E-2</v>
      </c>
      <c r="Q54" s="6">
        <f>IFERROR('raw-Return'!Q55-Table14[[#This Row],[RF]],"")</f>
        <v>-7.1733343279379191E-2</v>
      </c>
      <c r="R54" s="6">
        <f>IFERROR('raw-Return'!R55-Table14[[#This Row],[RF]],"")</f>
        <v>-7.8962101920742045E-2</v>
      </c>
      <c r="S54" s="6">
        <f>IFERROR('raw-Return'!S55-Table14[[#This Row],[RF]],"")</f>
        <v>-3.2804288688680905E-2</v>
      </c>
      <c r="T54" s="6">
        <f>IFERROR('raw-Return'!T55-Table14[[#This Row],[RF]],"")</f>
        <v>-6.9510006144047565E-2</v>
      </c>
      <c r="U54" s="6">
        <f>IFERROR('raw-Return'!U55-Table14[[#This Row],[RF]],"")</f>
        <v>-4.7102558463408051E-2</v>
      </c>
      <c r="V54" s="6">
        <f>IFERROR('raw-Return'!V55-Table14[[#This Row],[RF]],"")</f>
        <v>-2.6097044541623426E-2</v>
      </c>
      <c r="W54" s="6">
        <f>IFERROR('raw-Return'!W55-Table14[[#This Row],[RF]],"")</f>
        <v>-4.0183535392377734E-2</v>
      </c>
      <c r="X54" s="6" t="str">
        <f>IFERROR('raw-Return'!X55-Table14[[#This Row],[RF]],"")</f>
        <v/>
      </c>
      <c r="Y54" s="6">
        <f>IFERROR('raw-Return'!Y55-Table14[[#This Row],[RF]],"")</f>
        <v>-2.7221452951816771E-2</v>
      </c>
      <c r="Z54" s="6">
        <f>IFERROR('raw-Return'!Z55-Table14[[#This Row],[RF]],"")</f>
        <v>-9.9132605480917513E-2</v>
      </c>
      <c r="AA54" s="6">
        <f>IFERROR('raw-Return'!AA55-Table14[[#This Row],[RF]],"")</f>
        <v>-5.9850633495445615E-2</v>
      </c>
      <c r="AB54" s="6">
        <f>IFERROR('raw-Return'!AB55-Table14[[#This Row],[RF]],"")</f>
        <v>-4.3753572984149169E-2</v>
      </c>
      <c r="AC54" s="6">
        <f>IFERROR('raw-Return'!AC55-Table14[[#This Row],[RF]],"")</f>
        <v>-4.3753572984149169E-2</v>
      </c>
      <c r="AD54" s="6">
        <f>IFERROR('raw-Return'!AD55-Table14[[#This Row],[RF]],"")</f>
        <v>-5.4738736568834545E-2</v>
      </c>
      <c r="AE54" s="6">
        <f>IFERROR('raw-Return'!AE55-Table14[[#This Row],[RF]],"")</f>
        <v>-3.7852210670368813E-2</v>
      </c>
      <c r="AF54" s="6">
        <f>IFERROR('raw-Return'!AF55-Table14[[#This Row],[RF]],"")</f>
        <v>-7.6781550617839867E-2</v>
      </c>
      <c r="AG54" s="6">
        <f>IFERROR('raw-Return'!AG55-Table14[[#This Row],[RF]],"")</f>
        <v>-9.1491895790071998E-2</v>
      </c>
      <c r="AH54" s="6">
        <f>IFERROR('raw-Return'!AH55-Table14[[#This Row],[RF]],"")</f>
        <v>-6.3093690907126687E-2</v>
      </c>
      <c r="AI54" s="6" t="str">
        <f>IFERROR('raw-Return'!AI55-Table14[[#This Row],[RF]],"")</f>
        <v/>
      </c>
      <c r="AJ54" s="6">
        <f>IFERROR('raw-Return'!AJ55-Table14[[#This Row],[RF]],"")</f>
        <v>-5.0643000931822835E-2</v>
      </c>
      <c r="AK54" s="6">
        <f>IFERROR('raw-Return'!AK55-Table14[[#This Row],[RF]],"")</f>
        <v>-3.6038261181777997E-2</v>
      </c>
      <c r="AL54" s="6">
        <f>IFERROR('raw-Return'!AL55-Table14[[#This Row],[RF]],"")</f>
        <v>-4.3717623157097818E-2</v>
      </c>
      <c r="AM54" s="6">
        <f>IFERROR('raw-Return'!AM55-Table14[[#This Row],[RF]],"")</f>
        <v>-4.6500728815608072E-2</v>
      </c>
      <c r="AN54" s="6">
        <f>IFERROR('raw-Return'!AN55-Table14[[#This Row],[RF]],"")</f>
        <v>-4.5012300868194077E-2</v>
      </c>
      <c r="AO54" s="6">
        <f>IFERROR('raw-Return'!AO55-Table14[[#This Row],[RF]],"")</f>
        <v>-5.0643358524810167E-2</v>
      </c>
      <c r="AP54" s="6">
        <f>IFERROR('raw-Return'!AP55-Table14[[#This Row],[RF]],"")</f>
        <v>-5.0643358524810167E-2</v>
      </c>
      <c r="AQ54" s="6">
        <f>IFERROR('raw-Return'!AQ55-Table14[[#This Row],[RF]],"")</f>
        <v>-7.5732911899139332E-2</v>
      </c>
      <c r="AR54" s="6">
        <f>IFERROR('raw-Return'!AR55-Table14[[#This Row],[RF]],"")</f>
        <v>-8.0264389705947736E-2</v>
      </c>
      <c r="AS54" s="6">
        <f>IFERROR('raw-Return'!AS55-Table14[[#This Row],[RF]],"")</f>
        <v>-4.3659070444292958E-2</v>
      </c>
      <c r="AT54" s="6">
        <f>IFERROR('raw-Return'!AT55-Table14[[#This Row],[RF]],"")</f>
        <v>-2.52E-2</v>
      </c>
      <c r="AU54" s="6">
        <f>IFERROR('raw-Return'!AU55-Table14[[#This Row],[RF]],"")</f>
        <v>-2.52E-2</v>
      </c>
      <c r="AV54" s="6">
        <f>IFERROR('raw-Return'!AV55-Table14[[#This Row],[RF]],"")</f>
        <v>-2.52E-2</v>
      </c>
    </row>
    <row r="55" spans="1:48" x14ac:dyDescent="0.2">
      <c r="A55" s="2">
        <v>41912</v>
      </c>
      <c r="B55" s="6">
        <f>IFERROR('raw-Return'!B56-Table14[[#This Row],[RF]],"")</f>
        <v>3.2311913098091727E-2</v>
      </c>
      <c r="C55" s="6">
        <f>IFERROR('raw-Return'!C56-Table14[[#This Row],[RF]],"")</f>
        <v>5.5948879663713702E-2</v>
      </c>
      <c r="D55" s="6">
        <f>IFERROR('raw-Return'!D56-Table14[[#This Row],[RF]],"")</f>
        <v>2.897868918976049E-2</v>
      </c>
      <c r="E55" s="6">
        <f>IFERROR('raw-Return'!E56-Table14[[#This Row],[RF]],"")</f>
        <v>3.1937008181903204E-2</v>
      </c>
      <c r="F55" s="6">
        <f>IFERROR('raw-Return'!F56-Table14[[#This Row],[RF]],"")</f>
        <v>2.2279053613466441E-2</v>
      </c>
      <c r="G55" s="6">
        <f>IFERROR('raw-Return'!G56-Table14[[#This Row],[RF]],"")</f>
        <v>8.9490959662735958E-2</v>
      </c>
      <c r="H55" s="6">
        <f>IFERROR('raw-Return'!H56-Table14[[#This Row],[RF]],"")</f>
        <v>5.8637909917402087E-2</v>
      </c>
      <c r="I55" s="6">
        <f>IFERROR('raw-Return'!I56-Table14[[#This Row],[RF]],"")</f>
        <v>6.420239880930384E-2</v>
      </c>
      <c r="J55" s="6">
        <f>IFERROR('raw-Return'!J56-Table14[[#This Row],[RF]],"")</f>
        <v>5.3527203238330434E-2</v>
      </c>
      <c r="K55" s="6">
        <f>IFERROR('raw-Return'!K56-Table14[[#This Row],[RF]],"")</f>
        <v>7.040914898795031E-2</v>
      </c>
      <c r="L55" s="6">
        <f>IFERROR('raw-Return'!L56-Table14[[#This Row],[RF]],"")</f>
        <v>6.7078960106672081E-2</v>
      </c>
      <c r="M55" s="6">
        <f>IFERROR('raw-Return'!M56-Table14[[#This Row],[RF]],"")</f>
        <v>7.073671961058875E-2</v>
      </c>
      <c r="N55" s="6">
        <f>IFERROR('raw-Return'!N56-Table14[[#This Row],[RF]],"")</f>
        <v>3.1714905380515412E-2</v>
      </c>
      <c r="O55" s="6">
        <f>IFERROR('raw-Return'!O56-Table14[[#This Row],[RF]],"")</f>
        <v>4.8500150584955548E-2</v>
      </c>
      <c r="P55" s="6">
        <f>IFERROR('raw-Return'!P56-Table14[[#This Row],[RF]],"")</f>
        <v>2.1180030878701076E-2</v>
      </c>
      <c r="Q55" s="6">
        <f>IFERROR('raw-Return'!Q56-Table14[[#This Row],[RF]],"")</f>
        <v>2.239338680824882E-2</v>
      </c>
      <c r="R55" s="6">
        <f>IFERROR('raw-Return'!R56-Table14[[#This Row],[RF]],"")</f>
        <v>2.9738810575047073E-2</v>
      </c>
      <c r="S55" s="6">
        <f>IFERROR('raw-Return'!S56-Table14[[#This Row],[RF]],"")</f>
        <v>2.9734663227701966E-2</v>
      </c>
      <c r="T55" s="6">
        <f>IFERROR('raw-Return'!T56-Table14[[#This Row],[RF]],"")</f>
        <v>2.6995371090791035E-2</v>
      </c>
      <c r="U55" s="6">
        <f>IFERROR('raw-Return'!U56-Table14[[#This Row],[RF]],"")</f>
        <v>6.0065468569115266E-2</v>
      </c>
      <c r="V55" s="6">
        <f>IFERROR('raw-Return'!V56-Table14[[#This Row],[RF]],"")</f>
        <v>2.0769889194152073E-2</v>
      </c>
      <c r="W55" s="6">
        <f>IFERROR('raw-Return'!W56-Table14[[#This Row],[RF]],"")</f>
        <v>5.6171433943008109E-2</v>
      </c>
      <c r="X55" s="6" t="str">
        <f>IFERROR('raw-Return'!X56-Table14[[#This Row],[RF]],"")</f>
        <v/>
      </c>
      <c r="Y55" s="6">
        <f>IFERROR('raw-Return'!Y56-Table14[[#This Row],[RF]],"")</f>
        <v>2.5570065396916145E-2</v>
      </c>
      <c r="Z55" s="6">
        <f>IFERROR('raw-Return'!Z56-Table14[[#This Row],[RF]],"")</f>
        <v>2.2270428899293818E-2</v>
      </c>
      <c r="AA55" s="6">
        <f>IFERROR('raw-Return'!AA56-Table14[[#This Row],[RF]],"")</f>
        <v>5.8288307425897912E-2</v>
      </c>
      <c r="AB55" s="6">
        <f>IFERROR('raw-Return'!AB56-Table14[[#This Row],[RF]],"")</f>
        <v>5.9709999094587907E-2</v>
      </c>
      <c r="AC55" s="6">
        <f>IFERROR('raw-Return'!AC56-Table14[[#This Row],[RF]],"")</f>
        <v>5.9709999094587907E-2</v>
      </c>
      <c r="AD55" s="6">
        <f>IFERROR('raw-Return'!AD56-Table14[[#This Row],[RF]],"")</f>
        <v>7.5696159681875208E-2</v>
      </c>
      <c r="AE55" s="6">
        <f>IFERROR('raw-Return'!AE56-Table14[[#This Row],[RF]],"")</f>
        <v>1.3283235277889497E-2</v>
      </c>
      <c r="AF55" s="6">
        <f>IFERROR('raw-Return'!AF56-Table14[[#This Row],[RF]],"")</f>
        <v>1.5248390239957003E-2</v>
      </c>
      <c r="AG55" s="6">
        <f>IFERROR('raw-Return'!AG56-Table14[[#This Row],[RF]],"")</f>
        <v>3.4336506154859225E-2</v>
      </c>
      <c r="AH55" s="6">
        <f>IFERROR('raw-Return'!AH56-Table14[[#This Row],[RF]],"")</f>
        <v>4.6180432526924997E-2</v>
      </c>
      <c r="AI55" s="6" t="str">
        <f>IFERROR('raw-Return'!AI56-Table14[[#This Row],[RF]],"")</f>
        <v/>
      </c>
      <c r="AJ55" s="6">
        <f>IFERROR('raw-Return'!AJ56-Table14[[#This Row],[RF]],"")</f>
        <v>6.1236577863387376E-2</v>
      </c>
      <c r="AK55" s="6">
        <f>IFERROR('raw-Return'!AK56-Table14[[#This Row],[RF]],"")</f>
        <v>1.8917206560569891E-2</v>
      </c>
      <c r="AL55" s="6">
        <f>IFERROR('raw-Return'!AL56-Table14[[#This Row],[RF]],"")</f>
        <v>5.4100013403414582E-2</v>
      </c>
      <c r="AM55" s="6">
        <f>IFERROR('raw-Return'!AM56-Table14[[#This Row],[RF]],"")</f>
        <v>6.567123024819338E-2</v>
      </c>
      <c r="AN55" s="6">
        <f>IFERROR('raw-Return'!AN56-Table14[[#This Row],[RF]],"")</f>
        <v>5.9437623417139374E-2</v>
      </c>
      <c r="AO55" s="6">
        <f>IFERROR('raw-Return'!AO56-Table14[[#This Row],[RF]],"")</f>
        <v>2.7099967192140976E-2</v>
      </c>
      <c r="AP55" s="6">
        <f>IFERROR('raw-Return'!AP56-Table14[[#This Row],[RF]],"")</f>
        <v>2.7099967192140976E-2</v>
      </c>
      <c r="AQ55" s="6">
        <f>IFERROR('raw-Return'!AQ56-Table14[[#This Row],[RF]],"")</f>
        <v>6.8915396785496907E-2</v>
      </c>
      <c r="AR55" s="6">
        <f>IFERROR('raw-Return'!AR56-Table14[[#This Row],[RF]],"")</f>
        <v>3.1345343362184142E-2</v>
      </c>
      <c r="AS55" s="6">
        <f>IFERROR('raw-Return'!AS56-Table14[[#This Row],[RF]],"")</f>
        <v>5.7246755944092731E-2</v>
      </c>
      <c r="AT55" s="6">
        <f>IFERROR('raw-Return'!AT56-Table14[[#This Row],[RF]],"")</f>
        <v>1.9699999999999999E-2</v>
      </c>
      <c r="AU55" s="6">
        <f>IFERROR('raw-Return'!AU56-Table14[[#This Row],[RF]],"")</f>
        <v>1.9699999999999999E-2</v>
      </c>
      <c r="AV55" s="6">
        <f>IFERROR('raw-Return'!AV56-Table14[[#This Row],[RF]],"")</f>
        <v>1.9699999999999999E-2</v>
      </c>
    </row>
    <row r="56" spans="1:48" x14ac:dyDescent="0.2">
      <c r="A56" s="2">
        <v>41882</v>
      </c>
      <c r="B56" s="6">
        <f>IFERROR('raw-Return'!B57-Table14[[#This Row],[RF]],"")</f>
        <v>-4.7880535103124851E-2</v>
      </c>
      <c r="C56" s="6">
        <f>IFERROR('raw-Return'!C57-Table14[[#This Row],[RF]],"")</f>
        <v>-4.5957304733984301E-2</v>
      </c>
      <c r="D56" s="6">
        <f>IFERROR('raw-Return'!D57-Table14[[#This Row],[RF]],"")</f>
        <v>-4.7166898064328729E-2</v>
      </c>
      <c r="E56" s="6">
        <f>IFERROR('raw-Return'!E57-Table14[[#This Row],[RF]],"")</f>
        <v>-3.8466669753157275E-2</v>
      </c>
      <c r="F56" s="6">
        <f>IFERROR('raw-Return'!F57-Table14[[#This Row],[RF]],"")</f>
        <v>-4.5800243287046134E-2</v>
      </c>
      <c r="G56" s="6">
        <f>IFERROR('raw-Return'!G57-Table14[[#This Row],[RF]],"")</f>
        <v>-2.7514270348825372E-2</v>
      </c>
      <c r="H56" s="6">
        <f>IFERROR('raw-Return'!H57-Table14[[#This Row],[RF]],"")</f>
        <v>-5.4421786575044047E-2</v>
      </c>
      <c r="I56" s="6">
        <f>IFERROR('raw-Return'!I57-Table14[[#This Row],[RF]],"")</f>
        <v>-5.5326269417796954E-2</v>
      </c>
      <c r="J56" s="6">
        <f>IFERROR('raw-Return'!J57-Table14[[#This Row],[RF]],"")</f>
        <v>-5.3230181200793154E-2</v>
      </c>
      <c r="K56" s="6">
        <f>IFERROR('raw-Return'!K57-Table14[[#This Row],[RF]],"")</f>
        <v>-9.2506162696948335E-2</v>
      </c>
      <c r="L56" s="6">
        <f>IFERROR('raw-Return'!L57-Table14[[#This Row],[RF]],"")</f>
        <v>-9.4793161406877657E-2</v>
      </c>
      <c r="M56" s="6">
        <f>IFERROR('raw-Return'!M57-Table14[[#This Row],[RF]],"")</f>
        <v>-9.0190288544548136E-2</v>
      </c>
      <c r="N56" s="6">
        <f>IFERROR('raw-Return'!N57-Table14[[#This Row],[RF]],"")</f>
        <v>-4.7585947124156543E-2</v>
      </c>
      <c r="O56" s="6">
        <f>IFERROR('raw-Return'!O57-Table14[[#This Row],[RF]],"")</f>
        <v>-4.5215076426233465E-2</v>
      </c>
      <c r="P56" s="6">
        <f>IFERROR('raw-Return'!P57-Table14[[#This Row],[RF]],"")</f>
        <v>-4.5511607647776182E-2</v>
      </c>
      <c r="Q56" s="6">
        <f>IFERROR('raw-Return'!Q57-Table14[[#This Row],[RF]],"")</f>
        <v>-6.6093838108738256E-2</v>
      </c>
      <c r="R56" s="6">
        <f>IFERROR('raw-Return'!R57-Table14[[#This Row],[RF]],"")</f>
        <v>-5.7095035135478873E-2</v>
      </c>
      <c r="S56" s="6">
        <f>IFERROR('raw-Return'!S57-Table14[[#This Row],[RF]],"")</f>
        <v>-4.866625057283714E-2</v>
      </c>
      <c r="T56" s="6">
        <f>IFERROR('raw-Return'!T57-Table14[[#This Row],[RF]],"")</f>
        <v>-8.5592350747108914E-2</v>
      </c>
      <c r="U56" s="6">
        <f>IFERROR('raw-Return'!U57-Table14[[#This Row],[RF]],"")</f>
        <v>-3.9968255386747094E-2</v>
      </c>
      <c r="V56" s="6">
        <f>IFERROR('raw-Return'!V57-Table14[[#This Row],[RF]],"")</f>
        <v>-4.2813698762317005E-2</v>
      </c>
      <c r="W56" s="6">
        <f>IFERROR('raw-Return'!W57-Table14[[#This Row],[RF]],"")</f>
        <v>-7.5494077093107181E-2</v>
      </c>
      <c r="X56" s="6" t="str">
        <f>IFERROR('raw-Return'!X57-Table14[[#This Row],[RF]],"")</f>
        <v/>
      </c>
      <c r="Y56" s="6">
        <f>IFERROR('raw-Return'!Y57-Table14[[#This Row],[RF]],"")</f>
        <v>-4.7130960473343093E-2</v>
      </c>
      <c r="Z56" s="6">
        <f>IFERROR('raw-Return'!Z57-Table14[[#This Row],[RF]],"")</f>
        <v>-3.2116774172987979E-2</v>
      </c>
      <c r="AA56" s="6">
        <f>IFERROR('raw-Return'!AA57-Table14[[#This Row],[RF]],"")</f>
        <v>-6.8370034540139013E-2</v>
      </c>
      <c r="AB56" s="6">
        <f>IFERROR('raw-Return'!AB57-Table14[[#This Row],[RF]],"")</f>
        <v>-5.6267583079651413E-2</v>
      </c>
      <c r="AC56" s="6">
        <f>IFERROR('raw-Return'!AC57-Table14[[#This Row],[RF]],"")</f>
        <v>-5.6267583079651413E-2</v>
      </c>
      <c r="AD56" s="6">
        <f>IFERROR('raw-Return'!AD57-Table14[[#This Row],[RF]],"")</f>
        <v>-6.7499974660011453E-2</v>
      </c>
      <c r="AE56" s="6">
        <f>IFERROR('raw-Return'!AE57-Table14[[#This Row],[RF]],"")</f>
        <v>-3.0717572401549383E-2</v>
      </c>
      <c r="AF56" s="6">
        <f>IFERROR('raw-Return'!AF57-Table14[[#This Row],[RF]],"")</f>
        <v>-3.32517696840069E-2</v>
      </c>
      <c r="AG56" s="6">
        <f>IFERROR('raw-Return'!AG57-Table14[[#This Row],[RF]],"")</f>
        <v>-7.2661148789843644E-2</v>
      </c>
      <c r="AH56" s="6">
        <f>IFERROR('raw-Return'!AH57-Table14[[#This Row],[RF]],"")</f>
        <v>-5.9941017983556673E-2</v>
      </c>
      <c r="AI56" s="6" t="str">
        <f>IFERROR('raw-Return'!AI57-Table14[[#This Row],[RF]],"")</f>
        <v/>
      </c>
      <c r="AJ56" s="6">
        <f>IFERROR('raw-Return'!AJ57-Table14[[#This Row],[RF]],"")</f>
        <v>-6.2376300104350253E-2</v>
      </c>
      <c r="AK56" s="6">
        <f>IFERROR('raw-Return'!AK57-Table14[[#This Row],[RF]],"")</f>
        <v>-4.5814772447265513E-2</v>
      </c>
      <c r="AL56" s="6">
        <f>IFERROR('raw-Return'!AL57-Table14[[#This Row],[RF]],"")</f>
        <v>-5.4375194258113109E-2</v>
      </c>
      <c r="AM56" s="6">
        <f>IFERROR('raw-Return'!AM57-Table14[[#This Row],[RF]],"")</f>
        <v>-5.7965398353228899E-2</v>
      </c>
      <c r="AN56" s="6">
        <f>IFERROR('raw-Return'!AN57-Table14[[#This Row],[RF]],"")</f>
        <v>-5.6275583255221646E-2</v>
      </c>
      <c r="AO56" s="6">
        <f>IFERROR('raw-Return'!AO57-Table14[[#This Row],[RF]],"")</f>
        <v>-4.8523099005400534E-2</v>
      </c>
      <c r="AP56" s="6">
        <f>IFERROR('raw-Return'!AP57-Table14[[#This Row],[RF]],"")</f>
        <v>-4.8523099005400534E-2</v>
      </c>
      <c r="AQ56" s="6">
        <f>IFERROR('raw-Return'!AQ57-Table14[[#This Row],[RF]],"")</f>
        <v>-8.6154697149672166E-2</v>
      </c>
      <c r="AR56" s="6">
        <f>IFERROR('raw-Return'!AR57-Table14[[#This Row],[RF]],"")</f>
        <v>-5.9722904262344063E-2</v>
      </c>
      <c r="AS56" s="6">
        <f>IFERROR('raw-Return'!AS57-Table14[[#This Row],[RF]],"")</f>
        <v>-5.9128784286951126E-2</v>
      </c>
      <c r="AT56" s="6">
        <f>IFERROR('raw-Return'!AT57-Table14[[#This Row],[RF]],"")</f>
        <v>-4.24E-2</v>
      </c>
      <c r="AU56" s="6">
        <f>IFERROR('raw-Return'!AU57-Table14[[#This Row],[RF]],"")</f>
        <v>-4.24E-2</v>
      </c>
      <c r="AV56" s="6">
        <f>IFERROR('raw-Return'!AV57-Table14[[#This Row],[RF]],"")</f>
        <v>-4.24E-2</v>
      </c>
    </row>
    <row r="57" spans="1:48" x14ac:dyDescent="0.2">
      <c r="A57" s="2">
        <v>41851</v>
      </c>
      <c r="B57" s="6">
        <f>IFERROR('raw-Return'!B58-Table14[[#This Row],[RF]],"")</f>
        <v>1.7825893903300943E-2</v>
      </c>
      <c r="C57" s="6">
        <f>IFERROR('raw-Return'!C58-Table14[[#This Row],[RF]],"")</f>
        <v>1.9070270383169802E-2</v>
      </c>
      <c r="D57" s="6">
        <f>IFERROR('raw-Return'!D58-Table14[[#This Row],[RF]],"")</f>
        <v>1.8999177798868977E-2</v>
      </c>
      <c r="E57" s="6">
        <f>IFERROR('raw-Return'!E58-Table14[[#This Row],[RF]],"")</f>
        <v>2.5136292690497025E-2</v>
      </c>
      <c r="F57" s="6">
        <f>IFERROR('raw-Return'!F58-Table14[[#This Row],[RF]],"")</f>
        <v>1.9033830537311808E-2</v>
      </c>
      <c r="G57" s="6">
        <f>IFERROR('raw-Return'!G58-Table14[[#This Row],[RF]],"")</f>
        <v>9.3275484482894522E-3</v>
      </c>
      <c r="H57" s="6">
        <f>IFERROR('raw-Return'!H58-Table14[[#This Row],[RF]],"")</f>
        <v>3.5393867289323727E-2</v>
      </c>
      <c r="I57" s="6">
        <f>IFERROR('raw-Return'!I58-Table14[[#This Row],[RF]],"")</f>
        <v>3.8572598243010986E-2</v>
      </c>
      <c r="J57" s="6">
        <f>IFERROR('raw-Return'!J58-Table14[[#This Row],[RF]],"")</f>
        <v>3.2731090411552782E-2</v>
      </c>
      <c r="K57" s="6">
        <f>IFERROR('raw-Return'!K58-Table14[[#This Row],[RF]],"")</f>
        <v>6.9988414696998708E-2</v>
      </c>
      <c r="L57" s="6">
        <f>IFERROR('raw-Return'!L58-Table14[[#This Row],[RF]],"")</f>
        <v>7.8633843345770976E-2</v>
      </c>
      <c r="M57" s="6">
        <f>IFERROR('raw-Return'!M58-Table14[[#This Row],[RF]],"")</f>
        <v>6.3513449873969591E-2</v>
      </c>
      <c r="N57" s="6">
        <f>IFERROR('raw-Return'!N58-Table14[[#This Row],[RF]],"")</f>
        <v>1.926834712560524E-2</v>
      </c>
      <c r="O57" s="6">
        <f>IFERROR('raw-Return'!O58-Table14[[#This Row],[RF]],"")</f>
        <v>1.7561865692947959E-2</v>
      </c>
      <c r="P57" s="6">
        <f>IFERROR('raw-Return'!P58-Table14[[#This Row],[RF]],"")</f>
        <v>1.8898091461744954E-2</v>
      </c>
      <c r="Q57" s="6">
        <f>IFERROR('raw-Return'!Q58-Table14[[#This Row],[RF]],"")</f>
        <v>1.8731453737925757E-2</v>
      </c>
      <c r="R57" s="6">
        <f>IFERROR('raw-Return'!R58-Table14[[#This Row],[RF]],"")</f>
        <v>2.5381428472037754E-2</v>
      </c>
      <c r="S57" s="6">
        <f>IFERROR('raw-Return'!S58-Table14[[#This Row],[RF]],"")</f>
        <v>1.7781937456667479E-2</v>
      </c>
      <c r="T57" s="6">
        <f>IFERROR('raw-Return'!T58-Table14[[#This Row],[RF]],"")</f>
        <v>3.4907956140197982E-3</v>
      </c>
      <c r="U57" s="6">
        <f>IFERROR('raw-Return'!U58-Table14[[#This Row],[RF]],"")</f>
        <v>1.6681128277763052E-2</v>
      </c>
      <c r="V57" s="6">
        <f>IFERROR('raw-Return'!V58-Table14[[#This Row],[RF]],"")</f>
        <v>1.9433395401939363E-2</v>
      </c>
      <c r="W57" s="6">
        <f>IFERROR('raw-Return'!W58-Table14[[#This Row],[RF]],"")</f>
        <v>2.9979425120518349E-2</v>
      </c>
      <c r="X57" s="6" t="str">
        <f>IFERROR('raw-Return'!X58-Table14[[#This Row],[RF]],"")</f>
        <v/>
      </c>
      <c r="Y57" s="6">
        <f>IFERROR('raw-Return'!Y58-Table14[[#This Row],[RF]],"")</f>
        <v>2.1772424729297218E-2</v>
      </c>
      <c r="Z57" s="6">
        <f>IFERROR('raw-Return'!Z58-Table14[[#This Row],[RF]],"")</f>
        <v>2.3564804689869351E-2</v>
      </c>
      <c r="AA57" s="6">
        <f>IFERROR('raw-Return'!AA58-Table14[[#This Row],[RF]],"")</f>
        <v>4.8196436807128401E-2</v>
      </c>
      <c r="AB57" s="6">
        <f>IFERROR('raw-Return'!AB58-Table14[[#This Row],[RF]],"")</f>
        <v>3.6619024226022062E-2</v>
      </c>
      <c r="AC57" s="6">
        <f>IFERROR('raw-Return'!AC58-Table14[[#This Row],[RF]],"")</f>
        <v>3.6619024226022062E-2</v>
      </c>
      <c r="AD57" s="6">
        <f>IFERROR('raw-Return'!AD58-Table14[[#This Row],[RF]],"")</f>
        <v>5.3965390913042671E-2</v>
      </c>
      <c r="AE57" s="6">
        <f>IFERROR('raw-Return'!AE58-Table14[[#This Row],[RF]],"")</f>
        <v>2.3502780516937688E-2</v>
      </c>
      <c r="AF57" s="6">
        <f>IFERROR('raw-Return'!AF58-Table14[[#This Row],[RF]],"")</f>
        <v>4.1692125041309841E-2</v>
      </c>
      <c r="AG57" s="6">
        <f>IFERROR('raw-Return'!AG58-Table14[[#This Row],[RF]],"")</f>
        <v>3.6653662225433675E-2</v>
      </c>
      <c r="AH57" s="6">
        <f>IFERROR('raw-Return'!AH58-Table14[[#This Row],[RF]],"")</f>
        <v>3.4911004908241977E-2</v>
      </c>
      <c r="AI57" s="6" t="str">
        <f>IFERROR('raw-Return'!AI58-Table14[[#This Row],[RF]],"")</f>
        <v/>
      </c>
      <c r="AJ57" s="6">
        <f>IFERROR('raw-Return'!AJ58-Table14[[#This Row],[RF]],"")</f>
        <v>4.2430588432359501E-2</v>
      </c>
      <c r="AK57" s="6">
        <f>IFERROR('raw-Return'!AK58-Table14[[#This Row],[RF]],"")</f>
        <v>2.3338550379180117E-2</v>
      </c>
      <c r="AL57" s="6">
        <f>IFERROR('raw-Return'!AL58-Table14[[#This Row],[RF]],"")</f>
        <v>3.3931659952484178E-2</v>
      </c>
      <c r="AM57" s="6">
        <f>IFERROR('raw-Return'!AM58-Table14[[#This Row],[RF]],"")</f>
        <v>4.1472928854538821E-2</v>
      </c>
      <c r="AN57" s="6">
        <f>IFERROR('raw-Return'!AN58-Table14[[#This Row],[RF]],"")</f>
        <v>3.7441823386855672E-2</v>
      </c>
      <c r="AO57" s="6">
        <f>IFERROR('raw-Return'!AO58-Table14[[#This Row],[RF]],"")</f>
        <v>1.8130972466858269E-2</v>
      </c>
      <c r="AP57" s="6">
        <f>IFERROR('raw-Return'!AP58-Table14[[#This Row],[RF]],"")</f>
        <v>1.8130972466858269E-2</v>
      </c>
      <c r="AQ57" s="6">
        <f>IFERROR('raw-Return'!AQ58-Table14[[#This Row],[RF]],"")</f>
        <v>6.4818825145507103E-2</v>
      </c>
      <c r="AR57" s="6">
        <f>IFERROR('raw-Return'!AR58-Table14[[#This Row],[RF]],"")</f>
        <v>2.800119663725556E-2</v>
      </c>
      <c r="AS57" s="6">
        <f>IFERROR('raw-Return'!AS58-Table14[[#This Row],[RF]],"")</f>
        <v>3.3418085893675037E-2</v>
      </c>
      <c r="AT57" s="6">
        <f>IFERROR('raw-Return'!AT58-Table14[[#This Row],[RF]],"")</f>
        <v>2.0400000000000001E-2</v>
      </c>
      <c r="AU57" s="6">
        <f>IFERROR('raw-Return'!AU58-Table14[[#This Row],[RF]],"")</f>
        <v>2.0400000000000001E-2</v>
      </c>
      <c r="AV57" s="6">
        <f>IFERROR('raw-Return'!AV58-Table14[[#This Row],[RF]],"")</f>
        <v>2.0400000000000001E-2</v>
      </c>
    </row>
    <row r="58" spans="1:48" x14ac:dyDescent="0.2">
      <c r="A58" s="2">
        <v>41820</v>
      </c>
      <c r="B58" s="6">
        <f>IFERROR('raw-Return'!B59-Table14[[#This Row],[RF]],"")</f>
        <v>-1.4247249899572698E-2</v>
      </c>
      <c r="C58" s="6">
        <f>IFERROR('raw-Return'!C59-Table14[[#This Row],[RF]],"")</f>
        <v>-8.7832742192408414E-3</v>
      </c>
      <c r="D58" s="6">
        <f>IFERROR('raw-Return'!D59-Table14[[#This Row],[RF]],"")</f>
        <v>-1.7753144305647992E-2</v>
      </c>
      <c r="E58" s="6">
        <f>IFERROR('raw-Return'!E59-Table14[[#This Row],[RF]],"")</f>
        <v>-1.9942644978366383E-2</v>
      </c>
      <c r="F58" s="6">
        <f>IFERROR('raw-Return'!F59-Table14[[#This Row],[RF]],"")</f>
        <v>-2.2921299735773268E-2</v>
      </c>
      <c r="G58" s="6">
        <f>IFERROR('raw-Return'!G59-Table14[[#This Row],[RF]],"")</f>
        <v>1.5022134349120822E-2</v>
      </c>
      <c r="H58" s="6">
        <f>IFERROR('raw-Return'!H59-Table14[[#This Row],[RF]],"")</f>
        <v>-1.8499082518368265E-3</v>
      </c>
      <c r="I58" s="6">
        <f>IFERROR('raw-Return'!I59-Table14[[#This Row],[RF]],"")</f>
        <v>9.7365764313448594E-3</v>
      </c>
      <c r="J58" s="6">
        <f>IFERROR('raw-Return'!J59-Table14[[#This Row],[RF]],"")</f>
        <v>-1.0776877613779753E-2</v>
      </c>
      <c r="K58" s="6">
        <f>IFERROR('raw-Return'!K59-Table14[[#This Row],[RF]],"")</f>
        <v>-1.3745898949863319E-2</v>
      </c>
      <c r="L58" s="6">
        <f>IFERROR('raw-Return'!L59-Table14[[#This Row],[RF]],"")</f>
        <v>-1.9342037346138138E-2</v>
      </c>
      <c r="M58" s="6">
        <f>IFERROR('raw-Return'!M59-Table14[[#This Row],[RF]],"")</f>
        <v>-9.7146816006625641E-3</v>
      </c>
      <c r="N58" s="6">
        <f>IFERROR('raw-Return'!N59-Table14[[#This Row],[RF]],"")</f>
        <v>-1.4511790571777525E-2</v>
      </c>
      <c r="O58" s="6">
        <f>IFERROR('raw-Return'!O59-Table14[[#This Row],[RF]],"")</f>
        <v>-1.1097570340956361E-2</v>
      </c>
      <c r="P58" s="6">
        <f>IFERROR('raw-Return'!P59-Table14[[#This Row],[RF]],"")</f>
        <v>-2.2333267783920516E-2</v>
      </c>
      <c r="Q58" s="6">
        <f>IFERROR('raw-Return'!Q59-Table14[[#This Row],[RF]],"")</f>
        <v>-8.4147508680525313E-3</v>
      </c>
      <c r="R58" s="6">
        <f>IFERROR('raw-Return'!R59-Table14[[#This Row],[RF]],"")</f>
        <v>-6.8904314542825723E-3</v>
      </c>
      <c r="S58" s="6">
        <f>IFERROR('raw-Return'!S59-Table14[[#This Row],[RF]],"")</f>
        <v>-1.694520752991234E-2</v>
      </c>
      <c r="T58" s="6">
        <f>IFERROR('raw-Return'!T59-Table14[[#This Row],[RF]],"")</f>
        <v>-1.82755981922431E-2</v>
      </c>
      <c r="U58" s="6">
        <f>IFERROR('raw-Return'!U59-Table14[[#This Row],[RF]],"")</f>
        <v>-1.9491770883446197E-3</v>
      </c>
      <c r="V58" s="6">
        <f>IFERROR('raw-Return'!V59-Table14[[#This Row],[RF]],"")</f>
        <v>-2.4996927464569593E-2</v>
      </c>
      <c r="W58" s="6">
        <f>IFERROR('raw-Return'!W59-Table14[[#This Row],[RF]],"")</f>
        <v>-1.0024721468565354E-2</v>
      </c>
      <c r="X58" s="6" t="str">
        <f>IFERROR('raw-Return'!X59-Table14[[#This Row],[RF]],"")</f>
        <v/>
      </c>
      <c r="Y58" s="6">
        <f>IFERROR('raw-Return'!Y59-Table14[[#This Row],[RF]],"")</f>
        <v>-1.6481896038942109E-2</v>
      </c>
      <c r="Z58" s="6">
        <f>IFERROR('raw-Return'!Z59-Table14[[#This Row],[RF]],"")</f>
        <v>2.056024935627955E-2</v>
      </c>
      <c r="AA58" s="6">
        <f>IFERROR('raw-Return'!AA59-Table14[[#This Row],[RF]],"")</f>
        <v>-9.0223713436450165E-3</v>
      </c>
      <c r="AB58" s="6">
        <f>IFERROR('raw-Return'!AB59-Table14[[#This Row],[RF]],"")</f>
        <v>-3.2271383600321751E-3</v>
      </c>
      <c r="AC58" s="6">
        <f>IFERROR('raw-Return'!AC59-Table14[[#This Row],[RF]],"")</f>
        <v>-3.2271383600321751E-3</v>
      </c>
      <c r="AD58" s="6">
        <f>IFERROR('raw-Return'!AD59-Table14[[#This Row],[RF]],"")</f>
        <v>3.037095740760179E-3</v>
      </c>
      <c r="AE58" s="6">
        <f>IFERROR('raw-Return'!AE59-Table14[[#This Row],[RF]],"")</f>
        <v>1.2645035140484776E-2</v>
      </c>
      <c r="AF58" s="6">
        <f>IFERROR('raw-Return'!AF59-Table14[[#This Row],[RF]],"")</f>
        <v>6.0645182215581933E-3</v>
      </c>
      <c r="AG58" s="6">
        <f>IFERROR('raw-Return'!AG59-Table14[[#This Row],[RF]],"")</f>
        <v>-1.2882803389140593E-2</v>
      </c>
      <c r="AH58" s="6">
        <f>IFERROR('raw-Return'!AH59-Table14[[#This Row],[RF]],"")</f>
        <v>-5.6182376471351908E-3</v>
      </c>
      <c r="AI58" s="6" t="str">
        <f>IFERROR('raw-Return'!AI59-Table14[[#This Row],[RF]],"")</f>
        <v/>
      </c>
      <c r="AJ58" s="6">
        <f>IFERROR('raw-Return'!AJ59-Table14[[#This Row],[RF]],"")</f>
        <v>-5.1010907325872296E-3</v>
      </c>
      <c r="AK58" s="6">
        <f>IFERROR('raw-Return'!AK59-Table14[[#This Row],[RF]],"")</f>
        <v>-1.8795403843041333E-2</v>
      </c>
      <c r="AL58" s="6">
        <f>IFERROR('raw-Return'!AL59-Table14[[#This Row],[RF]],"")</f>
        <v>-1.2300627764621805E-2</v>
      </c>
      <c r="AM58" s="6">
        <f>IFERROR('raw-Return'!AM59-Table14[[#This Row],[RF]],"")</f>
        <v>9.6277970929135176E-3</v>
      </c>
      <c r="AN58" s="6">
        <f>IFERROR('raw-Return'!AN59-Table14[[#This Row],[RF]],"")</f>
        <v>-2.4934201736188516E-3</v>
      </c>
      <c r="AO58" s="6">
        <f>IFERROR('raw-Return'!AO59-Table14[[#This Row],[RF]],"")</f>
        <v>3.884480688705963E-3</v>
      </c>
      <c r="AP58" s="6">
        <f>IFERROR('raw-Return'!AP59-Table14[[#This Row],[RF]],"")</f>
        <v>3.884480688705963E-3</v>
      </c>
      <c r="AQ58" s="6">
        <f>IFERROR('raw-Return'!AQ59-Table14[[#This Row],[RF]],"")</f>
        <v>-1.1022799717641515E-2</v>
      </c>
      <c r="AR58" s="6">
        <f>IFERROR('raw-Return'!AR59-Table14[[#This Row],[RF]],"")</f>
        <v>-6.7580196978353907E-3</v>
      </c>
      <c r="AS58" s="6">
        <f>IFERROR('raw-Return'!AS59-Table14[[#This Row],[RF]],"")</f>
        <v>-1.0339361984375003E-2</v>
      </c>
      <c r="AT58" s="6">
        <f>IFERROR('raw-Return'!AT59-Table14[[#This Row],[RF]],"")</f>
        <v>-2.6099999999999998E-2</v>
      </c>
      <c r="AU58" s="6">
        <f>IFERROR('raw-Return'!AU59-Table14[[#This Row],[RF]],"")</f>
        <v>-2.6099999999999998E-2</v>
      </c>
      <c r="AV58" s="6">
        <f>IFERROR('raw-Return'!AV59-Table14[[#This Row],[RF]],"")</f>
        <v>-2.6099999999999998E-2</v>
      </c>
    </row>
    <row r="59" spans="1:48" x14ac:dyDescent="0.2">
      <c r="A59" s="2">
        <v>41790</v>
      </c>
      <c r="B59" s="6">
        <f>IFERROR('raw-Return'!B60-Table14[[#This Row],[RF]],"")</f>
        <v>-1.350708220077506E-2</v>
      </c>
      <c r="C59" s="6">
        <f>IFERROR('raw-Return'!C60-Table14[[#This Row],[RF]],"")</f>
        <v>-3.9776665853757248E-4</v>
      </c>
      <c r="D59" s="6">
        <f>IFERROR('raw-Return'!D60-Table14[[#This Row],[RF]],"")</f>
        <v>-1.4935054671347418E-2</v>
      </c>
      <c r="E59" s="6">
        <f>IFERROR('raw-Return'!E60-Table14[[#This Row],[RF]],"")</f>
        <v>-1.5764074286679856E-2</v>
      </c>
      <c r="F59" s="6">
        <f>IFERROR('raw-Return'!F60-Table14[[#This Row],[RF]],"")</f>
        <v>-1.9277369076956367E-2</v>
      </c>
      <c r="G59" s="6">
        <f>IFERROR('raw-Return'!G60-Table14[[#This Row],[RF]],"")</f>
        <v>8.7641162762625638E-3</v>
      </c>
      <c r="H59" s="6">
        <f>IFERROR('raw-Return'!H60-Table14[[#This Row],[RF]],"")</f>
        <v>-1.2643039502867208E-2</v>
      </c>
      <c r="I59" s="6">
        <f>IFERROR('raw-Return'!I60-Table14[[#This Row],[RF]],"")</f>
        <v>-1.5077696007814327E-2</v>
      </c>
      <c r="J59" s="6">
        <f>IFERROR('raw-Return'!J60-Table14[[#This Row],[RF]],"")</f>
        <v>-1.1287938054869433E-2</v>
      </c>
      <c r="K59" s="6">
        <f>IFERROR('raw-Return'!K60-Table14[[#This Row],[RF]],"")</f>
        <v>-4.4899225280586146E-2</v>
      </c>
      <c r="L59" s="6">
        <f>IFERROR('raw-Return'!L60-Table14[[#This Row],[RF]],"")</f>
        <v>-5.8025043648731227E-2</v>
      </c>
      <c r="M59" s="6">
        <f>IFERROR('raw-Return'!M60-Table14[[#This Row],[RF]],"")</f>
        <v>-3.1930936681491655E-2</v>
      </c>
      <c r="N59" s="6">
        <f>IFERROR('raw-Return'!N60-Table14[[#This Row],[RF]],"")</f>
        <v>-1.2522256157652838E-2</v>
      </c>
      <c r="O59" s="6">
        <f>IFERROR('raw-Return'!O60-Table14[[#This Row],[RF]],"")</f>
        <v>1.3165259035627444E-3</v>
      </c>
      <c r="P59" s="6">
        <f>IFERROR('raw-Return'!P60-Table14[[#This Row],[RF]],"")</f>
        <v>-1.798709318054819E-2</v>
      </c>
      <c r="Q59" s="6">
        <f>IFERROR('raw-Return'!Q60-Table14[[#This Row],[RF]],"")</f>
        <v>-4.8787960379686399E-3</v>
      </c>
      <c r="R59" s="6">
        <f>IFERROR('raw-Return'!R60-Table14[[#This Row],[RF]],"")</f>
        <v>-5.9066981294085205E-3</v>
      </c>
      <c r="S59" s="6">
        <f>IFERROR('raw-Return'!S60-Table14[[#This Row],[RF]],"")</f>
        <v>-1.6057974295398396E-2</v>
      </c>
      <c r="T59" s="6">
        <f>IFERROR('raw-Return'!T60-Table14[[#This Row],[RF]],"")</f>
        <v>5.8049126460330627E-3</v>
      </c>
      <c r="U59" s="6">
        <f>IFERROR('raw-Return'!U60-Table14[[#This Row],[RF]],"")</f>
        <v>-4.4039834334906255E-3</v>
      </c>
      <c r="V59" s="6">
        <f>IFERROR('raw-Return'!V60-Table14[[#This Row],[RF]],"")</f>
        <v>-1.9428101058701901E-2</v>
      </c>
      <c r="W59" s="6">
        <f>IFERROR('raw-Return'!W60-Table14[[#This Row],[RF]],"")</f>
        <v>-1.0493985614754613E-2</v>
      </c>
      <c r="X59" s="6" t="str">
        <f>IFERROR('raw-Return'!X60-Table14[[#This Row],[RF]],"")</f>
        <v/>
      </c>
      <c r="Y59" s="6">
        <f>IFERROR('raw-Return'!Y60-Table14[[#This Row],[RF]],"")</f>
        <v>-1.4323035995827786E-2</v>
      </c>
      <c r="Z59" s="6">
        <f>IFERROR('raw-Return'!Z60-Table14[[#This Row],[RF]],"")</f>
        <v>1.9554954259805649E-3</v>
      </c>
      <c r="AA59" s="6">
        <f>IFERROR('raw-Return'!AA60-Table14[[#This Row],[RF]],"")</f>
        <v>-1.6517891820270018E-2</v>
      </c>
      <c r="AB59" s="6">
        <f>IFERROR('raw-Return'!AB60-Table14[[#This Row],[RF]],"")</f>
        <v>-1.3242324408043564E-2</v>
      </c>
      <c r="AC59" s="6">
        <f>IFERROR('raw-Return'!AC60-Table14[[#This Row],[RF]],"")</f>
        <v>-1.3242324408043564E-2</v>
      </c>
      <c r="AD59" s="6">
        <f>IFERROR('raw-Return'!AD60-Table14[[#This Row],[RF]],"")</f>
        <v>-4.2318609898397024E-2</v>
      </c>
      <c r="AE59" s="6">
        <f>IFERROR('raw-Return'!AE60-Table14[[#This Row],[RF]],"")</f>
        <v>-2.8708715917884424E-2</v>
      </c>
      <c r="AF59" s="6">
        <f>IFERROR('raw-Return'!AF60-Table14[[#This Row],[RF]],"")</f>
        <v>-2.1217814730057176E-2</v>
      </c>
      <c r="AG59" s="6">
        <f>IFERROR('raw-Return'!AG60-Table14[[#This Row],[RF]],"")</f>
        <v>-1.0130002766715766E-2</v>
      </c>
      <c r="AH59" s="6">
        <f>IFERROR('raw-Return'!AH60-Table14[[#This Row],[RF]],"")</f>
        <v>-1.3239346232101705E-2</v>
      </c>
      <c r="AI59" s="6" t="str">
        <f>IFERROR('raw-Return'!AI60-Table14[[#This Row],[RF]],"")</f>
        <v/>
      </c>
      <c r="AJ59" s="6">
        <f>IFERROR('raw-Return'!AJ60-Table14[[#This Row],[RF]],"")</f>
        <v>-1.9967286722942394E-2</v>
      </c>
      <c r="AK59" s="6">
        <f>IFERROR('raw-Return'!AK60-Table14[[#This Row],[RF]],"")</f>
        <v>-1.4946098935971146E-2</v>
      </c>
      <c r="AL59" s="6">
        <f>IFERROR('raw-Return'!AL60-Table14[[#This Row],[RF]],"")</f>
        <v>-1.1999233791818935E-2</v>
      </c>
      <c r="AM59" s="6">
        <f>IFERROR('raw-Return'!AM60-Table14[[#This Row],[RF]],"")</f>
        <v>-2.0166638549699294E-2</v>
      </c>
      <c r="AN59" s="6">
        <f>IFERROR('raw-Return'!AN60-Table14[[#This Row],[RF]],"")</f>
        <v>-1.5443933993147634E-2</v>
      </c>
      <c r="AO59" s="6">
        <f>IFERROR('raw-Return'!AO60-Table14[[#This Row],[RF]],"")</f>
        <v>-1.6539262399681447E-2</v>
      </c>
      <c r="AP59" s="6">
        <f>IFERROR('raw-Return'!AP60-Table14[[#This Row],[RF]],"")</f>
        <v>-1.6539262399681447E-2</v>
      </c>
      <c r="AQ59" s="6">
        <f>IFERROR('raw-Return'!AQ60-Table14[[#This Row],[RF]],"")</f>
        <v>-4.6741079765883424E-2</v>
      </c>
      <c r="AR59" s="6">
        <f>IFERROR('raw-Return'!AR60-Table14[[#This Row],[RF]],"")</f>
        <v>-7.9695624270824036E-3</v>
      </c>
      <c r="AS59" s="6">
        <f>IFERROR('raw-Return'!AS60-Table14[[#This Row],[RF]],"")</f>
        <v>4.8717993564468404E-4</v>
      </c>
      <c r="AT59" s="6">
        <f>IFERROR('raw-Return'!AT60-Table14[[#This Row],[RF]],"")</f>
        <v>-2.06E-2</v>
      </c>
      <c r="AU59" s="6">
        <f>IFERROR('raw-Return'!AU60-Table14[[#This Row],[RF]],"")</f>
        <v>-2.06E-2</v>
      </c>
      <c r="AV59" s="6">
        <f>IFERROR('raw-Return'!AV60-Table14[[#This Row],[RF]],"")</f>
        <v>-2.06E-2</v>
      </c>
    </row>
    <row r="60" spans="1:48" x14ac:dyDescent="0.2">
      <c r="A60" s="2">
        <v>41759</v>
      </c>
      <c r="B60" s="6">
        <f>IFERROR('raw-Return'!B61-Table14[[#This Row],[RF]],"")</f>
        <v>-5.0486471083592962E-3</v>
      </c>
      <c r="C60" s="6">
        <f>IFERROR('raw-Return'!C61-Table14[[#This Row],[RF]],"")</f>
        <v>7.5499762869133272E-3</v>
      </c>
      <c r="D60" s="6">
        <f>IFERROR('raw-Return'!D61-Table14[[#This Row],[RF]],"")</f>
        <v>-1.9265952480133203E-3</v>
      </c>
      <c r="E60" s="6">
        <f>IFERROR('raw-Return'!E61-Table14[[#This Row],[RF]],"")</f>
        <v>3.8920389719725315E-3</v>
      </c>
      <c r="F60" s="6">
        <f>IFERROR('raw-Return'!F61-Table14[[#This Row],[RF]],"")</f>
        <v>-1.9336493214620182E-3</v>
      </c>
      <c r="G60" s="6">
        <f>IFERROR('raw-Return'!G61-Table14[[#This Row],[RF]],"")</f>
        <v>1.3162272736993318E-2</v>
      </c>
      <c r="H60" s="6">
        <f>IFERROR('raw-Return'!H61-Table14[[#This Row],[RF]],"")</f>
        <v>6.7969122033934995E-3</v>
      </c>
      <c r="I60" s="6">
        <f>IFERROR('raw-Return'!I61-Table14[[#This Row],[RF]],"")</f>
        <v>-1.5851469656715259E-2</v>
      </c>
      <c r="J60" s="6">
        <f>IFERROR('raw-Return'!J61-Table14[[#This Row],[RF]],"")</f>
        <v>2.4429084847048518E-2</v>
      </c>
      <c r="K60" s="6">
        <f>IFERROR('raw-Return'!K61-Table14[[#This Row],[RF]],"")</f>
        <v>-8.9230604338865231E-5</v>
      </c>
      <c r="L60" s="6">
        <f>IFERROR('raw-Return'!L61-Table14[[#This Row],[RF]],"")</f>
        <v>-2.1018502839357148E-2</v>
      </c>
      <c r="M60" s="6">
        <f>IFERROR('raw-Return'!M61-Table14[[#This Row],[RF]],"")</f>
        <v>1.4795750152301267E-2</v>
      </c>
      <c r="N60" s="6">
        <f>IFERROR('raw-Return'!N61-Table14[[#This Row],[RF]],"")</f>
        <v>-6.7368082719278135E-4</v>
      </c>
      <c r="O60" s="6">
        <f>IFERROR('raw-Return'!O61-Table14[[#This Row],[RF]],"")</f>
        <v>6.4775373931038474E-3</v>
      </c>
      <c r="P60" s="6">
        <f>IFERROR('raw-Return'!P61-Table14[[#This Row],[RF]],"")</f>
        <v>-2.6275513372867728E-3</v>
      </c>
      <c r="Q60" s="6">
        <f>IFERROR('raw-Return'!Q61-Table14[[#This Row],[RF]],"")</f>
        <v>-1.2179143640997382E-2</v>
      </c>
      <c r="R60" s="6">
        <f>IFERROR('raw-Return'!R61-Table14[[#This Row],[RF]],"")</f>
        <v>-1.4565236684046651E-3</v>
      </c>
      <c r="S60" s="6">
        <f>IFERROR('raw-Return'!S61-Table14[[#This Row],[RF]],"")</f>
        <v>-6.2441924446225002E-3</v>
      </c>
      <c r="T60" s="6">
        <f>IFERROR('raw-Return'!T61-Table14[[#This Row],[RF]],"")</f>
        <v>-1.9301763683891707E-2</v>
      </c>
      <c r="U60" s="6">
        <f>IFERROR('raw-Return'!U61-Table14[[#This Row],[RF]],"")</f>
        <v>6.4213633943244067E-3</v>
      </c>
      <c r="V60" s="6">
        <f>IFERROR('raw-Return'!V61-Table14[[#This Row],[RF]],"")</f>
        <v>1.349207182352746E-4</v>
      </c>
      <c r="W60" s="6">
        <f>IFERROR('raw-Return'!W61-Table14[[#This Row],[RF]],"")</f>
        <v>5.3438980353281854E-3</v>
      </c>
      <c r="X60" s="6" t="str">
        <f>IFERROR('raw-Return'!X61-Table14[[#This Row],[RF]],"")</f>
        <v/>
      </c>
      <c r="Y60" s="6">
        <f>IFERROR('raw-Return'!Y61-Table14[[#This Row],[RF]],"")</f>
        <v>-3.1824916692763236E-3</v>
      </c>
      <c r="Z60" s="6">
        <f>IFERROR('raw-Return'!Z61-Table14[[#This Row],[RF]],"")</f>
        <v>1.006531485529426E-2</v>
      </c>
      <c r="AA60" s="6">
        <f>IFERROR('raw-Return'!AA61-Table14[[#This Row],[RF]],"")</f>
        <v>1.3114096633195059E-2</v>
      </c>
      <c r="AB60" s="6">
        <f>IFERROR('raw-Return'!AB61-Table14[[#This Row],[RF]],"")</f>
        <v>6.0399345460679802E-3</v>
      </c>
      <c r="AC60" s="6">
        <f>IFERROR('raw-Return'!AC61-Table14[[#This Row],[RF]],"")</f>
        <v>6.0399345460679802E-3</v>
      </c>
      <c r="AD60" s="6">
        <f>IFERROR('raw-Return'!AD61-Table14[[#This Row],[RF]],"")</f>
        <v>-1.476203018456025E-2</v>
      </c>
      <c r="AE60" s="6">
        <f>IFERROR('raw-Return'!AE61-Table14[[#This Row],[RF]],"")</f>
        <v>5.5213034826806492E-2</v>
      </c>
      <c r="AF60" s="6">
        <f>IFERROR('raw-Return'!AF61-Table14[[#This Row],[RF]],"")</f>
        <v>-3.851338543055873E-3</v>
      </c>
      <c r="AG60" s="6">
        <f>IFERROR('raw-Return'!AG61-Table14[[#This Row],[RF]],"")</f>
        <v>-3.8700643411586763E-3</v>
      </c>
      <c r="AH60" s="6">
        <f>IFERROR('raw-Return'!AH61-Table14[[#This Row],[RF]],"")</f>
        <v>1.0585956031302507E-3</v>
      </c>
      <c r="AI60" s="6" t="str">
        <f>IFERROR('raw-Return'!AI61-Table14[[#This Row],[RF]],"")</f>
        <v/>
      </c>
      <c r="AJ60" s="6">
        <f>IFERROR('raw-Return'!AJ61-Table14[[#This Row],[RF]],"")</f>
        <v>2.6118085893007551E-3</v>
      </c>
      <c r="AK60" s="6">
        <f>IFERROR('raw-Return'!AK61-Table14[[#This Row],[RF]],"")</f>
        <v>-2.5136335465210232E-3</v>
      </c>
      <c r="AL60" s="6">
        <f>IFERROR('raw-Return'!AL61-Table14[[#This Row],[RF]],"")</f>
        <v>2.3047119937394708E-2</v>
      </c>
      <c r="AM60" s="6">
        <f>IFERROR('raw-Return'!AM61-Table14[[#This Row],[RF]],"")</f>
        <v>-1.691535756222419E-2</v>
      </c>
      <c r="AN60" s="6">
        <f>IFERROR('raw-Return'!AN61-Table14[[#This Row],[RF]],"")</f>
        <v>4.5452907960687886E-3</v>
      </c>
      <c r="AO60" s="6">
        <f>IFERROR('raw-Return'!AO61-Table14[[#This Row],[RF]],"")</f>
        <v>7.2101909995589833E-3</v>
      </c>
      <c r="AP60" s="6">
        <f>IFERROR('raw-Return'!AP61-Table14[[#This Row],[RF]],"")</f>
        <v>7.2101909995589833E-3</v>
      </c>
      <c r="AQ60" s="6">
        <f>IFERROR('raw-Return'!AQ61-Table14[[#This Row],[RF]],"")</f>
        <v>-5.4427015338596304E-3</v>
      </c>
      <c r="AR60" s="6">
        <f>IFERROR('raw-Return'!AR61-Table14[[#This Row],[RF]],"")</f>
        <v>-4.1897054756413646E-4</v>
      </c>
      <c r="AS60" s="6">
        <f>IFERROR('raw-Return'!AS61-Table14[[#This Row],[RF]],"")</f>
        <v>2.0123932419187515E-2</v>
      </c>
      <c r="AT60" s="6">
        <f>IFERROR('raw-Return'!AT61-Table14[[#This Row],[RF]],"")</f>
        <v>1.9E-3</v>
      </c>
      <c r="AU60" s="6">
        <f>IFERROR('raw-Return'!AU61-Table14[[#This Row],[RF]],"")</f>
        <v>1.9E-3</v>
      </c>
      <c r="AV60" s="6">
        <f>IFERROR('raw-Return'!AV61-Table14[[#This Row],[RF]],"")</f>
        <v>1.9E-3</v>
      </c>
    </row>
    <row r="61" spans="1:48" x14ac:dyDescent="0.2">
      <c r="A61" s="2">
        <v>41729</v>
      </c>
      <c r="B61" s="6">
        <f>IFERROR('raw-Return'!B62-Table14[[#This Row],[RF]],"")</f>
        <v>5.7464997584474702E-4</v>
      </c>
      <c r="C61" s="6">
        <f>IFERROR('raw-Return'!C62-Table14[[#This Row],[RF]],"")</f>
        <v>1.9497907032452726E-3</v>
      </c>
      <c r="D61" s="6">
        <f>IFERROR('raw-Return'!D62-Table14[[#This Row],[RF]],"")</f>
        <v>-1.7705707680495692E-3</v>
      </c>
      <c r="E61" s="6">
        <f>IFERROR('raw-Return'!E62-Table14[[#This Row],[RF]],"")</f>
        <v>-8.6787783989475571E-4</v>
      </c>
      <c r="F61" s="6">
        <f>IFERROR('raw-Return'!F62-Table14[[#This Row],[RF]],"")</f>
        <v>-3.6638879526776098E-3</v>
      </c>
      <c r="G61" s="6">
        <f>IFERROR('raw-Return'!G62-Table14[[#This Row],[RF]],"")</f>
        <v>-8.3844692672044481E-4</v>
      </c>
      <c r="H61" s="6">
        <f>IFERROR('raw-Return'!H62-Table14[[#This Row],[RF]],"")</f>
        <v>4.0045814222039205E-2</v>
      </c>
      <c r="I61" s="6">
        <f>IFERROR('raw-Return'!I62-Table14[[#This Row],[RF]],"")</f>
        <v>4.826169017873691E-2</v>
      </c>
      <c r="J61" s="6">
        <f>IFERROR('raw-Return'!J62-Table14[[#This Row],[RF]],"")</f>
        <v>3.27137857708166E-2</v>
      </c>
      <c r="K61" s="6">
        <f>IFERROR('raw-Return'!K62-Table14[[#This Row],[RF]],"")</f>
        <v>4.6467540133633606E-2</v>
      </c>
      <c r="L61" s="6">
        <f>IFERROR('raw-Return'!L62-Table14[[#This Row],[RF]],"")</f>
        <v>4.7358231848044302E-2</v>
      </c>
      <c r="M61" s="6">
        <f>IFERROR('raw-Return'!M62-Table14[[#This Row],[RF]],"")</f>
        <v>4.5348201943345962E-2</v>
      </c>
      <c r="N61" s="6">
        <f>IFERROR('raw-Return'!N62-Table14[[#This Row],[RF]],"")</f>
        <v>5.4242973159994417E-3</v>
      </c>
      <c r="O61" s="6">
        <f>IFERROR('raw-Return'!O62-Table14[[#This Row],[RF]],"")</f>
        <v>5.4422846938692853E-3</v>
      </c>
      <c r="P61" s="6">
        <f>IFERROR('raw-Return'!P62-Table14[[#This Row],[RF]],"")</f>
        <v>-1.8945358034257193E-3</v>
      </c>
      <c r="Q61" s="6">
        <f>IFERROR('raw-Return'!Q62-Table14[[#This Row],[RF]],"")</f>
        <v>5.519876962811418E-2</v>
      </c>
      <c r="R61" s="6">
        <f>IFERROR('raw-Return'!R62-Table14[[#This Row],[RF]],"")</f>
        <v>5.1956704811687765E-2</v>
      </c>
      <c r="S61" s="6">
        <f>IFERROR('raw-Return'!S62-Table14[[#This Row],[RF]],"")</f>
        <v>-2.5724752058753648E-3</v>
      </c>
      <c r="T61" s="6">
        <f>IFERROR('raw-Return'!T62-Table14[[#This Row],[RF]],"")</f>
        <v>6.9125359498744182E-2</v>
      </c>
      <c r="U61" s="6">
        <f>IFERROR('raw-Return'!U62-Table14[[#This Row],[RF]],"")</f>
        <v>-2.2134233245228192E-3</v>
      </c>
      <c r="V61" s="6">
        <f>IFERROR('raw-Return'!V62-Table14[[#This Row],[RF]],"")</f>
        <v>-3.993670430402026E-3</v>
      </c>
      <c r="W61" s="6">
        <f>IFERROR('raw-Return'!W62-Table14[[#This Row],[RF]],"")</f>
        <v>4.4686962499380839E-2</v>
      </c>
      <c r="X61" s="6" t="str">
        <f>IFERROR('raw-Return'!X62-Table14[[#This Row],[RF]],"")</f>
        <v/>
      </c>
      <c r="Y61" s="6">
        <f>IFERROR('raw-Return'!Y62-Table14[[#This Row],[RF]],"")</f>
        <v>-2.6555841645161966E-3</v>
      </c>
      <c r="Z61" s="6">
        <f>IFERROR('raw-Return'!Z62-Table14[[#This Row],[RF]],"")</f>
        <v>3.5495098526580032E-2</v>
      </c>
      <c r="AA61" s="6">
        <f>IFERROR('raw-Return'!AA62-Table14[[#This Row],[RF]],"")</f>
        <v>4.9590447421524936E-2</v>
      </c>
      <c r="AB61" s="6">
        <f>IFERROR('raw-Return'!AB62-Table14[[#This Row],[RF]],"")</f>
        <v>4.145164720466063E-2</v>
      </c>
      <c r="AC61" s="6">
        <f>IFERROR('raw-Return'!AC62-Table14[[#This Row],[RF]],"")</f>
        <v>4.145164720466063E-2</v>
      </c>
      <c r="AD61" s="6">
        <f>IFERROR('raw-Return'!AD62-Table14[[#This Row],[RF]],"")</f>
        <v>6.183263022006022E-2</v>
      </c>
      <c r="AE61" s="6">
        <f>IFERROR('raw-Return'!AE62-Table14[[#This Row],[RF]],"")</f>
        <v>-1.0690038013864396E-2</v>
      </c>
      <c r="AF61" s="6">
        <f>IFERROR('raw-Return'!AF62-Table14[[#This Row],[RF]],"")</f>
        <v>3.5997672340534165E-2</v>
      </c>
      <c r="AG61" s="6">
        <f>IFERROR('raw-Return'!AG62-Table14[[#This Row],[RF]],"")</f>
        <v>6.7475623308481864E-2</v>
      </c>
      <c r="AH61" s="6">
        <f>IFERROR('raw-Return'!AH62-Table14[[#This Row],[RF]],"")</f>
        <v>4.7846651832707393E-2</v>
      </c>
      <c r="AI61" s="6" t="str">
        <f>IFERROR('raw-Return'!AI62-Table14[[#This Row],[RF]],"")</f>
        <v/>
      </c>
      <c r="AJ61" s="6">
        <f>IFERROR('raw-Return'!AJ62-Table14[[#This Row],[RF]],"")</f>
        <v>4.4363478607647416E-2</v>
      </c>
      <c r="AK61" s="6">
        <f>IFERROR('raw-Return'!AK62-Table14[[#This Row],[RF]],"")</f>
        <v>-1.4345550839183503E-3</v>
      </c>
      <c r="AL61" s="6">
        <f>IFERROR('raw-Return'!AL62-Table14[[#This Row],[RF]],"")</f>
        <v>3.5440028767887738E-2</v>
      </c>
      <c r="AM61" s="6">
        <f>IFERROR('raw-Return'!AM62-Table14[[#This Row],[RF]],"")</f>
        <v>5.1800134906989398E-2</v>
      </c>
      <c r="AN61" s="6">
        <f>IFERROR('raw-Return'!AN62-Table14[[#This Row],[RF]],"")</f>
        <v>4.2170812750692094E-2</v>
      </c>
      <c r="AO61" s="6">
        <f>IFERROR('raw-Return'!AO62-Table14[[#This Row],[RF]],"")</f>
        <v>2.0764523952010422E-2</v>
      </c>
      <c r="AP61" s="6">
        <f>IFERROR('raw-Return'!AP62-Table14[[#This Row],[RF]],"")</f>
        <v>2.0764523952010422E-2</v>
      </c>
      <c r="AQ61" s="6">
        <f>IFERROR('raw-Return'!AQ62-Table14[[#This Row],[RF]],"")</f>
        <v>5.0786724963957502E-2</v>
      </c>
      <c r="AR61" s="6">
        <f>IFERROR('raw-Return'!AR62-Table14[[#This Row],[RF]],"")</f>
        <v>5.1579829729319043E-2</v>
      </c>
      <c r="AS61" s="6">
        <f>IFERROR('raw-Return'!AS62-Table14[[#This Row],[RF]],"")</f>
        <v>3.1819878008687547E-2</v>
      </c>
      <c r="AT61" s="6">
        <f>IFERROR('raw-Return'!AT62-Table14[[#This Row],[RF]],"")</f>
        <v>-4.3E-3</v>
      </c>
      <c r="AU61" s="6">
        <f>IFERROR('raw-Return'!AU62-Table14[[#This Row],[RF]],"")</f>
        <v>-4.3E-3</v>
      </c>
      <c r="AV61" s="6">
        <f>IFERROR('raw-Return'!AV62-Table14[[#This Row],[RF]],"")</f>
        <v>-4.3E-3</v>
      </c>
    </row>
    <row r="62" spans="1:48" x14ac:dyDescent="0.2">
      <c r="A62" s="2">
        <v>41698</v>
      </c>
      <c r="B62" s="6">
        <f>IFERROR('raw-Return'!B63-Table14[[#This Row],[RF]],"")</f>
        <v>-2.4411377445459757E-2</v>
      </c>
      <c r="C62" s="6">
        <f>IFERROR('raw-Return'!C63-Table14[[#This Row],[RF]],"")</f>
        <v>3.122354210697488E-3</v>
      </c>
      <c r="D62" s="6">
        <f>IFERROR('raw-Return'!D63-Table14[[#This Row],[RF]],"")</f>
        <v>-3.0901551000032355E-2</v>
      </c>
      <c r="E62" s="6">
        <f>IFERROR('raw-Return'!E63-Table14[[#This Row],[RF]],"")</f>
        <v>-3.19998238396191E-2</v>
      </c>
      <c r="F62" s="6">
        <f>IFERROR('raw-Return'!F63-Table14[[#This Row],[RF]],"")</f>
        <v>-4.1330879213413961E-2</v>
      </c>
      <c r="G62" s="6">
        <f>IFERROR('raw-Return'!G63-Table14[[#This Row],[RF]],"")</f>
        <v>5.0613541513652584E-2</v>
      </c>
      <c r="H62" s="6">
        <f>IFERROR('raw-Return'!H63-Table14[[#This Row],[RF]],"")</f>
        <v>-8.2791688126181789E-2</v>
      </c>
      <c r="I62" s="6">
        <f>IFERROR('raw-Return'!I63-Table14[[#This Row],[RF]],"")</f>
        <v>-8.0307227705505385E-2</v>
      </c>
      <c r="J62" s="6">
        <f>IFERROR('raw-Return'!J63-Table14[[#This Row],[RF]],"")</f>
        <v>-8.3375425502809214E-2</v>
      </c>
      <c r="K62" s="6">
        <f>IFERROR('raw-Return'!K63-Table14[[#This Row],[RF]],"")</f>
        <v>-6.6942340779528681E-2</v>
      </c>
      <c r="L62" s="6">
        <f>IFERROR('raw-Return'!L63-Table14[[#This Row],[RF]],"")</f>
        <v>-5.7915258125162981E-2</v>
      </c>
      <c r="M62" s="6">
        <f>IFERROR('raw-Return'!M63-Table14[[#This Row],[RF]],"")</f>
        <v>-7.4337139026097537E-2</v>
      </c>
      <c r="N62" s="6">
        <f>IFERROR('raw-Return'!N63-Table14[[#This Row],[RF]],"")</f>
        <v>-2.6179414286937173E-2</v>
      </c>
      <c r="O62" s="6">
        <f>IFERROR('raw-Return'!O63-Table14[[#This Row],[RF]],"")</f>
        <v>-1.0012324219437228E-2</v>
      </c>
      <c r="P62" s="6">
        <f>IFERROR('raw-Return'!P63-Table14[[#This Row],[RF]],"")</f>
        <v>-4.1877784083844259E-2</v>
      </c>
      <c r="Q62" s="6">
        <f>IFERROR('raw-Return'!Q63-Table14[[#This Row],[RF]],"")</f>
        <v>-9.8580829078198901E-2</v>
      </c>
      <c r="R62" s="6">
        <f>IFERROR('raw-Return'!R63-Table14[[#This Row],[RF]],"")</f>
        <v>-0.10441091226314062</v>
      </c>
      <c r="S62" s="6">
        <f>IFERROR('raw-Return'!S63-Table14[[#This Row],[RF]],"")</f>
        <v>-2.9416056828021529E-2</v>
      </c>
      <c r="T62" s="6">
        <f>IFERROR('raw-Return'!T63-Table14[[#This Row],[RF]],"")</f>
        <v>-9.2263445468545285E-2</v>
      </c>
      <c r="U62" s="6">
        <f>IFERROR('raw-Return'!U63-Table14[[#This Row],[RF]],"")</f>
        <v>1.5345090851716738E-2</v>
      </c>
      <c r="V62" s="6">
        <f>IFERROR('raw-Return'!V63-Table14[[#This Row],[RF]],"")</f>
        <v>-4.5357055562901948E-2</v>
      </c>
      <c r="W62" s="6">
        <f>IFERROR('raw-Return'!W63-Table14[[#This Row],[RF]],"")</f>
        <v>-9.665052627046225E-2</v>
      </c>
      <c r="X62" s="6" t="str">
        <f>IFERROR('raw-Return'!X63-Table14[[#This Row],[RF]],"")</f>
        <v/>
      </c>
      <c r="Y62" s="6">
        <f>IFERROR('raw-Return'!Y63-Table14[[#This Row],[RF]],"")</f>
        <v>-2.93694709142567E-2</v>
      </c>
      <c r="Z62" s="6">
        <f>IFERROR('raw-Return'!Z63-Table14[[#This Row],[RF]],"")</f>
        <v>-9.9779109790193471E-2</v>
      </c>
      <c r="AA62" s="6">
        <f>IFERROR('raw-Return'!AA63-Table14[[#This Row],[RF]],"")</f>
        <v>-7.2283263553642813E-2</v>
      </c>
      <c r="AB62" s="6">
        <f>IFERROR('raw-Return'!AB63-Table14[[#This Row],[RF]],"")</f>
        <v>-8.1770956230556552E-2</v>
      </c>
      <c r="AC62" s="6">
        <f>IFERROR('raw-Return'!AC63-Table14[[#This Row],[RF]],"")</f>
        <v>-8.1770956230556552E-2</v>
      </c>
      <c r="AD62" s="6">
        <f>IFERROR('raw-Return'!AD63-Table14[[#This Row],[RF]],"")</f>
        <v>-6.7680805208991029E-2</v>
      </c>
      <c r="AE62" s="6">
        <f>IFERROR('raw-Return'!AE63-Table14[[#This Row],[RF]],"")</f>
        <v>-7.4471640123857791E-2</v>
      </c>
      <c r="AF62" s="6">
        <f>IFERROR('raw-Return'!AF63-Table14[[#This Row],[RF]],"")</f>
        <v>-0.11471781047617494</v>
      </c>
      <c r="AG62" s="6">
        <f>IFERROR('raw-Return'!AG63-Table14[[#This Row],[RF]],"")</f>
        <v>-7.2465109981517922E-2</v>
      </c>
      <c r="AH62" s="6">
        <f>IFERROR('raw-Return'!AH63-Table14[[#This Row],[RF]],"")</f>
        <v>-9.0928410223241413E-2</v>
      </c>
      <c r="AI62" s="6" t="str">
        <f>IFERROR('raw-Return'!AI63-Table14[[#This Row],[RF]],"")</f>
        <v/>
      </c>
      <c r="AJ62" s="6">
        <f>IFERROR('raw-Return'!AJ63-Table14[[#This Row],[RF]],"")</f>
        <v>-7.8194618237872465E-2</v>
      </c>
      <c r="AK62" s="6">
        <f>IFERROR('raw-Return'!AK63-Table14[[#This Row],[RF]],"")</f>
        <v>-4.4915203344735775E-2</v>
      </c>
      <c r="AL62" s="6">
        <f>IFERROR('raw-Return'!AL63-Table14[[#This Row],[RF]],"")</f>
        <v>-8.3442444696425616E-2</v>
      </c>
      <c r="AM62" s="6">
        <f>IFERROR('raw-Return'!AM63-Table14[[#This Row],[RF]],"")</f>
        <v>-7.7020605801703917E-2</v>
      </c>
      <c r="AN62" s="6">
        <f>IFERROR('raw-Return'!AN63-Table14[[#This Row],[RF]],"")</f>
        <v>-7.9731039772788198E-2</v>
      </c>
      <c r="AO62" s="6">
        <f>IFERROR('raw-Return'!AO63-Table14[[#This Row],[RF]],"")</f>
        <v>-5.4980860008210251E-2</v>
      </c>
      <c r="AP62" s="6">
        <f>IFERROR('raw-Return'!AP63-Table14[[#This Row],[RF]],"")</f>
        <v>-5.4980860008210251E-2</v>
      </c>
      <c r="AQ62" s="6">
        <f>IFERROR('raw-Return'!AQ63-Table14[[#This Row],[RF]],"")</f>
        <v>-6.5348079919573504E-2</v>
      </c>
      <c r="AR62" s="6">
        <f>IFERROR('raw-Return'!AR63-Table14[[#This Row],[RF]],"")</f>
        <v>-0.10053499970218863</v>
      </c>
      <c r="AS62" s="6">
        <f>IFERROR('raw-Return'!AS63-Table14[[#This Row],[RF]],"")</f>
        <v>-8.6438272852988801E-2</v>
      </c>
      <c r="AT62" s="6">
        <f>IFERROR('raw-Return'!AT63-Table14[[#This Row],[RF]],"")</f>
        <v>-4.6500000000000007E-2</v>
      </c>
      <c r="AU62" s="6">
        <f>IFERROR('raw-Return'!AU63-Table14[[#This Row],[RF]],"")</f>
        <v>-4.6500000000000007E-2</v>
      </c>
      <c r="AV62" s="6">
        <f>IFERROR('raw-Return'!AV63-Table14[[#This Row],[RF]],"")</f>
        <v>-4.6500000000000007E-2</v>
      </c>
    </row>
    <row r="63" spans="1:48" x14ac:dyDescent="0.2">
      <c r="A63" s="2">
        <v>41670</v>
      </c>
      <c r="B63" s="6">
        <f>IFERROR('raw-Return'!B64-Table14[[#This Row],[RF]],"")</f>
        <v>6.5945511606127979E-3</v>
      </c>
      <c r="C63" s="6">
        <f>IFERROR('raw-Return'!C64-Table14[[#This Row],[RF]],"")</f>
        <v>1.5414573197152108E-2</v>
      </c>
      <c r="D63" s="6">
        <f>IFERROR('raw-Return'!D64-Table14[[#This Row],[RF]],"")</f>
        <v>1.9574363125471554E-2</v>
      </c>
      <c r="E63" s="6">
        <f>IFERROR('raw-Return'!E64-Table14[[#This Row],[RF]],"")</f>
        <v>2.4104206769417706E-2</v>
      </c>
      <c r="F63" s="6">
        <f>IFERROR('raw-Return'!F64-Table14[[#This Row],[RF]],"")</f>
        <v>2.3709684243500943E-2</v>
      </c>
      <c r="G63" s="6">
        <f>IFERROR('raw-Return'!G64-Table14[[#This Row],[RF]],"")</f>
        <v>-1.0817506506356496E-2</v>
      </c>
      <c r="H63" s="6">
        <f>IFERROR('raw-Return'!H64-Table14[[#This Row],[RF]],"")</f>
        <v>5.342337426132137E-2</v>
      </c>
      <c r="I63" s="6">
        <f>IFERROR('raw-Return'!I64-Table14[[#This Row],[RF]],"")</f>
        <v>6.2454833830572702E-2</v>
      </c>
      <c r="J63" s="6">
        <f>IFERROR('raw-Return'!J64-Table14[[#This Row],[RF]],"")</f>
        <v>4.6617801320667611E-2</v>
      </c>
      <c r="K63" s="6">
        <f>IFERROR('raw-Return'!K64-Table14[[#This Row],[RF]],"")</f>
        <v>4.5464836808706381E-2</v>
      </c>
      <c r="L63" s="6">
        <f>IFERROR('raw-Return'!L64-Table14[[#This Row],[RF]],"")</f>
        <v>5.1568215081387085E-2</v>
      </c>
      <c r="M63" s="6">
        <f>IFERROR('raw-Return'!M64-Table14[[#This Row],[RF]],"")</f>
        <v>4.1894441474748294E-2</v>
      </c>
      <c r="N63" s="6">
        <f>IFERROR('raw-Return'!N64-Table14[[#This Row],[RF]],"")</f>
        <v>1.866643433298542E-2</v>
      </c>
      <c r="O63" s="6">
        <f>IFERROR('raw-Return'!O64-Table14[[#This Row],[RF]],"")</f>
        <v>3.774068228126836E-2</v>
      </c>
      <c r="P63" s="6">
        <f>IFERROR('raw-Return'!P64-Table14[[#This Row],[RF]],"")</f>
        <v>2.8130327386894464E-2</v>
      </c>
      <c r="Q63" s="6">
        <f>IFERROR('raw-Return'!Q64-Table14[[#This Row],[RF]],"")</f>
        <v>4.6812579196348618E-2</v>
      </c>
      <c r="R63" s="6">
        <f>IFERROR('raw-Return'!R64-Table14[[#This Row],[RF]],"")</f>
        <v>3.9913208722865183E-2</v>
      </c>
      <c r="S63" s="6">
        <f>IFERROR('raw-Return'!S64-Table14[[#This Row],[RF]],"")</f>
        <v>1.4712512343429178E-2</v>
      </c>
      <c r="T63" s="6">
        <f>IFERROR('raw-Return'!T64-Table14[[#This Row],[RF]],"")</f>
        <v>5.8264053918782081E-2</v>
      </c>
      <c r="U63" s="6">
        <f>IFERROR('raw-Return'!U64-Table14[[#This Row],[RF]],"")</f>
        <v>1.0814649363930055E-2</v>
      </c>
      <c r="V63" s="6">
        <f>IFERROR('raw-Return'!V64-Table14[[#This Row],[RF]],"")</f>
        <v>3.2131460019096496E-2</v>
      </c>
      <c r="W63" s="6">
        <f>IFERROR('raw-Return'!W64-Table14[[#This Row],[RF]],"")</f>
        <v>4.7407429303539021E-2</v>
      </c>
      <c r="X63" s="6" t="str">
        <f>IFERROR('raw-Return'!X64-Table14[[#This Row],[RF]],"")</f>
        <v/>
      </c>
      <c r="Y63" s="6">
        <f>IFERROR('raw-Return'!Y64-Table14[[#This Row],[RF]],"")</f>
        <v>2.6911600589659128E-2</v>
      </c>
      <c r="Z63" s="6">
        <f>IFERROR('raw-Return'!Z64-Table14[[#This Row],[RF]],"")</f>
        <v>9.1256432468655307E-4</v>
      </c>
      <c r="AA63" s="6">
        <f>IFERROR('raw-Return'!AA64-Table14[[#This Row],[RF]],"")</f>
        <v>4.6026310338515113E-2</v>
      </c>
      <c r="AB63" s="6">
        <f>IFERROR('raw-Return'!AB64-Table14[[#This Row],[RF]],"")</f>
        <v>5.4143522331023257E-2</v>
      </c>
      <c r="AC63" s="6">
        <f>IFERROR('raw-Return'!AC64-Table14[[#This Row],[RF]],"")</f>
        <v>5.4143522331023257E-2</v>
      </c>
      <c r="AD63" s="6">
        <f>IFERROR('raw-Return'!AD64-Table14[[#This Row],[RF]],"")</f>
        <v>5.8633678382350556E-2</v>
      </c>
      <c r="AE63" s="6">
        <f>IFERROR('raw-Return'!AE64-Table14[[#This Row],[RF]],"")</f>
        <v>1.6858146887848584E-2</v>
      </c>
      <c r="AF63" s="6">
        <f>IFERROR('raw-Return'!AF64-Table14[[#This Row],[RF]],"")</f>
        <v>2.6249737210602857E-2</v>
      </c>
      <c r="AG63" s="6">
        <f>IFERROR('raw-Return'!AG64-Table14[[#This Row],[RF]],"")</f>
        <v>3.878318945448999E-2</v>
      </c>
      <c r="AH63" s="6">
        <f>IFERROR('raw-Return'!AH64-Table14[[#This Row],[RF]],"")</f>
        <v>4.8639620975579383E-2</v>
      </c>
      <c r="AI63" s="6" t="str">
        <f>IFERROR('raw-Return'!AI64-Table14[[#This Row],[RF]],"")</f>
        <v/>
      </c>
      <c r="AJ63" s="6">
        <f>IFERROR('raw-Return'!AJ64-Table14[[#This Row],[RF]],"")</f>
        <v>5.5162155251834315E-2</v>
      </c>
      <c r="AK63" s="6">
        <f>IFERROR('raw-Return'!AK64-Table14[[#This Row],[RF]],"")</f>
        <v>2.8788884076672787E-2</v>
      </c>
      <c r="AL63" s="6">
        <f>IFERROR('raw-Return'!AL64-Table14[[#This Row],[RF]],"")</f>
        <v>4.752789549167568E-2</v>
      </c>
      <c r="AM63" s="6">
        <f>IFERROR('raw-Return'!AM64-Table14[[#This Row],[RF]],"")</f>
        <v>6.3505060273514657E-2</v>
      </c>
      <c r="AN63" s="6">
        <f>IFERROR('raw-Return'!AN64-Table14[[#This Row],[RF]],"")</f>
        <v>5.4365737665612916E-2</v>
      </c>
      <c r="AO63" s="6">
        <f>IFERROR('raw-Return'!AO64-Table14[[#This Row],[RF]],"")</f>
        <v>2.8720204006058118E-2</v>
      </c>
      <c r="AP63" s="6">
        <f>IFERROR('raw-Return'!AP64-Table14[[#This Row],[RF]],"")</f>
        <v>2.8720204006058118E-2</v>
      </c>
      <c r="AQ63" s="6">
        <f>IFERROR('raw-Return'!AQ64-Table14[[#This Row],[RF]],"")</f>
        <v>5.1664823804984709E-2</v>
      </c>
      <c r="AR63" s="6">
        <f>IFERROR('raw-Return'!AR64-Table14[[#This Row],[RF]],"")</f>
        <v>3.9391723290629892E-2</v>
      </c>
      <c r="AS63" s="6">
        <f>IFERROR('raw-Return'!AS64-Table14[[#This Row],[RF]],"")</f>
        <v>4.4730450726062292E-2</v>
      </c>
      <c r="AT63" s="6">
        <f>IFERROR('raw-Return'!AT64-Table14[[#This Row],[RF]],"")</f>
        <v>3.32E-2</v>
      </c>
      <c r="AU63" s="6">
        <f>IFERROR('raw-Return'!AU64-Table14[[#This Row],[RF]],"")</f>
        <v>3.32E-2</v>
      </c>
      <c r="AV63" s="6">
        <f>IFERROR('raw-Return'!AV64-Table14[[#This Row],[RF]],"")</f>
        <v>3.32E-2</v>
      </c>
    </row>
    <row r="64" spans="1:48" x14ac:dyDescent="0.2">
      <c r="A64" s="2">
        <v>41639</v>
      </c>
      <c r="B64" s="6">
        <f>IFERROR('raw-Return'!B65-Table14[[#This Row],[RF]],"")</f>
        <v>-3.8497746064367386E-2</v>
      </c>
      <c r="C64" s="6">
        <f>IFERROR('raw-Return'!C65-Table14[[#This Row],[RF]],"")</f>
        <v>-5.3230354294664259E-2</v>
      </c>
      <c r="D64" s="6">
        <f>IFERROR('raw-Return'!D65-Table14[[#This Row],[RF]],"")</f>
        <v>-3.5515866831183893E-2</v>
      </c>
      <c r="E64" s="6">
        <f>IFERROR('raw-Return'!E65-Table14[[#This Row],[RF]],"")</f>
        <v>-3.0842645447845971E-2</v>
      </c>
      <c r="F64" s="6">
        <f>IFERROR('raw-Return'!F65-Table14[[#This Row],[RF]],"")</f>
        <v>-2.7935041273763991E-2</v>
      </c>
      <c r="G64" s="6">
        <f>IFERROR('raw-Return'!G65-Table14[[#This Row],[RF]],"")</f>
        <v>-7.1791998991573389E-2</v>
      </c>
      <c r="H64" s="6">
        <f>IFERROR('raw-Return'!H65-Table14[[#This Row],[RF]],"")</f>
        <v>1.4798049887503467E-3</v>
      </c>
      <c r="I64" s="6">
        <f>IFERROR('raw-Return'!I65-Table14[[#This Row],[RF]],"")</f>
        <v>-2.3406453567642455E-3</v>
      </c>
      <c r="J64" s="6">
        <f>IFERROR('raw-Return'!J65-Table14[[#This Row],[RF]],"")</f>
        <v>4.4668679609230072E-3</v>
      </c>
      <c r="K64" s="6">
        <f>IFERROR('raw-Return'!K65-Table14[[#This Row],[RF]],"")</f>
        <v>-1.0321995884236962E-3</v>
      </c>
      <c r="L64" s="6">
        <f>IFERROR('raw-Return'!L65-Table14[[#This Row],[RF]],"")</f>
        <v>-4.5091264712435603E-3</v>
      </c>
      <c r="M64" s="6">
        <f>IFERROR('raw-Return'!M65-Table14[[#This Row],[RF]],"")</f>
        <v>1.2329693601394048E-3</v>
      </c>
      <c r="N64" s="6">
        <f>IFERROR('raw-Return'!N65-Table14[[#This Row],[RF]],"")</f>
        <v>-3.1885683090247516E-2</v>
      </c>
      <c r="O64" s="6">
        <f>IFERROR('raw-Return'!O65-Table14[[#This Row],[RF]],"")</f>
        <v>-4.1360232952523765E-2</v>
      </c>
      <c r="P64" s="6">
        <f>IFERROR('raw-Return'!P65-Table14[[#This Row],[RF]],"")</f>
        <v>-2.685725879233479E-2</v>
      </c>
      <c r="Q64" s="6">
        <f>IFERROR('raw-Return'!Q65-Table14[[#This Row],[RF]],"")</f>
        <v>-2.1512520177369807E-2</v>
      </c>
      <c r="R64" s="6">
        <f>IFERROR('raw-Return'!R65-Table14[[#This Row],[RF]],"")</f>
        <v>-2.4711612589262119E-2</v>
      </c>
      <c r="S64" s="6">
        <f>IFERROR('raw-Return'!S65-Table14[[#This Row],[RF]],"")</f>
        <v>-3.1208949441262276E-2</v>
      </c>
      <c r="T64" s="6">
        <f>IFERROR('raw-Return'!T65-Table14[[#This Row],[RF]],"")</f>
        <v>-1.7847924082753583E-2</v>
      </c>
      <c r="U64" s="6">
        <f>IFERROR('raw-Return'!U65-Table14[[#This Row],[RF]],"")</f>
        <v>-5.4870871064002444E-2</v>
      </c>
      <c r="V64" s="6">
        <f>IFERROR('raw-Return'!V65-Table14[[#This Row],[RF]],"")</f>
        <v>-2.782721162518341E-2</v>
      </c>
      <c r="W64" s="6">
        <f>IFERROR('raw-Return'!W65-Table14[[#This Row],[RF]],"")</f>
        <v>-4.9580074005721592E-3</v>
      </c>
      <c r="X64" s="6" t="str">
        <f>IFERROR('raw-Return'!X65-Table14[[#This Row],[RF]],"")</f>
        <v/>
      </c>
      <c r="Y64" s="6">
        <f>IFERROR('raw-Return'!Y65-Table14[[#This Row],[RF]],"")</f>
        <v>-3.5213933336336697E-2</v>
      </c>
      <c r="Z64" s="6">
        <f>IFERROR('raw-Return'!Z65-Table14[[#This Row],[RF]],"")</f>
        <v>-5.4923458071212003E-2</v>
      </c>
      <c r="AA64" s="6">
        <f>IFERROR('raw-Return'!AA65-Table14[[#This Row],[RF]],"")</f>
        <v>8.6299725572726305E-4</v>
      </c>
      <c r="AB64" s="6">
        <f>IFERROR('raw-Return'!AB65-Table14[[#This Row],[RF]],"")</f>
        <v>1.7570171141849805E-3</v>
      </c>
      <c r="AC64" s="6">
        <f>IFERROR('raw-Return'!AC65-Table14[[#This Row],[RF]],"")</f>
        <v>1.7570171141849805E-3</v>
      </c>
      <c r="AD64" s="6">
        <f>IFERROR('raw-Return'!AD65-Table14[[#This Row],[RF]],"")</f>
        <v>-1.6822299111284952E-2</v>
      </c>
      <c r="AE64" s="6">
        <f>IFERROR('raw-Return'!AE65-Table14[[#This Row],[RF]],"")</f>
        <v>-4.4987506821363973E-2</v>
      </c>
      <c r="AF64" s="6">
        <f>IFERROR('raw-Return'!AF65-Table14[[#This Row],[RF]],"")</f>
        <v>-2.7743482437620579E-2</v>
      </c>
      <c r="AG64" s="6">
        <f>IFERROR('raw-Return'!AG65-Table14[[#This Row],[RF]],"")</f>
        <v>-3.3282629149546036E-2</v>
      </c>
      <c r="AH64" s="6">
        <f>IFERROR('raw-Return'!AH65-Table14[[#This Row],[RF]],"")</f>
        <v>-1.2725016728352564E-2</v>
      </c>
      <c r="AI64" s="6" t="str">
        <f>IFERROR('raw-Return'!AI65-Table14[[#This Row],[RF]],"")</f>
        <v/>
      </c>
      <c r="AJ64" s="6">
        <f>IFERROR('raw-Return'!AJ65-Table14[[#This Row],[RF]],"")</f>
        <v>-1.0819248500595208E-3</v>
      </c>
      <c r="AK64" s="6">
        <f>IFERROR('raw-Return'!AK65-Table14[[#This Row],[RF]],"")</f>
        <v>-2.7929233593910294E-2</v>
      </c>
      <c r="AL64" s="6">
        <f>IFERROR('raw-Return'!AL65-Table14[[#This Row],[RF]],"")</f>
        <v>3.7027780574969832E-3</v>
      </c>
      <c r="AM64" s="6">
        <f>IFERROR('raw-Return'!AM65-Table14[[#This Row],[RF]],"")</f>
        <v>-4.2517022230561391E-3</v>
      </c>
      <c r="AN64" s="6">
        <f>IFERROR('raw-Return'!AN65-Table14[[#This Row],[RF]],"")</f>
        <v>-6.9886986395623074E-6</v>
      </c>
      <c r="AO64" s="6">
        <f>IFERROR('raw-Return'!AO65-Table14[[#This Row],[RF]],"")</f>
        <v>-4.9840797853280758E-2</v>
      </c>
      <c r="AP64" s="6">
        <f>IFERROR('raw-Return'!AP65-Table14[[#This Row],[RF]],"")</f>
        <v>-4.9840797853280758E-2</v>
      </c>
      <c r="AQ64" s="6">
        <f>IFERROR('raw-Return'!AQ65-Table14[[#This Row],[RF]],"")</f>
        <v>-2.7338695177976241E-3</v>
      </c>
      <c r="AR64" s="6">
        <f>IFERROR('raw-Return'!AR65-Table14[[#This Row],[RF]],"")</f>
        <v>-2.6725461545622928E-2</v>
      </c>
      <c r="AS64" s="6">
        <f>IFERROR('raw-Return'!AS65-Table14[[#This Row],[RF]],"")</f>
        <v>-5.010294010439495E-3</v>
      </c>
      <c r="AT64" s="6">
        <f>IFERROR('raw-Return'!AT65-Table14[[#This Row],[RF]],"")</f>
        <v>-2.81E-2</v>
      </c>
      <c r="AU64" s="6">
        <f>IFERROR('raw-Return'!AU65-Table14[[#This Row],[RF]],"")</f>
        <v>-2.81E-2</v>
      </c>
      <c r="AV64" s="6">
        <f>IFERROR('raw-Return'!AV65-Table14[[#This Row],[RF]],"")</f>
        <v>-2.81E-2</v>
      </c>
    </row>
    <row r="65" spans="1:48" x14ac:dyDescent="0.2">
      <c r="A65" s="2">
        <v>41608</v>
      </c>
      <c r="B65" s="6">
        <f>IFERROR('raw-Return'!B66-Table14[[#This Row],[RF]],"")</f>
        <v>-2.3096819597971826E-2</v>
      </c>
      <c r="C65" s="6">
        <f>IFERROR('raw-Return'!C66-Table14[[#This Row],[RF]],"")</f>
        <v>-1.5851664268402451E-2</v>
      </c>
      <c r="D65" s="6">
        <f>IFERROR('raw-Return'!D66-Table14[[#This Row],[RF]],"")</f>
        <v>-2.6949173866735895E-2</v>
      </c>
      <c r="E65" s="6">
        <f>IFERROR('raw-Return'!E66-Table14[[#This Row],[RF]],"")</f>
        <v>-2.3556221051841516E-2</v>
      </c>
      <c r="F65" s="6">
        <f>IFERROR('raw-Return'!F66-Table14[[#This Row],[RF]],"")</f>
        <v>-3.0036624827264876E-2</v>
      </c>
      <c r="G65" s="6">
        <f>IFERROR('raw-Return'!G66-Table14[[#This Row],[RF]],"")</f>
        <v>-1.2273280804817929E-2</v>
      </c>
      <c r="H65" s="6">
        <f>IFERROR('raw-Return'!H66-Table14[[#This Row],[RF]],"")</f>
        <v>1.5820866627222045E-2</v>
      </c>
      <c r="I65" s="6">
        <f>IFERROR('raw-Return'!I66-Table14[[#This Row],[RF]],"")</f>
        <v>1.7393670716317481E-2</v>
      </c>
      <c r="J65" s="6">
        <f>IFERROR('raw-Return'!J66-Table14[[#This Row],[RF]],"")</f>
        <v>1.3722930991711849E-2</v>
      </c>
      <c r="K65" s="6">
        <f>IFERROR('raw-Return'!K66-Table14[[#This Row],[RF]],"")</f>
        <v>6.9390774279199166E-4</v>
      </c>
      <c r="L65" s="6">
        <f>IFERROR('raw-Return'!L66-Table14[[#This Row],[RF]],"")</f>
        <v>-6.1884882317836364E-3</v>
      </c>
      <c r="M65" s="6">
        <f>IFERROR('raw-Return'!M66-Table14[[#This Row],[RF]],"")</f>
        <v>8.0381386360818298E-3</v>
      </c>
      <c r="N65" s="6">
        <f>IFERROR('raw-Return'!N66-Table14[[#This Row],[RF]],"")</f>
        <v>-2.1411558457219756E-2</v>
      </c>
      <c r="O65" s="6">
        <f>IFERROR('raw-Return'!O66-Table14[[#This Row],[RF]],"")</f>
        <v>-9.9341042775008513E-3</v>
      </c>
      <c r="P65" s="6">
        <f>IFERROR('raw-Return'!P66-Table14[[#This Row],[RF]],"")</f>
        <v>-2.5091675221637796E-2</v>
      </c>
      <c r="Q65" s="6">
        <f>IFERROR('raw-Return'!Q66-Table14[[#This Row],[RF]],"")</f>
        <v>8.9429627591564378E-4</v>
      </c>
      <c r="R65" s="6">
        <f>IFERROR('raw-Return'!R66-Table14[[#This Row],[RF]],"")</f>
        <v>2.2226524612077893E-3</v>
      </c>
      <c r="S65" s="6">
        <f>IFERROR('raw-Return'!S66-Table14[[#This Row],[RF]],"")</f>
        <v>-2.6365152052145843E-2</v>
      </c>
      <c r="T65" s="6">
        <f>IFERROR('raw-Return'!T66-Table14[[#This Row],[RF]],"")</f>
        <v>1.0622460687430006E-2</v>
      </c>
      <c r="U65" s="6">
        <f>IFERROR('raw-Return'!U66-Table14[[#This Row],[RF]],"")</f>
        <v>-2.3292459425635511E-2</v>
      </c>
      <c r="V65" s="6">
        <f>IFERROR('raw-Return'!V66-Table14[[#This Row],[RF]],"")</f>
        <v>-3.0703580852113551E-2</v>
      </c>
      <c r="W65" s="6">
        <f>IFERROR('raw-Return'!W66-Table14[[#This Row],[RF]],"")</f>
        <v>1.0482762500482971E-2</v>
      </c>
      <c r="X65" s="6" t="str">
        <f>IFERROR('raw-Return'!X66-Table14[[#This Row],[RF]],"")</f>
        <v/>
      </c>
      <c r="Y65" s="6">
        <f>IFERROR('raw-Return'!Y66-Table14[[#This Row],[RF]],"")</f>
        <v>-2.5978915861693538E-2</v>
      </c>
      <c r="Z65" s="6">
        <f>IFERROR('raw-Return'!Z66-Table14[[#This Row],[RF]],"")</f>
        <v>-1.1281209006086198E-2</v>
      </c>
      <c r="AA65" s="6">
        <f>IFERROR('raw-Return'!AA66-Table14[[#This Row],[RF]],"")</f>
        <v>1.4193658470037399E-2</v>
      </c>
      <c r="AB65" s="6">
        <f>IFERROR('raw-Return'!AB66-Table14[[#This Row],[RF]],"")</f>
        <v>1.0584690677087105</v>
      </c>
      <c r="AC65" s="6">
        <f>IFERROR('raw-Return'!AC66-Table14[[#This Row],[RF]],"")</f>
        <v>1.0584690677087105</v>
      </c>
      <c r="AD65" s="6">
        <f>IFERROR('raw-Return'!AD66-Table14[[#This Row],[RF]],"")</f>
        <v>-9.8364873417683373E-3</v>
      </c>
      <c r="AE65" s="6">
        <f>IFERROR('raw-Return'!AE66-Table14[[#This Row],[RF]],"")</f>
        <v>3.9873076402610175E-2</v>
      </c>
      <c r="AF65" s="6">
        <f>IFERROR('raw-Return'!AF66-Table14[[#This Row],[RF]],"")</f>
        <v>-1.5241653804202501E-2</v>
      </c>
      <c r="AG65" s="6">
        <f>IFERROR('raw-Return'!AG66-Table14[[#This Row],[RF]],"")</f>
        <v>4.6436841018074916E-3</v>
      </c>
      <c r="AH65" s="6">
        <f>IFERROR('raw-Return'!AH66-Table14[[#This Row],[RF]],"")</f>
        <v>5.9529127961403007E-3</v>
      </c>
      <c r="AI65" s="6" t="str">
        <f>IFERROR('raw-Return'!AI66-Table14[[#This Row],[RF]],"")</f>
        <v/>
      </c>
      <c r="AJ65" s="6">
        <f>IFERROR('raw-Return'!AJ66-Table14[[#This Row],[RF]],"")</f>
        <v>1.1455529438018645E-2</v>
      </c>
      <c r="AK65" s="6">
        <f>IFERROR('raw-Return'!AK66-Table14[[#This Row],[RF]],"")</f>
        <v>-2.8740257143897826E-2</v>
      </c>
      <c r="AL65" s="6">
        <f>IFERROR('raw-Return'!AL66-Table14[[#This Row],[RF]],"")</f>
        <v>1.4651040644700578E-2</v>
      </c>
      <c r="AM65" s="6">
        <f>IFERROR('raw-Return'!AM66-Table14[[#This Row],[RF]],"")</f>
        <v>1.1332936063793157E-2</v>
      </c>
      <c r="AN65" s="6">
        <f>IFERROR('raw-Return'!AN66-Table14[[#This Row],[RF]],"")</f>
        <v>1.3161889100837047E-2</v>
      </c>
      <c r="AO65" s="6">
        <f>IFERROR('raw-Return'!AO66-Table14[[#This Row],[RF]],"")</f>
        <v>-1.9168525044643499E-2</v>
      </c>
      <c r="AP65" s="6">
        <f>IFERROR('raw-Return'!AP66-Table14[[#This Row],[RF]],"")</f>
        <v>-1.9168525044643499E-2</v>
      </c>
      <c r="AQ65" s="6">
        <f>IFERROR('raw-Return'!AQ66-Table14[[#This Row],[RF]],"")</f>
        <v>-4.3493523754446449E-3</v>
      </c>
      <c r="AR65" s="6">
        <f>IFERROR('raw-Return'!AR66-Table14[[#This Row],[RF]],"")</f>
        <v>5.4745923560833888E-3</v>
      </c>
      <c r="AS65" s="6">
        <f>IFERROR('raw-Return'!AS66-Table14[[#This Row],[RF]],"")</f>
        <v>1.6220619356091096E-2</v>
      </c>
      <c r="AT65" s="6">
        <f>IFERROR('raw-Return'!AT66-Table14[[#This Row],[RF]],"")</f>
        <v>-3.1200000000000002E-2</v>
      </c>
      <c r="AU65" s="6">
        <f>IFERROR('raw-Return'!AU66-Table14[[#This Row],[RF]],"")</f>
        <v>-3.1200000000000002E-2</v>
      </c>
      <c r="AV65" s="6">
        <f>IFERROR('raw-Return'!AV66-Table14[[#This Row],[RF]],"")</f>
        <v>-3.1200000000000002E-2</v>
      </c>
    </row>
    <row r="66" spans="1:48" x14ac:dyDescent="0.2">
      <c r="A66" s="2">
        <v>41578</v>
      </c>
      <c r="B66" s="6">
        <f>IFERROR('raw-Return'!B67-Table14[[#This Row],[RF]],"")</f>
        <v>-2.9878610708838842E-2</v>
      </c>
      <c r="C66" s="6">
        <f>IFERROR('raw-Return'!C67-Table14[[#This Row],[RF]],"")</f>
        <v>-3.979765010525365E-2</v>
      </c>
      <c r="D66" s="6">
        <f>IFERROR('raw-Return'!D67-Table14[[#This Row],[RF]],"")</f>
        <v>-3.2766936399334749E-2</v>
      </c>
      <c r="E66" s="6">
        <f>IFERROR('raw-Return'!E67-Table14[[#This Row],[RF]],"")</f>
        <v>-3.6490391901374757E-2</v>
      </c>
      <c r="F66" s="6">
        <f>IFERROR('raw-Return'!F67-Table14[[#This Row],[RF]],"")</f>
        <v>-3.7681140009344354E-2</v>
      </c>
      <c r="G66" s="6">
        <f>IFERROR('raw-Return'!G67-Table14[[#This Row],[RF]],"")</f>
        <v>-5.2107856538065982E-2</v>
      </c>
      <c r="H66" s="6">
        <f>IFERROR('raw-Return'!H67-Table14[[#This Row],[RF]],"")</f>
        <v>-1.5168024862063749E-2</v>
      </c>
      <c r="I66" s="6">
        <f>IFERROR('raw-Return'!I67-Table14[[#This Row],[RF]],"")</f>
        <v>2.8420009174861607E-3</v>
      </c>
      <c r="J66" s="6">
        <f>IFERROR('raw-Return'!J67-Table14[[#This Row],[RF]],"")</f>
        <v>-2.8759062466900236E-2</v>
      </c>
      <c r="K66" s="6">
        <f>IFERROR('raw-Return'!K67-Table14[[#This Row],[RF]],"")</f>
        <v>1.6649098039620842E-2</v>
      </c>
      <c r="L66" s="6">
        <f>IFERROR('raw-Return'!L67-Table14[[#This Row],[RF]],"")</f>
        <v>1.9726425212158123E-2</v>
      </c>
      <c r="M66" s="6">
        <f>IFERROR('raw-Return'!M67-Table14[[#This Row],[RF]],"")</f>
        <v>1.1153389955104238E-2</v>
      </c>
      <c r="N66" s="6">
        <f>IFERROR('raw-Return'!N67-Table14[[#This Row],[RF]],"")</f>
        <v>-3.2833435937131554E-2</v>
      </c>
      <c r="O66" s="6">
        <f>IFERROR('raw-Return'!O67-Table14[[#This Row],[RF]],"")</f>
        <v>-4.4416321436974431E-2</v>
      </c>
      <c r="P66" s="6">
        <f>IFERROR('raw-Return'!P67-Table14[[#This Row],[RF]],"")</f>
        <v>-3.8007540053484216E-2</v>
      </c>
      <c r="Q66" s="6">
        <f>IFERROR('raw-Return'!Q67-Table14[[#This Row],[RF]],"")</f>
        <v>3.2224807900364479E-2</v>
      </c>
      <c r="R66" s="6">
        <f>IFERROR('raw-Return'!R67-Table14[[#This Row],[RF]],"")</f>
        <v>2.9097846052683236E-2</v>
      </c>
      <c r="S66" s="6">
        <f>IFERROR('raw-Return'!S67-Table14[[#This Row],[RF]],"")</f>
        <v>-3.1269353235693291E-2</v>
      </c>
      <c r="T66" s="6">
        <f>IFERROR('raw-Return'!T67-Table14[[#This Row],[RF]],"")</f>
        <v>2.5979003810279018E-2</v>
      </c>
      <c r="U66" s="6">
        <f>IFERROR('raw-Return'!U67-Table14[[#This Row],[RF]],"")</f>
        <v>-4.3436949073908541E-2</v>
      </c>
      <c r="V66" s="6">
        <f>IFERROR('raw-Return'!V67-Table14[[#This Row],[RF]],"")</f>
        <v>-3.989362416245406E-2</v>
      </c>
      <c r="W66" s="6">
        <f>IFERROR('raw-Return'!W67-Table14[[#This Row],[RF]],"")</f>
        <v>-7.362802107895243E-3</v>
      </c>
      <c r="X66" s="6" t="str">
        <f>IFERROR('raw-Return'!X67-Table14[[#This Row],[RF]],"")</f>
        <v/>
      </c>
      <c r="Y66" s="6">
        <f>IFERROR('raw-Return'!Y67-Table14[[#This Row],[RF]],"")</f>
        <v>-3.0061107330136831E-2</v>
      </c>
      <c r="Z66" s="6">
        <f>IFERROR('raw-Return'!Z67-Table14[[#This Row],[RF]],"")</f>
        <v>3.8625546667194817E-2</v>
      </c>
      <c r="AA66" s="6">
        <f>IFERROR('raw-Return'!AA67-Table14[[#This Row],[RF]],"")</f>
        <v>-1.8931069950813215E-3</v>
      </c>
      <c r="AB66" s="6">
        <f>IFERROR('raw-Return'!AB67-Table14[[#This Row],[RF]],"")</f>
        <v>-1.3146549047169769E-2</v>
      </c>
      <c r="AC66" s="6">
        <f>IFERROR('raw-Return'!AC67-Table14[[#This Row],[RF]],"")</f>
        <v>-1.3146549047169769E-2</v>
      </c>
      <c r="AD66" s="6">
        <f>IFERROR('raw-Return'!AD67-Table14[[#This Row],[RF]],"")</f>
        <v>1.0300020027119557E-2</v>
      </c>
      <c r="AE66" s="6">
        <f>IFERROR('raw-Return'!AE67-Table14[[#This Row],[RF]],"")</f>
        <v>-1.2233050596734678E-2</v>
      </c>
      <c r="AF66" s="6">
        <f>IFERROR('raw-Return'!AF67-Table14[[#This Row],[RF]],"")</f>
        <v>4.2230513391996745E-2</v>
      </c>
      <c r="AG66" s="6">
        <f>IFERROR('raw-Return'!AG67-Table14[[#This Row],[RF]],"")</f>
        <v>2.7381155241448969E-2</v>
      </c>
      <c r="AH66" s="6">
        <f>IFERROR('raw-Return'!AH67-Table14[[#This Row],[RF]],"")</f>
        <v>9.4822793604568203E-3</v>
      </c>
      <c r="AI66" s="6" t="str">
        <f>IFERROR('raw-Return'!AI67-Table14[[#This Row],[RF]],"")</f>
        <v/>
      </c>
      <c r="AJ66" s="6">
        <f>IFERROR('raw-Return'!AJ67-Table14[[#This Row],[RF]],"")</f>
        <v>-7.8294404752567368E-3</v>
      </c>
      <c r="AK66" s="6">
        <f>IFERROR('raw-Return'!AK67-Table14[[#This Row],[RF]],"")</f>
        <v>-3.7956861789212475E-2</v>
      </c>
      <c r="AL66" s="6">
        <f>IFERROR('raw-Return'!AL67-Table14[[#This Row],[RF]],"")</f>
        <v>-2.4884709196676562E-2</v>
      </c>
      <c r="AM66" s="6">
        <f>IFERROR('raw-Return'!AM67-Table14[[#This Row],[RF]],"")</f>
        <v>3.0713183218911769E-3</v>
      </c>
      <c r="AN66" s="6">
        <f>IFERROR('raw-Return'!AN67-Table14[[#This Row],[RF]],"")</f>
        <v>-1.239254539619921E-2</v>
      </c>
      <c r="AO66" s="6">
        <f>IFERROR('raw-Return'!AO67-Table14[[#This Row],[RF]],"")</f>
        <v>-1.8108124058434365E-2</v>
      </c>
      <c r="AP66" s="6">
        <f>IFERROR('raw-Return'!AP67-Table14[[#This Row],[RF]],"")</f>
        <v>-1.8108124058434365E-2</v>
      </c>
      <c r="AQ66" s="6">
        <f>IFERROR('raw-Return'!AQ67-Table14[[#This Row],[RF]],"")</f>
        <v>2.0168630461002986E-2</v>
      </c>
      <c r="AR66" s="6">
        <f>IFERROR('raw-Return'!AR67-Table14[[#This Row],[RF]],"")</f>
        <v>2.8396232248636251E-2</v>
      </c>
      <c r="AS66" s="6">
        <f>IFERROR('raw-Return'!AS67-Table14[[#This Row],[RF]],"")</f>
        <v>-2.5836274238843986E-2</v>
      </c>
      <c r="AT66" s="6">
        <f>IFERROR('raw-Return'!AT67-Table14[[#This Row],[RF]],"")</f>
        <v>-4.1799999999999997E-2</v>
      </c>
      <c r="AU66" s="6">
        <f>IFERROR('raw-Return'!AU67-Table14[[#This Row],[RF]],"")</f>
        <v>-4.1799999999999997E-2</v>
      </c>
      <c r="AV66" s="6">
        <f>IFERROR('raw-Return'!AV67-Table14[[#This Row],[RF]],"")</f>
        <v>-4.1799999999999997E-2</v>
      </c>
    </row>
    <row r="67" spans="1:48" x14ac:dyDescent="0.2">
      <c r="A67" s="2">
        <v>41547</v>
      </c>
      <c r="B67" s="6">
        <f>IFERROR('raw-Return'!B68-Table14[[#This Row],[RF]],"")</f>
        <v>-4.403913152499743E-2</v>
      </c>
      <c r="C67" s="6">
        <f>IFERROR('raw-Return'!C68-Table14[[#This Row],[RF]],"")</f>
        <v>-4.3545024707235799E-2</v>
      </c>
      <c r="D67" s="6">
        <f>IFERROR('raw-Return'!D68-Table14[[#This Row],[RF]],"")</f>
        <v>-4.1823913663310772E-2</v>
      </c>
      <c r="E67" s="6">
        <f>IFERROR('raw-Return'!E68-Table14[[#This Row],[RF]],"")</f>
        <v>-3.6272708423161923E-2</v>
      </c>
      <c r="F67" s="6">
        <f>IFERROR('raw-Return'!F68-Table14[[#This Row],[RF]],"")</f>
        <v>-3.8460051068459886E-2</v>
      </c>
      <c r="G67" s="6">
        <f>IFERROR('raw-Return'!G68-Table14[[#This Row],[RF]],"")</f>
        <v>-4.9091053727654585E-2</v>
      </c>
      <c r="H67" s="6">
        <f>IFERROR('raw-Return'!H68-Table14[[#This Row],[RF]],"")</f>
        <v>-6.7987140186365022E-2</v>
      </c>
      <c r="I67" s="6">
        <f>IFERROR('raw-Return'!I68-Table14[[#This Row],[RF]],"")</f>
        <v>-5.4021640555055359E-2</v>
      </c>
      <c r="J67" s="6">
        <f>IFERROR('raw-Return'!J68-Table14[[#This Row],[RF]],"")</f>
        <v>-7.5491742498354594E-2</v>
      </c>
      <c r="K67" s="6">
        <f>IFERROR('raw-Return'!K68-Table14[[#This Row],[RF]],"")</f>
        <v>-7.0059301205539312E-2</v>
      </c>
      <c r="L67" s="6">
        <f>IFERROR('raw-Return'!L68-Table14[[#This Row],[RF]],"")</f>
        <v>-5.7106295720335584E-2</v>
      </c>
      <c r="M67" s="6">
        <f>IFERROR('raw-Return'!M68-Table14[[#This Row],[RF]],"")</f>
        <v>-7.9397598732414296E-2</v>
      </c>
      <c r="N67" s="6">
        <f>IFERROR('raw-Return'!N68-Table14[[#This Row],[RF]],"")</f>
        <v>-5.0010682079687438E-2</v>
      </c>
      <c r="O67" s="6">
        <f>IFERROR('raw-Return'!O68-Table14[[#This Row],[RF]],"")</f>
        <v>-5.2483984965154537E-2</v>
      </c>
      <c r="P67" s="6">
        <f>IFERROR('raw-Return'!P68-Table14[[#This Row],[RF]],"")</f>
        <v>-4.0768532014988021E-2</v>
      </c>
      <c r="Q67" s="6">
        <f>IFERROR('raw-Return'!Q68-Table14[[#This Row],[RF]],"")</f>
        <v>-5.3705017705622568E-2</v>
      </c>
      <c r="R67" s="6">
        <f>IFERROR('raw-Return'!R68-Table14[[#This Row],[RF]],"")</f>
        <v>-5.7610232470343511E-2</v>
      </c>
      <c r="S67" s="6">
        <f>IFERROR('raw-Return'!S68-Table14[[#This Row],[RF]],"")</f>
        <v>-4.573076048269846E-2</v>
      </c>
      <c r="T67" s="6">
        <f>IFERROR('raw-Return'!T68-Table14[[#This Row],[RF]],"")</f>
        <v>-5.2321916909580143E-2</v>
      </c>
      <c r="U67" s="6">
        <f>IFERROR('raw-Return'!U68-Table14[[#This Row],[RF]],"")</f>
        <v>-4.519240020288888E-2</v>
      </c>
      <c r="V67" s="6">
        <f>IFERROR('raw-Return'!V68-Table14[[#This Row],[RF]],"")</f>
        <v>-3.8954916884966592E-2</v>
      </c>
      <c r="W67" s="6">
        <f>IFERROR('raw-Return'!W68-Table14[[#This Row],[RF]],"")</f>
        <v>-7.3347984802360974E-2</v>
      </c>
      <c r="X67" s="6" t="str">
        <f>IFERROR('raw-Return'!X68-Table14[[#This Row],[RF]],"")</f>
        <v/>
      </c>
      <c r="Y67" s="6">
        <f>IFERROR('raw-Return'!Y68-Table14[[#This Row],[RF]],"")</f>
        <v>-4.2117218125570829E-2</v>
      </c>
      <c r="Z67" s="6">
        <f>IFERROR('raw-Return'!Z68-Table14[[#This Row],[RF]],"")</f>
        <v>-6.586299382426368E-2</v>
      </c>
      <c r="AA67" s="6">
        <f>IFERROR('raw-Return'!AA68-Table14[[#This Row],[RF]],"")</f>
        <v>-6.6957010800353253E-2</v>
      </c>
      <c r="AB67" s="6">
        <f>IFERROR('raw-Return'!AB68-Table14[[#This Row],[RF]],"")</f>
        <v>-6.8379733372879767E-2</v>
      </c>
      <c r="AC67" s="6">
        <f>IFERROR('raw-Return'!AC68-Table14[[#This Row],[RF]],"")</f>
        <v>-6.8379733372879767E-2</v>
      </c>
      <c r="AD67" s="6">
        <f>IFERROR('raw-Return'!AD68-Table14[[#This Row],[RF]],"")</f>
        <v>-5.8492072145181304E-2</v>
      </c>
      <c r="AE67" s="6">
        <f>IFERROR('raw-Return'!AE68-Table14[[#This Row],[RF]],"")</f>
        <v>-8.4026134342239975E-2</v>
      </c>
      <c r="AF67" s="6">
        <f>IFERROR('raw-Return'!AF68-Table14[[#This Row],[RF]],"")</f>
        <v>-5.2450308250564667E-2</v>
      </c>
      <c r="AG67" s="6">
        <f>IFERROR('raw-Return'!AG68-Table14[[#This Row],[RF]],"")</f>
        <v>-4.7687907104312408E-2</v>
      </c>
      <c r="AH67" s="6">
        <f>IFERROR('raw-Return'!AH68-Table14[[#This Row],[RF]],"")</f>
        <v>-6.2261555729497361E-2</v>
      </c>
      <c r="AI67" s="6" t="str">
        <f>IFERROR('raw-Return'!AI68-Table14[[#This Row],[RF]],"")</f>
        <v/>
      </c>
      <c r="AJ67" s="6">
        <f>IFERROR('raw-Return'!AJ68-Table14[[#This Row],[RF]],"")</f>
        <v>-6.8023159078108006E-2</v>
      </c>
      <c r="AK67" s="6">
        <f>IFERROR('raw-Return'!AK68-Table14[[#This Row],[RF]],"")</f>
        <v>-4.2337487649102765E-2</v>
      </c>
      <c r="AL67" s="6">
        <f>IFERROR('raw-Return'!AL68-Table14[[#This Row],[RF]],"")</f>
        <v>-7.4507038271005507E-2</v>
      </c>
      <c r="AM67" s="6">
        <f>IFERROR('raw-Return'!AM68-Table14[[#This Row],[RF]],"")</f>
        <v>-5.6283533671035044E-2</v>
      </c>
      <c r="AN67" s="6">
        <f>IFERROR('raw-Return'!AN68-Table14[[#This Row],[RF]],"")</f>
        <v>-6.6226412494852102E-2</v>
      </c>
      <c r="AO67" s="6">
        <f>IFERROR('raw-Return'!AO68-Table14[[#This Row],[RF]],"")</f>
        <v>-4.807702815403507E-2</v>
      </c>
      <c r="AP67" s="6">
        <f>IFERROR('raw-Return'!AP68-Table14[[#This Row],[RF]],"")</f>
        <v>-4.807702815403507E-2</v>
      </c>
      <c r="AQ67" s="6">
        <f>IFERROR('raw-Return'!AQ68-Table14[[#This Row],[RF]],"")</f>
        <v>-6.680876970439735E-2</v>
      </c>
      <c r="AR67" s="6">
        <f>IFERROR('raw-Return'!AR68-Table14[[#This Row],[RF]],"")</f>
        <v>-5.7177462313734259E-2</v>
      </c>
      <c r="AS67" s="6">
        <f>IFERROR('raw-Return'!AS68-Table14[[#This Row],[RF]],"")</f>
        <v>-7.6776980080037013E-2</v>
      </c>
      <c r="AT67" s="6">
        <f>IFERROR('raw-Return'!AT68-Table14[[#This Row],[RF]],"")</f>
        <v>-3.7699999999999997E-2</v>
      </c>
      <c r="AU67" s="6">
        <f>IFERROR('raw-Return'!AU68-Table14[[#This Row],[RF]],"")</f>
        <v>-3.7699999999999997E-2</v>
      </c>
      <c r="AV67" s="6">
        <f>IFERROR('raw-Return'!AV68-Table14[[#This Row],[RF]],"")</f>
        <v>-3.7699999999999997E-2</v>
      </c>
    </row>
    <row r="68" spans="1:48" x14ac:dyDescent="0.2">
      <c r="A68" s="2">
        <v>41517</v>
      </c>
      <c r="B68" s="6">
        <f>IFERROR('raw-Return'!B69-Table14[[#This Row],[RF]],"")</f>
        <v>2.1806734623298282E-2</v>
      </c>
      <c r="C68" s="6">
        <f>IFERROR('raw-Return'!C69-Table14[[#This Row],[RF]],"")</f>
        <v>5.7132202430546369E-3</v>
      </c>
      <c r="D68" s="6">
        <f>IFERROR('raw-Return'!D69-Table14[[#This Row],[RF]],"")</f>
        <v>2.2327758478808621E-2</v>
      </c>
      <c r="E68" s="6">
        <f>IFERROR('raw-Return'!E69-Table14[[#This Row],[RF]],"")</f>
        <v>2.1599865972913954E-2</v>
      </c>
      <c r="F68" s="6">
        <f>IFERROR('raw-Return'!F69-Table14[[#This Row],[RF]],"")</f>
        <v>2.7517237254180413E-2</v>
      </c>
      <c r="G68" s="6">
        <f>IFERROR('raw-Return'!G69-Table14[[#This Row],[RF]],"")</f>
        <v>-9.0320402476722489E-3</v>
      </c>
      <c r="H68" s="6">
        <f>IFERROR('raw-Return'!H69-Table14[[#This Row],[RF]],"")</f>
        <v>8.2666900257744355E-2</v>
      </c>
      <c r="I68" s="6">
        <f>IFERROR('raw-Return'!I69-Table14[[#This Row],[RF]],"")</f>
        <v>8.1718023437898343E-2</v>
      </c>
      <c r="J68" s="6">
        <f>IFERROR('raw-Return'!J69-Table14[[#This Row],[RF]],"")</f>
        <v>7.9731568212902823E-2</v>
      </c>
      <c r="K68" s="6">
        <f>IFERROR('raw-Return'!K69-Table14[[#This Row],[RF]],"")</f>
        <v>9.4973051593332566E-2</v>
      </c>
      <c r="L68" s="6">
        <f>IFERROR('raw-Return'!L69-Table14[[#This Row],[RF]],"")</f>
        <v>9.5040288463817388E-2</v>
      </c>
      <c r="M68" s="6">
        <f>IFERROR('raw-Return'!M69-Table14[[#This Row],[RF]],"")</f>
        <v>9.5564520837124176E-2</v>
      </c>
      <c r="N68" s="6">
        <f>IFERROR('raw-Return'!N69-Table14[[#This Row],[RF]],"")</f>
        <v>3.2824303528653606E-2</v>
      </c>
      <c r="O68" s="6">
        <f>IFERROR('raw-Return'!O69-Table14[[#This Row],[RF]],"")</f>
        <v>2.8745220810026381E-2</v>
      </c>
      <c r="P68" s="6">
        <f>IFERROR('raw-Return'!P69-Table14[[#This Row],[RF]],"")</f>
        <v>3.1239703179469877E-2</v>
      </c>
      <c r="Q68" s="6">
        <f>IFERROR('raw-Return'!Q69-Table14[[#This Row],[RF]],"")</f>
        <v>7.9068710069848711E-2</v>
      </c>
      <c r="R68" s="6">
        <f>IFERROR('raw-Return'!R69-Table14[[#This Row],[RF]],"")</f>
        <v>7.4152888112889101E-2</v>
      </c>
      <c r="S68" s="6">
        <f>IFERROR('raw-Return'!S69-Table14[[#This Row],[RF]],"")</f>
        <v>2.5547585753920896E-2</v>
      </c>
      <c r="T68" s="6">
        <f>IFERROR('raw-Return'!T69-Table14[[#This Row],[RF]],"")</f>
        <v>0.10328143944698219</v>
      </c>
      <c r="U68" s="6">
        <f>IFERROR('raw-Return'!U69-Table14[[#This Row],[RF]],"")</f>
        <v>4.1900592619000671E-3</v>
      </c>
      <c r="V68" s="6">
        <f>IFERROR('raw-Return'!V69-Table14[[#This Row],[RF]],"")</f>
        <v>2.7526922940984563E-2</v>
      </c>
      <c r="W68" s="6">
        <f>IFERROR('raw-Return'!W69-Table14[[#This Row],[RF]],"")</f>
        <v>8.1135209197544009E-2</v>
      </c>
      <c r="X68" s="6" t="str">
        <f>IFERROR('raw-Return'!X69-Table14[[#This Row],[RF]],"")</f>
        <v/>
      </c>
      <c r="Y68" s="6">
        <f>IFERROR('raw-Return'!Y69-Table14[[#This Row],[RF]],"")</f>
        <v>2.6682200038707568E-2</v>
      </c>
      <c r="Z68" s="6">
        <f>IFERROR('raw-Return'!Z69-Table14[[#This Row],[RF]],"")</f>
        <v>3.9105363943330182E-2</v>
      </c>
      <c r="AA68" s="6">
        <f>IFERROR('raw-Return'!AA69-Table14[[#This Row],[RF]],"")</f>
        <v>8.3467998233858295E-2</v>
      </c>
      <c r="AB68" s="6">
        <f>IFERROR('raw-Return'!AB69-Table14[[#This Row],[RF]],"")</f>
        <v>7.9751706747778747E-2</v>
      </c>
      <c r="AC68" s="6">
        <f>IFERROR('raw-Return'!AC69-Table14[[#This Row],[RF]],"")</f>
        <v>7.9751706747778747E-2</v>
      </c>
      <c r="AD68" s="6">
        <f>IFERROR('raw-Return'!AD69-Table14[[#This Row],[RF]],"")</f>
        <v>8.5738758466337481E-2</v>
      </c>
      <c r="AE68" s="6">
        <f>IFERROR('raw-Return'!AE69-Table14[[#This Row],[RF]],"")</f>
        <v>6.9576532806421829E-2</v>
      </c>
      <c r="AF68" s="6">
        <f>IFERROR('raw-Return'!AF69-Table14[[#This Row],[RF]],"")</f>
        <v>4.5725285422683601E-2</v>
      </c>
      <c r="AG68" s="6">
        <f>IFERROR('raw-Return'!AG69-Table14[[#This Row],[RF]],"")</f>
        <v>7.8892508539157288E-2</v>
      </c>
      <c r="AH68" s="6">
        <f>IFERROR('raw-Return'!AH69-Table14[[#This Row],[RF]],"")</f>
        <v>7.8714099357116804E-2</v>
      </c>
      <c r="AI68" s="6" t="str">
        <f>IFERROR('raw-Return'!AI69-Table14[[#This Row],[RF]],"")</f>
        <v/>
      </c>
      <c r="AJ68" s="6">
        <f>IFERROR('raw-Return'!AJ69-Table14[[#This Row],[RF]],"")</f>
        <v>8.4584139303174419E-2</v>
      </c>
      <c r="AK68" s="6">
        <f>IFERROR('raw-Return'!AK69-Table14[[#This Row],[RF]],"")</f>
        <v>3.407246398941309E-2</v>
      </c>
      <c r="AL68" s="6">
        <f>IFERROR('raw-Return'!AL69-Table14[[#This Row],[RF]],"")</f>
        <v>8.0943002342807144E-2</v>
      </c>
      <c r="AM68" s="6">
        <f>IFERROR('raw-Return'!AM69-Table14[[#This Row],[RF]],"")</f>
        <v>8.2873720548685456E-2</v>
      </c>
      <c r="AN68" s="6">
        <f>IFERROR('raw-Return'!AN69-Table14[[#This Row],[RF]],"")</f>
        <v>8.0587145166842386E-2</v>
      </c>
      <c r="AO68" s="6">
        <f>IFERROR('raw-Return'!AO69-Table14[[#This Row],[RF]],"")</f>
        <v>1.6063658786163879E-2</v>
      </c>
      <c r="AP68" s="6">
        <f>IFERROR('raw-Return'!AP69-Table14[[#This Row],[RF]],"")</f>
        <v>1.6063658786163879E-2</v>
      </c>
      <c r="AQ68" s="6">
        <f>IFERROR('raw-Return'!AQ69-Table14[[#This Row],[RF]],"")</f>
        <v>9.8238386313810641E-2</v>
      </c>
      <c r="AR68" s="6">
        <f>IFERROR('raw-Return'!AR69-Table14[[#This Row],[RF]],"")</f>
        <v>7.3263013243126771E-2</v>
      </c>
      <c r="AS68" s="6">
        <f>IFERROR('raw-Return'!AS69-Table14[[#This Row],[RF]],"")</f>
        <v>7.1800603401999438E-2</v>
      </c>
      <c r="AT68" s="6">
        <f>IFERROR('raw-Return'!AT69-Table14[[#This Row],[RF]],"")</f>
        <v>2.7099999999999999E-2</v>
      </c>
      <c r="AU68" s="6">
        <f>IFERROR('raw-Return'!AU69-Table14[[#This Row],[RF]],"")</f>
        <v>2.7099999999999999E-2</v>
      </c>
      <c r="AV68" s="6">
        <f>IFERROR('raw-Return'!AV69-Table14[[#This Row],[RF]],"")</f>
        <v>2.7099999999999999E-2</v>
      </c>
    </row>
    <row r="69" spans="1:48" x14ac:dyDescent="0.2">
      <c r="A69" s="2">
        <v>41486</v>
      </c>
      <c r="B69" s="6">
        <f>IFERROR('raw-Return'!B70-Table14[[#This Row],[RF]],"")</f>
        <v>-7.9041599640133908E-2</v>
      </c>
      <c r="C69" s="6">
        <f>IFERROR('raw-Return'!C70-Table14[[#This Row],[RF]],"")</f>
        <v>-8.8678079066291104E-2</v>
      </c>
      <c r="D69" s="6">
        <f>IFERROR('raw-Return'!D70-Table14[[#This Row],[RF]],"")</f>
        <v>-6.8523631957027598E-2</v>
      </c>
      <c r="E69" s="6" t="str">
        <f>IFERROR('raw-Return'!E70-Table14[[#This Row],[RF]],"")</f>
        <v/>
      </c>
      <c r="F69" s="6">
        <f>IFERROR('raw-Return'!F70-Table14[[#This Row],[RF]],"")</f>
        <v>-5.9997499436838082E-2</v>
      </c>
      <c r="G69" s="6">
        <f>IFERROR('raw-Return'!G70-Table14[[#This Row],[RF]],"")</f>
        <v>-0.11048869425825858</v>
      </c>
      <c r="H69" s="6">
        <f>IFERROR('raw-Return'!H70-Table14[[#This Row],[RF]],"")</f>
        <v>-7.887090403267305E-2</v>
      </c>
      <c r="I69" s="6">
        <f>IFERROR('raw-Return'!I70-Table14[[#This Row],[RF]],"")</f>
        <v>-8.4068470466354239E-2</v>
      </c>
      <c r="J69" s="6">
        <f>IFERROR('raw-Return'!J70-Table14[[#This Row],[RF]],"")</f>
        <v>-7.0881492497469112E-2</v>
      </c>
      <c r="K69" s="6">
        <f>IFERROR('raw-Return'!K70-Table14[[#This Row],[RF]],"")</f>
        <v>-6.708753446523541E-2</v>
      </c>
      <c r="L69" s="6">
        <f>IFERROR('raw-Return'!L70-Table14[[#This Row],[RF]],"")</f>
        <v>-6.5599027113056541E-2</v>
      </c>
      <c r="M69" s="6">
        <f>IFERROR('raw-Return'!M70-Table14[[#This Row],[RF]],"")</f>
        <v>-6.9221124897201891E-2</v>
      </c>
      <c r="N69" s="6">
        <f>IFERROR('raw-Return'!N70-Table14[[#This Row],[RF]],"")</f>
        <v>-8.6467156119961031E-2</v>
      </c>
      <c r="O69" s="6">
        <f>IFERROR('raw-Return'!O70-Table14[[#This Row],[RF]],"")</f>
        <v>-0.10050901500086129</v>
      </c>
      <c r="P69" s="6">
        <f>IFERROR('raw-Return'!P70-Table14[[#This Row],[RF]],"")</f>
        <v>-6.5645408327591248E-2</v>
      </c>
      <c r="Q69" s="6">
        <f>IFERROR('raw-Return'!Q70-Table14[[#This Row],[RF]],"")</f>
        <v>-9.9111718780673708E-2</v>
      </c>
      <c r="R69" s="6">
        <f>IFERROR('raw-Return'!R70-Table14[[#This Row],[RF]],"")</f>
        <v>-0.10572514404249533</v>
      </c>
      <c r="S69" s="6">
        <f>IFERROR('raw-Return'!S70-Table14[[#This Row],[RF]],"")</f>
        <v>-7.1443815808328481E-2</v>
      </c>
      <c r="T69" s="6">
        <f>IFERROR('raw-Return'!T70-Table14[[#This Row],[RF]],"")</f>
        <v>-0.11940065896633045</v>
      </c>
      <c r="U69" s="6">
        <f>IFERROR('raw-Return'!U70-Table14[[#This Row],[RF]],"")</f>
        <v>-9.0893313936185494E-2</v>
      </c>
      <c r="V69" s="6">
        <f>IFERROR('raw-Return'!V70-Table14[[#This Row],[RF]],"")</f>
        <v>-5.6540109749480101E-2</v>
      </c>
      <c r="W69" s="6">
        <f>IFERROR('raw-Return'!W70-Table14[[#This Row],[RF]],"")</f>
        <v>-7.6713329457719359E-2</v>
      </c>
      <c r="X69" s="6" t="str">
        <f>IFERROR('raw-Return'!X70-Table14[[#This Row],[RF]],"")</f>
        <v/>
      </c>
      <c r="Y69" s="6">
        <f>IFERROR('raw-Return'!Y70-Table14[[#This Row],[RF]],"")</f>
        <v>-6.6108161442695268E-2</v>
      </c>
      <c r="Z69" s="6">
        <f>IFERROR('raw-Return'!Z70-Table14[[#This Row],[RF]],"")</f>
        <v>-8.9359166175806415E-2</v>
      </c>
      <c r="AA69" s="6">
        <f>IFERROR('raw-Return'!AA70-Table14[[#This Row],[RF]],"")</f>
        <v>-6.998421239089081E-2</v>
      </c>
      <c r="AB69" s="6">
        <f>IFERROR('raw-Return'!AB70-Table14[[#This Row],[RF]],"")</f>
        <v>-7.6466090955820132E-2</v>
      </c>
      <c r="AC69" s="6">
        <f>IFERROR('raw-Return'!AC70-Table14[[#This Row],[RF]],"")</f>
        <v>-7.6466090955820132E-2</v>
      </c>
      <c r="AD69" s="6">
        <f>IFERROR('raw-Return'!AD70-Table14[[#This Row],[RF]],"")</f>
        <v>-6.7923943248871521E-2</v>
      </c>
      <c r="AE69" s="6">
        <f>IFERROR('raw-Return'!AE70-Table14[[#This Row],[RF]],"")</f>
        <v>-3.5394962394787129E-2</v>
      </c>
      <c r="AF69" s="6">
        <f>IFERROR('raw-Return'!AF70-Table14[[#This Row],[RF]],"")</f>
        <v>-6.7842484742781206E-2</v>
      </c>
      <c r="AG69" s="6">
        <f>IFERROR('raw-Return'!AG70-Table14[[#This Row],[RF]],"")</f>
        <v>-0.11090996577095791</v>
      </c>
      <c r="AH69" s="6">
        <f>IFERROR('raw-Return'!AH70-Table14[[#This Row],[RF]],"")</f>
        <v>-9.1448586009886479E-2</v>
      </c>
      <c r="AI69" s="6" t="str">
        <f>IFERROR('raw-Return'!AI70-Table14[[#This Row],[RF]],"")</f>
        <v/>
      </c>
      <c r="AJ69" s="6">
        <f>IFERROR('raw-Return'!AJ70-Table14[[#This Row],[RF]],"")</f>
        <v>-7.5594897356472734E-2</v>
      </c>
      <c r="AK69" s="6">
        <f>IFERROR('raw-Return'!AK70-Table14[[#This Row],[RF]],"")</f>
        <v>-6.642883098129071E-2</v>
      </c>
      <c r="AL69" s="6">
        <f>IFERROR('raw-Return'!AL70-Table14[[#This Row],[RF]],"")</f>
        <v>-7.2448025046669362E-2</v>
      </c>
      <c r="AM69" s="6">
        <f>IFERROR('raw-Return'!AM70-Table14[[#This Row],[RF]],"")</f>
        <v>-8.1119442148017806E-2</v>
      </c>
      <c r="AN69" s="6">
        <f>IFERROR('raw-Return'!AN70-Table14[[#This Row],[RF]],"")</f>
        <v>-7.4702810491685478E-2</v>
      </c>
      <c r="AO69" s="6" t="str">
        <f>IFERROR('raw-Return'!AO70-Table14[[#This Row],[RF]],"")</f>
        <v/>
      </c>
      <c r="AP69" s="6" t="str">
        <f>IFERROR('raw-Return'!AP70-Table14[[#This Row],[RF]],"")</f>
        <v/>
      </c>
      <c r="AQ69" s="6">
        <f>IFERROR('raw-Return'!AQ70-Table14[[#This Row],[RF]],"")</f>
        <v>-6.7690163248232849E-2</v>
      </c>
      <c r="AR69" s="6">
        <f>IFERROR('raw-Return'!AR70-Table14[[#This Row],[RF]],"")</f>
        <v>-0.10503368979969796</v>
      </c>
      <c r="AS69" s="6">
        <f>IFERROR('raw-Return'!AS70-Table14[[#This Row],[RF]],"")</f>
        <v>-6.5304646155139312E-2</v>
      </c>
      <c r="AT69" s="6">
        <f>IFERROR('raw-Return'!AT70-Table14[[#This Row],[RF]],"")</f>
        <v>-5.6500000000000002E-2</v>
      </c>
      <c r="AU69" s="6">
        <f>IFERROR('raw-Return'!AU70-Table14[[#This Row],[RF]],"")</f>
        <v>-5.6500000000000002E-2</v>
      </c>
      <c r="AV69" s="6">
        <f>IFERROR('raw-Return'!AV70-Table14[[#This Row],[RF]],"")</f>
        <v>-5.6500000000000002E-2</v>
      </c>
    </row>
    <row r="70" spans="1:48" x14ac:dyDescent="0.2">
      <c r="A70" s="2">
        <v>41455</v>
      </c>
      <c r="B70" s="6">
        <f>IFERROR('raw-Return'!B71-Table14[[#This Row],[RF]],"")</f>
        <v>-1.8050172288661358E-2</v>
      </c>
      <c r="C70" s="6">
        <f>IFERROR('raw-Return'!C71-Table14[[#This Row],[RF]],"")</f>
        <v>-4.85218875474034E-2</v>
      </c>
      <c r="D70" s="6">
        <f>IFERROR('raw-Return'!D71-Table14[[#This Row],[RF]],"")</f>
        <v>-9.2026878025149965E-3</v>
      </c>
      <c r="E70" s="6" t="str">
        <f>IFERROR('raw-Return'!E71-Table14[[#This Row],[RF]],"")</f>
        <v/>
      </c>
      <c r="F70" s="6">
        <f>IFERROR('raw-Return'!F71-Table14[[#This Row],[RF]],"")</f>
        <v>5.7066280819212285E-3</v>
      </c>
      <c r="G70" s="6">
        <f>IFERROR('raw-Return'!G71-Table14[[#This Row],[RF]],"")</f>
        <v>-8.5894002284099283E-2</v>
      </c>
      <c r="H70" s="6">
        <f>IFERROR('raw-Return'!H71-Table14[[#This Row],[RF]],"")</f>
        <v>3.5189857866782845E-2</v>
      </c>
      <c r="I70" s="6">
        <f>IFERROR('raw-Return'!I71-Table14[[#This Row],[RF]],"")</f>
        <v>2.8599953428099168E-2</v>
      </c>
      <c r="J70" s="6">
        <f>IFERROR('raw-Return'!J71-Table14[[#This Row],[RF]],"")</f>
        <v>3.8527036421719382E-2</v>
      </c>
      <c r="K70" s="6">
        <f>IFERROR('raw-Return'!K71-Table14[[#This Row],[RF]],"")</f>
        <v>4.7995251402117342E-2</v>
      </c>
      <c r="L70" s="6">
        <f>IFERROR('raw-Return'!L71-Table14[[#This Row],[RF]],"")</f>
        <v>5.5871866785020194E-2</v>
      </c>
      <c r="M70" s="6">
        <f>IFERROR('raw-Return'!M71-Table14[[#This Row],[RF]],"")</f>
        <v>4.3113327393965437E-2</v>
      </c>
      <c r="N70" s="6">
        <f>IFERROR('raw-Return'!N71-Table14[[#This Row],[RF]],"")</f>
        <v>-2.093877787927324E-2</v>
      </c>
      <c r="O70" s="6">
        <f>IFERROR('raw-Return'!O71-Table14[[#This Row],[RF]],"")</f>
        <v>-4.9516281494502504E-2</v>
      </c>
      <c r="P70" s="6">
        <f>IFERROR('raw-Return'!P71-Table14[[#This Row],[RF]],"")</f>
        <v>4.1807636385838738E-3</v>
      </c>
      <c r="Q70" s="6">
        <f>IFERROR('raw-Return'!Q71-Table14[[#This Row],[RF]],"")</f>
        <v>-1.7974300140550913E-2</v>
      </c>
      <c r="R70" s="6">
        <f>IFERROR('raw-Return'!R71-Table14[[#This Row],[RF]],"")</f>
        <v>-2.0999444049184867E-2</v>
      </c>
      <c r="S70" s="6">
        <f>IFERROR('raw-Return'!S71-Table14[[#This Row],[RF]],"")</f>
        <v>-6.4469403827852705E-3</v>
      </c>
      <c r="T70" s="6">
        <f>IFERROR('raw-Return'!T71-Table14[[#This Row],[RF]],"")</f>
        <v>1.2143121660616252E-2</v>
      </c>
      <c r="U70" s="6">
        <f>IFERROR('raw-Return'!U71-Table14[[#This Row],[RF]],"")</f>
        <v>-5.1128087873192021E-2</v>
      </c>
      <c r="V70" s="6">
        <f>IFERROR('raw-Return'!V71-Table14[[#This Row],[RF]],"")</f>
        <v>1.0795693854377276E-2</v>
      </c>
      <c r="W70" s="6">
        <f>IFERROR('raw-Return'!W71-Table14[[#This Row],[RF]],"")</f>
        <v>2.351006460732229E-2</v>
      </c>
      <c r="X70" s="6" t="str">
        <f>IFERROR('raw-Return'!X71-Table14[[#This Row],[RF]],"")</f>
        <v/>
      </c>
      <c r="Y70" s="6">
        <f>IFERROR('raw-Return'!Y71-Table14[[#This Row],[RF]],"")</f>
        <v>-2.9331009753156383E-3</v>
      </c>
      <c r="Z70" s="6">
        <f>IFERROR('raw-Return'!Z71-Table14[[#This Row],[RF]],"")</f>
        <v>-8.7940297397563386E-2</v>
      </c>
      <c r="AA70" s="6">
        <f>IFERROR('raw-Return'!AA71-Table14[[#This Row],[RF]],"")</f>
        <v>3.067843552644799E-2</v>
      </c>
      <c r="AB70" s="6">
        <f>IFERROR('raw-Return'!AB71-Table14[[#This Row],[RF]],"")</f>
        <v>3.5374175924927073E-2</v>
      </c>
      <c r="AC70" s="6">
        <f>IFERROR('raw-Return'!AC71-Table14[[#This Row],[RF]],"")</f>
        <v>3.5374175924927073E-2</v>
      </c>
      <c r="AD70" s="6">
        <f>IFERROR('raw-Return'!AD71-Table14[[#This Row],[RF]],"")</f>
        <v>3.0706727794018274E-2</v>
      </c>
      <c r="AE70" s="6">
        <f>IFERROR('raw-Return'!AE71-Table14[[#This Row],[RF]],"")</f>
        <v>-2.527796925286353E-2</v>
      </c>
      <c r="AF70" s="6">
        <f>IFERROR('raw-Return'!AF71-Table14[[#This Row],[RF]],"")</f>
        <v>-6.5040868611424343E-2</v>
      </c>
      <c r="AG70" s="6">
        <f>IFERROR('raw-Return'!AG71-Table14[[#This Row],[RF]],"")</f>
        <v>-1.3001784956131478E-2</v>
      </c>
      <c r="AH70" s="6">
        <f>IFERROR('raw-Return'!AH71-Table14[[#This Row],[RF]],"")</f>
        <v>6.3777020247276391E-3</v>
      </c>
      <c r="AI70" s="6" t="str">
        <f>IFERROR('raw-Return'!AI71-Table14[[#This Row],[RF]],"")</f>
        <v/>
      </c>
      <c r="AJ70" s="6">
        <f>IFERROR('raw-Return'!AJ71-Table14[[#This Row],[RF]],"")</f>
        <v>3.6615855949172257E-2</v>
      </c>
      <c r="AK70" s="6">
        <f>IFERROR('raw-Return'!AK71-Table14[[#This Row],[RF]],"")</f>
        <v>2.6286779109485521E-3</v>
      </c>
      <c r="AL70" s="6">
        <f>IFERROR('raw-Return'!AL71-Table14[[#This Row],[RF]],"")</f>
        <v>3.7834074138662674E-2</v>
      </c>
      <c r="AM70" s="6">
        <f>IFERROR('raw-Return'!AM71-Table14[[#This Row],[RF]],"")</f>
        <v>2.9324917721527999E-2</v>
      </c>
      <c r="AN70" s="6">
        <f>IFERROR('raw-Return'!AN71-Table14[[#This Row],[RF]],"")</f>
        <v>3.3903585246817899E-2</v>
      </c>
      <c r="AO70" s="6" t="str">
        <f>IFERROR('raw-Return'!AO71-Table14[[#This Row],[RF]],"")</f>
        <v/>
      </c>
      <c r="AP70" s="6" t="str">
        <f>IFERROR('raw-Return'!AP71-Table14[[#This Row],[RF]],"")</f>
        <v/>
      </c>
      <c r="AQ70" s="6">
        <f>IFERROR('raw-Return'!AQ71-Table14[[#This Row],[RF]],"")</f>
        <v>3.9942187253003678E-2</v>
      </c>
      <c r="AR70" s="6">
        <f>IFERROR('raw-Return'!AR71-Table14[[#This Row],[RF]],"")</f>
        <v>-2.0927432309264981E-2</v>
      </c>
      <c r="AS70" s="6">
        <f>IFERROR('raw-Return'!AS71-Table14[[#This Row],[RF]],"")</f>
        <v>1.9266630688921971E-2</v>
      </c>
      <c r="AT70" s="6">
        <f>IFERROR('raw-Return'!AT71-Table14[[#This Row],[RF]],"")</f>
        <v>1.2E-2</v>
      </c>
      <c r="AU70" s="6">
        <f>IFERROR('raw-Return'!AU71-Table14[[#This Row],[RF]],"")</f>
        <v>1.2E-2</v>
      </c>
      <c r="AV70" s="6">
        <f>IFERROR('raw-Return'!AV71-Table14[[#This Row],[RF]],"")</f>
        <v>1.2E-2</v>
      </c>
    </row>
    <row r="71" spans="1:48" x14ac:dyDescent="0.2">
      <c r="A71" s="2">
        <v>41425</v>
      </c>
      <c r="B71" s="6">
        <f>IFERROR('raw-Return'!B72-Table14[[#This Row],[RF]],"")</f>
        <v>-2.0194645744853384E-2</v>
      </c>
      <c r="C71" s="6">
        <f>IFERROR('raw-Return'!C72-Table14[[#This Row],[RF]],"")</f>
        <v>5.8946986625046105E-3</v>
      </c>
      <c r="D71" s="6">
        <f>IFERROR('raw-Return'!D72-Table14[[#This Row],[RF]],"")</f>
        <v>-2.1500455593421036E-2</v>
      </c>
      <c r="E71" s="6" t="str">
        <f>IFERROR('raw-Return'!E72-Table14[[#This Row],[RF]],"")</f>
        <v/>
      </c>
      <c r="F71" s="6">
        <f>IFERROR('raw-Return'!F72-Table14[[#This Row],[RF]],"")</f>
        <v>-2.6953917039312242E-2</v>
      </c>
      <c r="G71" s="6">
        <f>IFERROR('raw-Return'!G72-Table14[[#This Row],[RF]],"")</f>
        <v>4.5290739463528268E-2</v>
      </c>
      <c r="H71" s="6">
        <f>IFERROR('raw-Return'!H72-Table14[[#This Row],[RF]],"")</f>
        <v>-7.5659780491856565E-3</v>
      </c>
      <c r="I71" s="6">
        <f>IFERROR('raw-Return'!I72-Table14[[#This Row],[RF]],"")</f>
        <v>-1.0350698926244267E-2</v>
      </c>
      <c r="J71" s="6">
        <f>IFERROR('raw-Return'!J72-Table14[[#This Row],[RF]],"")</f>
        <v>-5.8507905565607643E-3</v>
      </c>
      <c r="K71" s="6">
        <f>IFERROR('raw-Return'!K72-Table14[[#This Row],[RF]],"")</f>
        <v>-2.5033580149177642E-2</v>
      </c>
      <c r="L71" s="6">
        <f>IFERROR('raw-Return'!L72-Table14[[#This Row],[RF]],"")</f>
        <v>-3.1858568270406867E-2</v>
      </c>
      <c r="M71" s="6">
        <f>IFERROR('raw-Return'!M72-Table14[[#This Row],[RF]],"")</f>
        <v>-2.7163126437900836E-2</v>
      </c>
      <c r="N71" s="6">
        <f>IFERROR('raw-Return'!N72-Table14[[#This Row],[RF]],"")</f>
        <v>-1.2457470185333691E-2</v>
      </c>
      <c r="O71" s="6">
        <f>IFERROR('raw-Return'!O72-Table14[[#This Row],[RF]],"")</f>
        <v>1.3022462890666803E-2</v>
      </c>
      <c r="P71" s="6">
        <f>IFERROR('raw-Return'!P72-Table14[[#This Row],[RF]],"")</f>
        <v>-2.4981714527552573E-2</v>
      </c>
      <c r="Q71" s="6">
        <f>IFERROR('raw-Return'!Q72-Table14[[#This Row],[RF]],"")</f>
        <v>2.4261101284293735E-2</v>
      </c>
      <c r="R71" s="6">
        <f>IFERROR('raw-Return'!R72-Table14[[#This Row],[RF]],"")</f>
        <v>9.4580629742384847E-3</v>
      </c>
      <c r="S71" s="6">
        <f>IFERROR('raw-Return'!S72-Table14[[#This Row],[RF]],"")</f>
        <v>-2.1329315978892288E-2</v>
      </c>
      <c r="T71" s="6">
        <f>IFERROR('raw-Return'!T72-Table14[[#This Row],[RF]],"")</f>
        <v>1.7318519929783865E-2</v>
      </c>
      <c r="U71" s="6">
        <f>IFERROR('raw-Return'!U72-Table14[[#This Row],[RF]],"")</f>
        <v>8.7116092009998092E-3</v>
      </c>
      <c r="V71" s="6">
        <f>IFERROR('raw-Return'!V72-Table14[[#This Row],[RF]],"")</f>
        <v>-2.7518867095453564E-2</v>
      </c>
      <c r="W71" s="6">
        <f>IFERROR('raw-Return'!W72-Table14[[#This Row],[RF]],"")</f>
        <v>-1.1292240736510112E-2</v>
      </c>
      <c r="X71" s="6" t="str">
        <f>IFERROR('raw-Return'!X72-Table14[[#This Row],[RF]],"")</f>
        <v/>
      </c>
      <c r="Y71" s="6">
        <f>IFERROR('raw-Return'!Y72-Table14[[#This Row],[RF]],"")</f>
        <v>-2.3486501792454345E-2</v>
      </c>
      <c r="Z71" s="6">
        <f>IFERROR('raw-Return'!Z72-Table14[[#This Row],[RF]],"")</f>
        <v>4.0636560878740929E-2</v>
      </c>
      <c r="AA71" s="6">
        <f>IFERROR('raw-Return'!AA72-Table14[[#This Row],[RF]],"")</f>
        <v>-1.100471961307245E-2</v>
      </c>
      <c r="AB71" s="6">
        <f>IFERROR('raw-Return'!AB72-Table14[[#This Row],[RF]],"")</f>
        <v>-7.291329516073447E-3</v>
      </c>
      <c r="AC71" s="6">
        <f>IFERROR('raw-Return'!AC72-Table14[[#This Row],[RF]],"")</f>
        <v>-7.291329516073447E-3</v>
      </c>
      <c r="AD71" s="6">
        <f>IFERROR('raw-Return'!AD72-Table14[[#This Row],[RF]],"")</f>
        <v>-2.0880592389963065E-2</v>
      </c>
      <c r="AE71" s="6">
        <f>IFERROR('raw-Return'!AE72-Table14[[#This Row],[RF]],"")</f>
        <v>5.4544490416826213E-2</v>
      </c>
      <c r="AF71" s="6">
        <f>IFERROR('raw-Return'!AF72-Table14[[#This Row],[RF]],"")</f>
        <v>2.6382251032864429E-2</v>
      </c>
      <c r="AG71" s="6">
        <f>IFERROR('raw-Return'!AG72-Table14[[#This Row],[RF]],"")</f>
        <v>-3.305110107932635E-3</v>
      </c>
      <c r="AH71" s="6">
        <f>IFERROR('raw-Return'!AH72-Table14[[#This Row],[RF]],"")</f>
        <v>-1.274353616632834E-3</v>
      </c>
      <c r="AI71" s="6" t="str">
        <f>IFERROR('raw-Return'!AI72-Table14[[#This Row],[RF]],"")</f>
        <v/>
      </c>
      <c r="AJ71" s="6">
        <f>IFERROR('raw-Return'!AJ72-Table14[[#This Row],[RF]],"")</f>
        <v>-1.2015602728254055E-2</v>
      </c>
      <c r="AK71" s="6">
        <f>IFERROR('raw-Return'!AK72-Table14[[#This Row],[RF]],"")</f>
        <v>-3.3207232519002233E-2</v>
      </c>
      <c r="AL71" s="6">
        <f>IFERROR('raw-Return'!AL72-Table14[[#This Row],[RF]],"")</f>
        <v>-5.9405436321209037E-3</v>
      </c>
      <c r="AM71" s="6">
        <f>IFERROR('raw-Return'!AM72-Table14[[#This Row],[RF]],"")</f>
        <v>-1.1873173493271522E-2</v>
      </c>
      <c r="AN71" s="6">
        <f>IFERROR('raw-Return'!AN72-Table14[[#This Row],[RF]],"")</f>
        <v>-8.0903138179359846E-3</v>
      </c>
      <c r="AO71" s="6" t="str">
        <f>IFERROR('raw-Return'!AO72-Table14[[#This Row],[RF]],"")</f>
        <v/>
      </c>
      <c r="AP71" s="6" t="str">
        <f>IFERROR('raw-Return'!AP72-Table14[[#This Row],[RF]],"")</f>
        <v/>
      </c>
      <c r="AQ71" s="6">
        <f>IFERROR('raw-Return'!AQ72-Table14[[#This Row],[RF]],"")</f>
        <v>-2.14384897977484E-2</v>
      </c>
      <c r="AR71" s="6">
        <f>IFERROR('raw-Return'!AR72-Table14[[#This Row],[RF]],"")</f>
        <v>6.9996633164393363E-3</v>
      </c>
      <c r="AS71" s="6">
        <f>IFERROR('raw-Return'!AS72-Table14[[#This Row],[RF]],"")</f>
        <v>2.1401889620804859E-3</v>
      </c>
      <c r="AT71" s="6">
        <f>IFERROR('raw-Return'!AT72-Table14[[#This Row],[RF]],"")</f>
        <v>-2.7999999999999997E-2</v>
      </c>
      <c r="AU71" s="6">
        <f>IFERROR('raw-Return'!AU72-Table14[[#This Row],[RF]],"")</f>
        <v>-2.7999999999999997E-2</v>
      </c>
      <c r="AV71" s="6">
        <f>IFERROR('raw-Return'!AV72-Table14[[#This Row],[RF]],"")</f>
        <v>-2.7999999999999997E-2</v>
      </c>
    </row>
    <row r="72" spans="1:48" x14ac:dyDescent="0.2">
      <c r="A72" s="2">
        <v>41394</v>
      </c>
      <c r="B72" s="6">
        <f>IFERROR('raw-Return'!B73-Table14[[#This Row],[RF]],"")</f>
        <v>-1.4262458863784674E-2</v>
      </c>
      <c r="C72" s="6">
        <f>IFERROR('raw-Return'!C73-Table14[[#This Row],[RF]],"")</f>
        <v>-2.4363452434499708E-2</v>
      </c>
      <c r="D72" s="6">
        <f>IFERROR('raw-Return'!D73-Table14[[#This Row],[RF]],"")</f>
        <v>-1.6471458262411962E-2</v>
      </c>
      <c r="E72" s="6" t="str">
        <f>IFERROR('raw-Return'!E73-Table14[[#This Row],[RF]],"")</f>
        <v/>
      </c>
      <c r="F72" s="6">
        <f>IFERROR('raw-Return'!F73-Table14[[#This Row],[RF]],"")</f>
        <v>-1.6379131235284825E-2</v>
      </c>
      <c r="G72" s="6">
        <f>IFERROR('raw-Return'!G73-Table14[[#This Row],[RF]],"")</f>
        <v>-2.9486350233074596E-2</v>
      </c>
      <c r="H72" s="6">
        <f>IFERROR('raw-Return'!H73-Table14[[#This Row],[RF]],"")</f>
        <v>1.7715951252214771E-2</v>
      </c>
      <c r="I72" s="6">
        <f>IFERROR('raw-Return'!I73-Table14[[#This Row],[RF]],"")</f>
        <v>1.7908451237466386E-2</v>
      </c>
      <c r="J72" s="6">
        <f>IFERROR('raw-Return'!J73-Table14[[#This Row],[RF]],"")</f>
        <v>1.7614835475056781E-2</v>
      </c>
      <c r="K72" s="6">
        <f>IFERROR('raw-Return'!K73-Table14[[#This Row],[RF]],"")</f>
        <v>3.0792954699269862E-2</v>
      </c>
      <c r="L72" s="6">
        <f>IFERROR('raw-Return'!L73-Table14[[#This Row],[RF]],"")</f>
        <v>3.2958878757000168E-2</v>
      </c>
      <c r="M72" s="6">
        <f>IFERROR('raw-Return'!M73-Table14[[#This Row],[RF]],"")</f>
        <v>2.9797674632251095E-2</v>
      </c>
      <c r="N72" s="6">
        <f>IFERROR('raw-Return'!N73-Table14[[#This Row],[RF]],"")</f>
        <v>-1.4353679735030919E-2</v>
      </c>
      <c r="O72" s="6">
        <f>IFERROR('raw-Return'!O73-Table14[[#This Row],[RF]],"")</f>
        <v>-3.0196510966562548E-2</v>
      </c>
      <c r="P72" s="6">
        <f>IFERROR('raw-Return'!P73-Table14[[#This Row],[RF]],"")</f>
        <v>-1.5163179967114956E-2</v>
      </c>
      <c r="Q72" s="6">
        <f>IFERROR('raw-Return'!Q73-Table14[[#This Row],[RF]],"")</f>
        <v>-7.9383620442891462E-3</v>
      </c>
      <c r="R72" s="6">
        <f>IFERROR('raw-Return'!R73-Table14[[#This Row],[RF]],"")</f>
        <v>-1.2052522731749324E-2</v>
      </c>
      <c r="S72" s="6">
        <f>IFERROR('raw-Return'!S73-Table14[[#This Row],[RF]],"")</f>
        <v>-1.478511173265977E-2</v>
      </c>
      <c r="T72" s="6">
        <f>IFERROR('raw-Return'!T73-Table14[[#This Row],[RF]],"")</f>
        <v>-1.6892158907347229E-2</v>
      </c>
      <c r="U72" s="6">
        <f>IFERROR('raw-Return'!U73-Table14[[#This Row],[RF]],"")</f>
        <v>-1.8784169538151471E-2</v>
      </c>
      <c r="V72" s="6">
        <f>IFERROR('raw-Return'!V73-Table14[[#This Row],[RF]],"")</f>
        <v>-1.5488665569581325E-2</v>
      </c>
      <c r="W72" s="6">
        <f>IFERROR('raw-Return'!W73-Table14[[#This Row],[RF]],"")</f>
        <v>1.3745382775887841E-2</v>
      </c>
      <c r="X72" s="6" t="str">
        <f>IFERROR('raw-Return'!X73-Table14[[#This Row],[RF]],"")</f>
        <v/>
      </c>
      <c r="Y72" s="6">
        <f>IFERROR('raw-Return'!Y73-Table14[[#This Row],[RF]],"")</f>
        <v>-1.5965037374551502E-2</v>
      </c>
      <c r="Z72" s="6">
        <f>IFERROR('raw-Return'!Z73-Table14[[#This Row],[RF]],"")</f>
        <v>1.1519761442313994E-2</v>
      </c>
      <c r="AA72" s="6">
        <f>IFERROR('raw-Return'!AA73-Table14[[#This Row],[RF]],"")</f>
        <v>3.4200860275697645E-2</v>
      </c>
      <c r="AB72" s="6">
        <f>IFERROR('raw-Return'!AB73-Table14[[#This Row],[RF]],"")</f>
        <v>1.5922815226850087E-2</v>
      </c>
      <c r="AC72" s="6">
        <f>IFERROR('raw-Return'!AC73-Table14[[#This Row],[RF]],"")</f>
        <v>1.5922815226850087E-2</v>
      </c>
      <c r="AD72" s="6">
        <f>IFERROR('raw-Return'!AD73-Table14[[#This Row],[RF]],"")</f>
        <v>2.5288192967598613E-2</v>
      </c>
      <c r="AE72" s="6">
        <f>IFERROR('raw-Return'!AE73-Table14[[#This Row],[RF]],"")</f>
        <v>1.9100778865294446E-2</v>
      </c>
      <c r="AF72" s="6">
        <f>IFERROR('raw-Return'!AF73-Table14[[#This Row],[RF]],"")</f>
        <v>1.7832799108200195E-2</v>
      </c>
      <c r="AG72" s="6">
        <f>IFERROR('raw-Return'!AG73-Table14[[#This Row],[RF]],"")</f>
        <v>-4.500558867262347E-3</v>
      </c>
      <c r="AH72" s="6">
        <f>IFERROR('raw-Return'!AH73-Table14[[#This Row],[RF]],"")</f>
        <v>4.7609543633327506E-3</v>
      </c>
      <c r="AI72" s="6" t="str">
        <f>IFERROR('raw-Return'!AI73-Table14[[#This Row],[RF]],"")</f>
        <v/>
      </c>
      <c r="AJ72" s="6">
        <f>IFERROR('raw-Return'!AJ73-Table14[[#This Row],[RF]],"")</f>
        <v>1.9220301581369739E-2</v>
      </c>
      <c r="AK72" s="6">
        <f>IFERROR('raw-Return'!AK73-Table14[[#This Row],[RF]],"")</f>
        <v>-1.2910753032521802E-2</v>
      </c>
      <c r="AL72" s="6">
        <f>IFERROR('raw-Return'!AL73-Table14[[#This Row],[RF]],"")</f>
        <v>1.8765782828282854E-2</v>
      </c>
      <c r="AM72" s="6">
        <f>IFERROR('raw-Return'!AM73-Table14[[#This Row],[RF]],"")</f>
        <v>1.8935183030080419E-2</v>
      </c>
      <c r="AN72" s="6">
        <f>IFERROR('raw-Return'!AN73-Table14[[#This Row],[RF]],"")</f>
        <v>1.6091825254651873E-2</v>
      </c>
      <c r="AO72" s="6" t="str">
        <f>IFERROR('raw-Return'!AO73-Table14[[#This Row],[RF]],"")</f>
        <v/>
      </c>
      <c r="AP72" s="6" t="str">
        <f>IFERROR('raw-Return'!AP73-Table14[[#This Row],[RF]],"")</f>
        <v/>
      </c>
      <c r="AQ72" s="6">
        <f>IFERROR('raw-Return'!AQ73-Table14[[#This Row],[RF]],"")</f>
        <v>3.2233711004671609E-2</v>
      </c>
      <c r="AR72" s="6">
        <f>IFERROR('raw-Return'!AR73-Table14[[#This Row],[RF]],"")</f>
        <v>-8.8324491114199349E-3</v>
      </c>
      <c r="AS72" s="6">
        <f>IFERROR('raw-Return'!AS73-Table14[[#This Row],[RF]],"")</f>
        <v>1.3603900873545197E-2</v>
      </c>
      <c r="AT72" s="6">
        <f>IFERROR('raw-Return'!AT73-Table14[[#This Row],[RF]],"")</f>
        <v>-1.55E-2</v>
      </c>
      <c r="AU72" s="6">
        <f>IFERROR('raw-Return'!AU73-Table14[[#This Row],[RF]],"")</f>
        <v>-1.55E-2</v>
      </c>
      <c r="AV72" s="6">
        <f>IFERROR('raw-Return'!AV73-Table14[[#This Row],[RF]],"")</f>
        <v>-1.55E-2</v>
      </c>
    </row>
    <row r="73" spans="1:48" x14ac:dyDescent="0.2">
      <c r="A73" s="2">
        <v>41364</v>
      </c>
      <c r="B73" s="6">
        <f>IFERROR('raw-Return'!B74-Table14[[#This Row],[RF]],"")</f>
        <v>-3.2740930589238104E-2</v>
      </c>
      <c r="C73" s="6">
        <f>IFERROR('raw-Return'!C74-Table14[[#This Row],[RF]],"")</f>
        <v>-2.5853257319287559E-2</v>
      </c>
      <c r="D73" s="6">
        <f>IFERROR('raw-Return'!D74-Table14[[#This Row],[RF]],"")</f>
        <v>-3.7015578072999489E-2</v>
      </c>
      <c r="E73" s="6" t="str">
        <f>IFERROR('raw-Return'!E74-Table14[[#This Row],[RF]],"")</f>
        <v/>
      </c>
      <c r="F73" s="6">
        <f>IFERROR('raw-Return'!F74-Table14[[#This Row],[RF]],"")</f>
        <v>-3.9232605338232807E-2</v>
      </c>
      <c r="G73" s="6">
        <f>IFERROR('raw-Return'!G74-Table14[[#This Row],[RF]],"")</f>
        <v>-2.4574970775767424E-2</v>
      </c>
      <c r="H73" s="6">
        <f>IFERROR('raw-Return'!H74-Table14[[#This Row],[RF]],"")</f>
        <v>-2.9358998145870618E-2</v>
      </c>
      <c r="I73" s="6">
        <f>IFERROR('raw-Return'!I74-Table14[[#This Row],[RF]],"")</f>
        <v>-3.2132980787648258E-2</v>
      </c>
      <c r="J73" s="6">
        <f>IFERROR('raw-Return'!J74-Table14[[#This Row],[RF]],"")</f>
        <v>-2.8513695069872558E-2</v>
      </c>
      <c r="K73" s="6">
        <f>IFERROR('raw-Return'!K74-Table14[[#This Row],[RF]],"")</f>
        <v>-2.7790738432410977E-2</v>
      </c>
      <c r="L73" s="6">
        <f>IFERROR('raw-Return'!L74-Table14[[#This Row],[RF]],"")</f>
        <v>-3.1409034275168279E-2</v>
      </c>
      <c r="M73" s="6">
        <f>IFERROR('raw-Return'!M74-Table14[[#This Row],[RF]],"")</f>
        <v>-2.4121781776236917E-2</v>
      </c>
      <c r="N73" s="6">
        <f>IFERROR('raw-Return'!N74-Table14[[#This Row],[RF]],"")</f>
        <v>-3.5349206235515185E-2</v>
      </c>
      <c r="O73" s="6">
        <f>IFERROR('raw-Return'!O74-Table14[[#This Row],[RF]],"")</f>
        <v>-2.6716395017709837E-2</v>
      </c>
      <c r="P73" s="6">
        <f>IFERROR('raw-Return'!P74-Table14[[#This Row],[RF]],"")</f>
        <v>-3.855945757293755E-2</v>
      </c>
      <c r="Q73" s="6">
        <f>IFERROR('raw-Return'!Q74-Table14[[#This Row],[RF]],"")</f>
        <v>-5.1945671346821154E-2</v>
      </c>
      <c r="R73" s="6">
        <f>IFERROR('raw-Return'!R74-Table14[[#This Row],[RF]],"")</f>
        <v>-5.431892194872201E-2</v>
      </c>
      <c r="S73" s="6">
        <f>IFERROR('raw-Return'!S74-Table14[[#This Row],[RF]],"")</f>
        <v>-3.4712502650418475E-2</v>
      </c>
      <c r="T73" s="6">
        <f>IFERROR('raw-Return'!T74-Table14[[#This Row],[RF]],"")</f>
        <v>-7.4379840574090306E-2</v>
      </c>
      <c r="U73" s="6">
        <f>IFERROR('raw-Return'!U74-Table14[[#This Row],[RF]],"")</f>
        <v>-3.0182507197873853E-2</v>
      </c>
      <c r="V73" s="6">
        <f>IFERROR('raw-Return'!V74-Table14[[#This Row],[RF]],"")</f>
        <v>-3.9974809679859336E-2</v>
      </c>
      <c r="W73" s="6">
        <f>IFERROR('raw-Return'!W74-Table14[[#This Row],[RF]],"")</f>
        <v>-2.8656512278594226E-2</v>
      </c>
      <c r="X73" s="6" t="str">
        <f>IFERROR('raw-Return'!X74-Table14[[#This Row],[RF]],"")</f>
        <v/>
      </c>
      <c r="Y73" s="6">
        <f>IFERROR('raw-Return'!Y74-Table14[[#This Row],[RF]],"")</f>
        <v>-3.6898642726886921E-2</v>
      </c>
      <c r="Z73" s="6">
        <f>IFERROR('raw-Return'!Z74-Table14[[#This Row],[RF]],"")</f>
        <v>-4.1204457591882626E-2</v>
      </c>
      <c r="AA73" s="6">
        <f>IFERROR('raw-Return'!AA74-Table14[[#This Row],[RF]],"")</f>
        <v>-2.5577551345231209E-2</v>
      </c>
      <c r="AB73" s="6">
        <f>IFERROR('raw-Return'!AB74-Table14[[#This Row],[RF]],"")</f>
        <v>-2.7071447224940037E-2</v>
      </c>
      <c r="AC73" s="6">
        <f>IFERROR('raw-Return'!AC74-Table14[[#This Row],[RF]],"")</f>
        <v>-2.7071447224940037E-2</v>
      </c>
      <c r="AD73" s="6">
        <f>IFERROR('raw-Return'!AD74-Table14[[#This Row],[RF]],"")</f>
        <v>-2.8108490485272641E-2</v>
      </c>
      <c r="AE73" s="6">
        <f>IFERROR('raw-Return'!AE74-Table14[[#This Row],[RF]],"")</f>
        <v>-4.8017605660712781E-2</v>
      </c>
      <c r="AF73" s="6">
        <f>IFERROR('raw-Return'!AF74-Table14[[#This Row],[RF]],"")</f>
        <v>-2.0159361230619233E-2</v>
      </c>
      <c r="AG73" s="6">
        <f>IFERROR('raw-Return'!AG74-Table14[[#This Row],[RF]],"")</f>
        <v>-4.2630857202477945E-2</v>
      </c>
      <c r="AH73" s="6">
        <f>IFERROR('raw-Return'!AH74-Table14[[#This Row],[RF]],"")</f>
        <v>-4.3469545902681594E-2</v>
      </c>
      <c r="AI73" s="6" t="str">
        <f>IFERROR('raw-Return'!AI74-Table14[[#This Row],[RF]],"")</f>
        <v/>
      </c>
      <c r="AJ73" s="6">
        <f>IFERROR('raw-Return'!AJ74-Table14[[#This Row],[RF]],"")</f>
        <v>-2.7471028403097231E-2</v>
      </c>
      <c r="AK73" s="6">
        <f>IFERROR('raw-Return'!AK74-Table14[[#This Row],[RF]],"")</f>
        <v>-3.9878803662933837E-2</v>
      </c>
      <c r="AL73" s="6">
        <f>IFERROR('raw-Return'!AL74-Table14[[#This Row],[RF]],"")</f>
        <v>-2.7178023695797471E-2</v>
      </c>
      <c r="AM73" s="6">
        <f>IFERROR('raw-Return'!AM74-Table14[[#This Row],[RF]],"")</f>
        <v>-3.197377978746907E-2</v>
      </c>
      <c r="AN73" s="6">
        <f>IFERROR('raw-Return'!AN74-Table14[[#This Row],[RF]],"")</f>
        <v>-2.6665390055953697E-2</v>
      </c>
      <c r="AO73" s="6" t="str">
        <f>IFERROR('raw-Return'!AO74-Table14[[#This Row],[RF]],"")</f>
        <v/>
      </c>
      <c r="AP73" s="6" t="str">
        <f>IFERROR('raw-Return'!AP74-Table14[[#This Row],[RF]],"")</f>
        <v/>
      </c>
      <c r="AQ73" s="6">
        <f>IFERROR('raw-Return'!AQ74-Table14[[#This Row],[RF]],"")</f>
        <v>-3.2053319597636465E-2</v>
      </c>
      <c r="AR73" s="6">
        <f>IFERROR('raw-Return'!AR74-Table14[[#This Row],[RF]],"")</f>
        <v>-5.1733716518019279E-2</v>
      </c>
      <c r="AS73" s="6">
        <f>IFERROR('raw-Return'!AS74-Table14[[#This Row],[RF]],"")</f>
        <v>-1.9333695497356196E-2</v>
      </c>
      <c r="AT73" s="6">
        <f>IFERROR('raw-Return'!AT74-Table14[[#This Row],[RF]],"")</f>
        <v>-4.0300000000000002E-2</v>
      </c>
      <c r="AU73" s="6">
        <f>IFERROR('raw-Return'!AU74-Table14[[#This Row],[RF]],"")</f>
        <v>-4.0300000000000002E-2</v>
      </c>
      <c r="AV73" s="6">
        <f>IFERROR('raw-Return'!AV74-Table14[[#This Row],[RF]],"")</f>
        <v>-4.0300000000000002E-2</v>
      </c>
    </row>
    <row r="74" spans="1:48" x14ac:dyDescent="0.2">
      <c r="A74" s="2">
        <v>41333</v>
      </c>
      <c r="B74" s="6">
        <f>IFERROR('raw-Return'!B75-Table14[[#This Row],[RF]],"")</f>
        <v>-2.4147892811731887E-2</v>
      </c>
      <c r="C74" s="6">
        <f>IFERROR('raw-Return'!C75-Table14[[#This Row],[RF]],"")</f>
        <v>-4.1968342380550673E-2</v>
      </c>
      <c r="D74" s="6">
        <f>IFERROR('raw-Return'!D75-Table14[[#This Row],[RF]],"")</f>
        <v>-1.9724778823416257E-2</v>
      </c>
      <c r="E74" s="6" t="str">
        <f>IFERROR('raw-Return'!E75-Table14[[#This Row],[RF]],"")</f>
        <v/>
      </c>
      <c r="F74" s="6">
        <f>IFERROR('raw-Return'!F75-Table14[[#This Row],[RF]],"")</f>
        <v>-1.3062354939256981E-2</v>
      </c>
      <c r="G74" s="6">
        <f>IFERROR('raw-Return'!G75-Table14[[#This Row],[RF]],"")</f>
        <v>-6.3327229376354571E-2</v>
      </c>
      <c r="H74" s="6">
        <f>IFERROR('raw-Return'!H75-Table14[[#This Row],[RF]],"")</f>
        <v>3.7685278111631602E-2</v>
      </c>
      <c r="I74" s="6">
        <f>IFERROR('raw-Return'!I75-Table14[[#This Row],[RF]],"")</f>
        <v>2.6309955572351516E-2</v>
      </c>
      <c r="J74" s="6">
        <f>IFERROR('raw-Return'!J75-Table14[[#This Row],[RF]],"")</f>
        <v>4.9984643956376605E-2</v>
      </c>
      <c r="K74" s="6">
        <f>IFERROR('raw-Return'!K75-Table14[[#This Row],[RF]],"")</f>
        <v>5.0628488346940469E-2</v>
      </c>
      <c r="L74" s="6">
        <f>IFERROR('raw-Return'!L75-Table14[[#This Row],[RF]],"")</f>
        <v>4.8115275328950345E-2</v>
      </c>
      <c r="M74" s="6">
        <f>IFERROR('raw-Return'!M75-Table14[[#This Row],[RF]],"")</f>
        <v>5.1645141089778378E-2</v>
      </c>
      <c r="N74" s="6">
        <f>IFERROR('raw-Return'!N75-Table14[[#This Row],[RF]],"")</f>
        <v>-2.223696665114825E-2</v>
      </c>
      <c r="O74" s="6">
        <f>IFERROR('raw-Return'!O75-Table14[[#This Row],[RF]],"")</f>
        <v>-3.9200378018799588E-2</v>
      </c>
      <c r="P74" s="6">
        <f>IFERROR('raw-Return'!P75-Table14[[#This Row],[RF]],"")</f>
        <v>-1.4724148635181655E-2</v>
      </c>
      <c r="Q74" s="6">
        <f>IFERROR('raw-Return'!Q75-Table14[[#This Row],[RF]],"")</f>
        <v>2.5566953669792801E-2</v>
      </c>
      <c r="R74" s="6">
        <f>IFERROR('raw-Return'!R75-Table14[[#This Row],[RF]],"")</f>
        <v>1.1390689101082119E-2</v>
      </c>
      <c r="S74" s="6">
        <f>IFERROR('raw-Return'!S75-Table14[[#This Row],[RF]],"")</f>
        <v>-1.9309669374194628E-2</v>
      </c>
      <c r="T74" s="6">
        <f>IFERROR('raw-Return'!T75-Table14[[#This Row],[RF]],"")</f>
        <v>2.9718758058979187E-2</v>
      </c>
      <c r="U74" s="6">
        <f>IFERROR('raw-Return'!U75-Table14[[#This Row],[RF]],"")</f>
        <v>-4.3110232864540611E-2</v>
      </c>
      <c r="V74" s="6">
        <f>IFERROR('raw-Return'!V75-Table14[[#This Row],[RF]],"")</f>
        <v>-1.3372362599722054E-2</v>
      </c>
      <c r="W74" s="6">
        <f>IFERROR('raw-Return'!W75-Table14[[#This Row],[RF]],"")</f>
        <v>4.6317111671814758E-2</v>
      </c>
      <c r="X74" s="6" t="str">
        <f>IFERROR('raw-Return'!X75-Table14[[#This Row],[RF]],"")</f>
        <v/>
      </c>
      <c r="Y74" s="6">
        <f>IFERROR('raw-Return'!Y75-Table14[[#This Row],[RF]],"")</f>
        <v>-1.6873110286905281E-2</v>
      </c>
      <c r="Z74" s="6">
        <f>IFERROR('raw-Return'!Z75-Table14[[#This Row],[RF]],"")</f>
        <v>3.2975910585254734E-3</v>
      </c>
      <c r="AA74" s="6">
        <f>IFERROR('raw-Return'!AA75-Table14[[#This Row],[RF]],"")</f>
        <v>5.9738973202670874E-2</v>
      </c>
      <c r="AB74" s="6">
        <f>IFERROR('raw-Return'!AB75-Table14[[#This Row],[RF]],"")</f>
        <v>3.9113492333608411E-2</v>
      </c>
      <c r="AC74" s="6">
        <f>IFERROR('raw-Return'!AC75-Table14[[#This Row],[RF]],"")</f>
        <v>3.9113492333608411E-2</v>
      </c>
      <c r="AD74" s="6">
        <f>IFERROR('raw-Return'!AD75-Table14[[#This Row],[RF]],"")</f>
        <v>5.3334484335456088E-2</v>
      </c>
      <c r="AE74" s="6">
        <f>IFERROR('raw-Return'!AE75-Table14[[#This Row],[RF]],"")</f>
        <v>1.8810351205148644E-2</v>
      </c>
      <c r="AF74" s="6">
        <f>IFERROR('raw-Return'!AF75-Table14[[#This Row],[RF]],"")</f>
        <v>1.7968907006567968E-2</v>
      </c>
      <c r="AG74" s="6">
        <f>IFERROR('raw-Return'!AG75-Table14[[#This Row],[RF]],"")</f>
        <v>1.7397145461353201E-2</v>
      </c>
      <c r="AH74" s="6">
        <f>IFERROR('raw-Return'!AH75-Table14[[#This Row],[RF]],"")</f>
        <v>2.7343094468249028E-2</v>
      </c>
      <c r="AI74" s="6" t="str">
        <f>IFERROR('raw-Return'!AI75-Table14[[#This Row],[RF]],"")</f>
        <v/>
      </c>
      <c r="AJ74" s="6">
        <f>IFERROR('raw-Return'!AJ75-Table14[[#This Row],[RF]],"")</f>
        <v>4.1240119566338683E-2</v>
      </c>
      <c r="AK74" s="6">
        <f>IFERROR('raw-Return'!AK75-Table14[[#This Row],[RF]],"")</f>
        <v>-1.1486978534324432E-2</v>
      </c>
      <c r="AL74" s="6">
        <f>IFERROR('raw-Return'!AL75-Table14[[#This Row],[RF]],"")</f>
        <v>5.0636316548651548E-2</v>
      </c>
      <c r="AM74" s="6">
        <f>IFERROR('raw-Return'!AM75-Table14[[#This Row],[RF]],"")</f>
        <v>3.1142793500020936E-2</v>
      </c>
      <c r="AN74" s="6">
        <f>IFERROR('raw-Return'!AN75-Table14[[#This Row],[RF]],"")</f>
        <v>3.9925019883807832E-2</v>
      </c>
      <c r="AO74" s="6" t="str">
        <f>IFERROR('raw-Return'!AO75-Table14[[#This Row],[RF]],"")</f>
        <v/>
      </c>
      <c r="AP74" s="6" t="str">
        <f>IFERROR('raw-Return'!AP75-Table14[[#This Row],[RF]],"")</f>
        <v/>
      </c>
      <c r="AQ74" s="6">
        <f>IFERROR('raw-Return'!AQ75-Table14[[#This Row],[RF]],"")</f>
        <v>5.5020023153332563E-2</v>
      </c>
      <c r="AR74" s="6">
        <f>IFERROR('raw-Return'!AR75-Table14[[#This Row],[RF]],"")</f>
        <v>1.1178582526503745E-2</v>
      </c>
      <c r="AS74" s="6">
        <f>IFERROR('raw-Return'!AS75-Table14[[#This Row],[RF]],"")</f>
        <v>4.3463478042517732E-2</v>
      </c>
      <c r="AT74" s="6">
        <f>IFERROR('raw-Return'!AT75-Table14[[#This Row],[RF]],"")</f>
        <v>-1.29E-2</v>
      </c>
      <c r="AU74" s="6">
        <f>IFERROR('raw-Return'!AU75-Table14[[#This Row],[RF]],"")</f>
        <v>-1.29E-2</v>
      </c>
      <c r="AV74" s="6">
        <f>IFERROR('raw-Return'!AV75-Table14[[#This Row],[RF]],"")</f>
        <v>-1.29E-2</v>
      </c>
    </row>
    <row r="75" spans="1:48" x14ac:dyDescent="0.2">
      <c r="A75" s="2">
        <v>41305</v>
      </c>
      <c r="B75" s="6">
        <f>IFERROR('raw-Return'!B76-Table14[[#This Row],[RF]],"")</f>
        <v>-8.1916892089077403E-2</v>
      </c>
      <c r="C75" s="6">
        <f>IFERROR('raw-Return'!C76-Table14[[#This Row],[RF]],"")</f>
        <v>-8.6751235395093135E-2</v>
      </c>
      <c r="D75" s="6">
        <f>IFERROR('raw-Return'!D76-Table14[[#This Row],[RF]],"")</f>
        <v>-6.6441992604128669E-2</v>
      </c>
      <c r="E75" s="6" t="str">
        <f>IFERROR('raw-Return'!E76-Table14[[#This Row],[RF]],"")</f>
        <v/>
      </c>
      <c r="F75" s="6">
        <f>IFERROR('raw-Return'!F76-Table14[[#This Row],[RF]],"")</f>
        <v>-6.1238118056479746E-2</v>
      </c>
      <c r="G75" s="6">
        <f>IFERROR('raw-Return'!G76-Table14[[#This Row],[RF]],"")</f>
        <v>-0.14033701821181968</v>
      </c>
      <c r="H75" s="6">
        <f>IFERROR('raw-Return'!H76-Table14[[#This Row],[RF]],"")</f>
        <v>-5.6420727437022339E-2</v>
      </c>
      <c r="I75" s="6">
        <f>IFERROR('raw-Return'!I76-Table14[[#This Row],[RF]],"")</f>
        <v>-6.7335685691964714E-2</v>
      </c>
      <c r="J75" s="6">
        <f>IFERROR('raw-Return'!J76-Table14[[#This Row],[RF]],"")</f>
        <v>-4.559888947671778E-2</v>
      </c>
      <c r="K75" s="6">
        <f>IFERROR('raw-Return'!K76-Table14[[#This Row],[RF]],"")</f>
        <v>-4.4109058285063757E-2</v>
      </c>
      <c r="L75" s="6">
        <f>IFERROR('raw-Return'!L76-Table14[[#This Row],[RF]],"")</f>
        <v>-3.975627433578946E-2</v>
      </c>
      <c r="M75" s="6">
        <f>IFERROR('raw-Return'!M76-Table14[[#This Row],[RF]],"")</f>
        <v>-4.8312780755929957E-2</v>
      </c>
      <c r="N75" s="6">
        <f>IFERROR('raw-Return'!N76-Table14[[#This Row],[RF]],"")</f>
        <v>-6.4742496307327896E-2</v>
      </c>
      <c r="O75" s="6">
        <f>IFERROR('raw-Return'!O76-Table14[[#This Row],[RF]],"")</f>
        <v>-6.7617980214737111E-2</v>
      </c>
      <c r="P75" s="6">
        <f>IFERROR('raw-Return'!P76-Table14[[#This Row],[RF]],"")</f>
        <v>-5.7079745260008835E-2</v>
      </c>
      <c r="Q75" s="6">
        <f>IFERROR('raw-Return'!Q76-Table14[[#This Row],[RF]],"")</f>
        <v>-2.3614863073396025E-2</v>
      </c>
      <c r="R75" s="6">
        <f>IFERROR('raw-Return'!R76-Table14[[#This Row],[RF]],"")</f>
        <v>-1.7618186639098005E-2</v>
      </c>
      <c r="S75" s="6">
        <f>IFERROR('raw-Return'!S76-Table14[[#This Row],[RF]],"")</f>
        <v>-7.2635246429027217E-2</v>
      </c>
      <c r="T75" s="6">
        <f>IFERROR('raw-Return'!T76-Table14[[#This Row],[RF]],"")</f>
        <v>-2.0671910618241723E-2</v>
      </c>
      <c r="U75" s="6">
        <f>IFERROR('raw-Return'!U76-Table14[[#This Row],[RF]],"")</f>
        <v>-8.181644973775673E-2</v>
      </c>
      <c r="V75" s="6">
        <f>IFERROR('raw-Return'!V76-Table14[[#This Row],[RF]],"")</f>
        <v>-5.7191888665122842E-2</v>
      </c>
      <c r="W75" s="6">
        <f>IFERROR('raw-Return'!W76-Table14[[#This Row],[RF]],"")</f>
        <v>-5.9110908684542524E-2</v>
      </c>
      <c r="X75" s="6" t="str">
        <f>IFERROR('raw-Return'!X76-Table14[[#This Row],[RF]],"")</f>
        <v/>
      </c>
      <c r="Y75" s="6">
        <f>IFERROR('raw-Return'!Y76-Table14[[#This Row],[RF]],"")</f>
        <v>-6.2342189732209535E-2</v>
      </c>
      <c r="Z75" s="6">
        <f>IFERROR('raw-Return'!Z76-Table14[[#This Row],[RF]],"")</f>
        <v>-4.1887469223149371E-2</v>
      </c>
      <c r="AA75" s="6">
        <f>IFERROR('raw-Return'!AA76-Table14[[#This Row],[RF]],"")</f>
        <v>-5.1372251018663079E-2</v>
      </c>
      <c r="AB75" s="6">
        <f>IFERROR('raw-Return'!AB76-Table14[[#This Row],[RF]],"")</f>
        <v>-5.3043228478966059E-2</v>
      </c>
      <c r="AC75" s="6">
        <f>IFERROR('raw-Return'!AC76-Table14[[#This Row],[RF]],"")</f>
        <v>-5.3043228478966059E-2</v>
      </c>
      <c r="AD75" s="6">
        <f>IFERROR('raw-Return'!AD76-Table14[[#This Row],[RF]],"")</f>
        <v>-3.9160029491616483E-2</v>
      </c>
      <c r="AE75" s="6">
        <f>IFERROR('raw-Return'!AE76-Table14[[#This Row],[RF]],"")</f>
        <v>-7.2835044100089813E-2</v>
      </c>
      <c r="AF75" s="6">
        <f>IFERROR('raw-Return'!AF76-Table14[[#This Row],[RF]],"")</f>
        <v>-2.5202714367069362E-2</v>
      </c>
      <c r="AG75" s="6">
        <f>IFERROR('raw-Return'!AG76-Table14[[#This Row],[RF]],"")</f>
        <v>-2.8279755933149048E-2</v>
      </c>
      <c r="AH75" s="6">
        <f>IFERROR('raw-Return'!AH76-Table14[[#This Row],[RF]],"")</f>
        <v>-3.6272021284628059E-2</v>
      </c>
      <c r="AI75" s="6" t="str">
        <f>IFERROR('raw-Return'!AI76-Table14[[#This Row],[RF]],"")</f>
        <v/>
      </c>
      <c r="AJ75" s="6">
        <f>IFERROR('raw-Return'!AJ76-Table14[[#This Row],[RF]],"")</f>
        <v>-5.017726218412602E-2</v>
      </c>
      <c r="AK75" s="6">
        <f>IFERROR('raw-Return'!AK76-Table14[[#This Row],[RF]],"")</f>
        <v>-5.6121613663473818E-2</v>
      </c>
      <c r="AL75" s="6">
        <f>IFERROR('raw-Return'!AL76-Table14[[#This Row],[RF]],"")</f>
        <v>-4.2811004315738727E-2</v>
      </c>
      <c r="AM75" s="6">
        <f>IFERROR('raw-Return'!AM76-Table14[[#This Row],[RF]],"")</f>
        <v>-6.0927792260211971E-2</v>
      </c>
      <c r="AN75" s="6">
        <f>IFERROR('raw-Return'!AN76-Table14[[#This Row],[RF]],"")</f>
        <v>-5.2245983186786665E-2</v>
      </c>
      <c r="AO75" s="6" t="str">
        <f>IFERROR('raw-Return'!AO76-Table14[[#This Row],[RF]],"")</f>
        <v/>
      </c>
      <c r="AP75" s="6" t="str">
        <f>IFERROR('raw-Return'!AP76-Table14[[#This Row],[RF]],"")</f>
        <v/>
      </c>
      <c r="AQ75" s="6">
        <f>IFERROR('raw-Return'!AQ76-Table14[[#This Row],[RF]],"")</f>
        <v>-4.2481487249318356E-2</v>
      </c>
      <c r="AR75" s="6">
        <f>IFERROR('raw-Return'!AR76-Table14[[#This Row],[RF]],"")</f>
        <v>-2.1009669770725076E-2</v>
      </c>
      <c r="AS75" s="6">
        <f>IFERROR('raw-Return'!AS76-Table14[[#This Row],[RF]],"")</f>
        <v>-6.2690028636977618E-2</v>
      </c>
      <c r="AT75" s="6">
        <f>IFERROR('raw-Return'!AT76-Table14[[#This Row],[RF]],"")</f>
        <v>-5.57E-2</v>
      </c>
      <c r="AU75" s="6">
        <f>IFERROR('raw-Return'!AU76-Table14[[#This Row],[RF]],"")</f>
        <v>-5.57E-2</v>
      </c>
      <c r="AV75" s="6">
        <f>IFERROR('raw-Return'!AV76-Table14[[#This Row],[RF]],"")</f>
        <v>-5.57E-2</v>
      </c>
    </row>
    <row r="76" spans="1:48" x14ac:dyDescent="0.2">
      <c r="A76" s="2">
        <v>41274</v>
      </c>
      <c r="B76" s="6">
        <f>IFERROR('raw-Return'!B77-Table14[[#This Row],[RF]],"")</f>
        <v>-8.0116031089973675E-3</v>
      </c>
      <c r="C76" s="6">
        <f>IFERROR('raw-Return'!C77-Table14[[#This Row],[RF]],"")</f>
        <v>-1.109112780811713E-2</v>
      </c>
      <c r="D76" s="6">
        <f>IFERROR('raw-Return'!D77-Table14[[#This Row],[RF]],"")</f>
        <v>-1.1250901318213791E-2</v>
      </c>
      <c r="E76" s="6" t="str">
        <f>IFERROR('raw-Return'!E77-Table14[[#This Row],[RF]],"")</f>
        <v/>
      </c>
      <c r="F76" s="6">
        <f>IFERROR('raw-Return'!F77-Table14[[#This Row],[RF]],"")</f>
        <v>-1.0834631474406076E-2</v>
      </c>
      <c r="G76" s="6">
        <f>IFERROR('raw-Return'!G77-Table14[[#This Row],[RF]],"")</f>
        <v>6.073023968387525E-3</v>
      </c>
      <c r="H76" s="6">
        <f>IFERROR('raw-Return'!H77-Table14[[#This Row],[RF]],"")</f>
        <v>-6.9403120918616005E-3</v>
      </c>
      <c r="I76" s="6">
        <f>IFERROR('raw-Return'!I77-Table14[[#This Row],[RF]],"")</f>
        <v>8.4724852116729085E-3</v>
      </c>
      <c r="J76" s="6">
        <f>IFERROR('raw-Return'!J77-Table14[[#This Row],[RF]],"")</f>
        <v>-2.0356353794985425E-2</v>
      </c>
      <c r="K76" s="6">
        <f>IFERROR('raw-Return'!K77-Table14[[#This Row],[RF]],"")</f>
        <v>7.0743797049125333E-4</v>
      </c>
      <c r="L76" s="6">
        <f>IFERROR('raw-Return'!L77-Table14[[#This Row],[RF]],"")</f>
        <v>5.3960810351519114E-3</v>
      </c>
      <c r="M76" s="6">
        <f>IFERROR('raw-Return'!M77-Table14[[#This Row],[RF]],"")</f>
        <v>-1.7269733580209338E-3</v>
      </c>
      <c r="N76" s="6">
        <f>IFERROR('raw-Return'!N77-Table14[[#This Row],[RF]],"")</f>
        <v>-1.5491317800680216E-2</v>
      </c>
      <c r="O76" s="6">
        <f>IFERROR('raw-Return'!O77-Table14[[#This Row],[RF]],"")</f>
        <v>-2.6144260771841253E-2</v>
      </c>
      <c r="P76" s="6">
        <f>IFERROR('raw-Return'!P77-Table14[[#This Row],[RF]],"")</f>
        <v>-1.5149641008101756E-2</v>
      </c>
      <c r="Q76" s="6">
        <f>IFERROR('raw-Return'!Q77-Table14[[#This Row],[RF]],"")</f>
        <v>1.5436479343016207E-2</v>
      </c>
      <c r="R76" s="6">
        <f>IFERROR('raw-Return'!R77-Table14[[#This Row],[RF]],"")</f>
        <v>6.1707955515362452E-3</v>
      </c>
      <c r="S76" s="6">
        <f>IFERROR('raw-Return'!S77-Table14[[#This Row],[RF]],"")</f>
        <v>-7.5565236185721422E-3</v>
      </c>
      <c r="T76" s="6">
        <f>IFERROR('raw-Return'!T77-Table14[[#This Row],[RF]],"")</f>
        <v>1.2968552041946501E-2</v>
      </c>
      <c r="U76" s="6">
        <f>IFERROR('raw-Return'!U77-Table14[[#This Row],[RF]],"")</f>
        <v>-4.6000766032454291E-3</v>
      </c>
      <c r="V76" s="6">
        <f>IFERROR('raw-Return'!V77-Table14[[#This Row],[RF]],"")</f>
        <v>-1.1320076000272484E-2</v>
      </c>
      <c r="W76" s="6">
        <f>IFERROR('raw-Return'!W77-Table14[[#This Row],[RF]],"")</f>
        <v>2.5421074289500353E-3</v>
      </c>
      <c r="X76" s="6" t="str">
        <f>IFERROR('raw-Return'!X77-Table14[[#This Row],[RF]],"")</f>
        <v/>
      </c>
      <c r="Y76" s="6">
        <f>IFERROR('raw-Return'!Y77-Table14[[#This Row],[RF]],"")</f>
        <v>-1.4710202501669845E-2</v>
      </c>
      <c r="Z76" s="6">
        <f>IFERROR('raw-Return'!Z77-Table14[[#This Row],[RF]],"")</f>
        <v>1.4495748279576925E-2</v>
      </c>
      <c r="AA76" s="6">
        <f>IFERROR('raw-Return'!AA77-Table14[[#This Row],[RF]],"")</f>
        <v>3.4126528094205986E-4</v>
      </c>
      <c r="AB76" s="6">
        <f>IFERROR('raw-Return'!AB77-Table14[[#This Row],[RF]],"")</f>
        <v>-6.2552551155070305E-3</v>
      </c>
      <c r="AC76" s="6">
        <f>IFERROR('raw-Return'!AC77-Table14[[#This Row],[RF]],"")</f>
        <v>-6.2552551155070305E-3</v>
      </c>
      <c r="AD76" s="6">
        <f>IFERROR('raw-Return'!AD77-Table14[[#This Row],[RF]],"")</f>
        <v>8.8388807823654211E-3</v>
      </c>
      <c r="AE76" s="6">
        <f>IFERROR('raw-Return'!AE77-Table14[[#This Row],[RF]],"")</f>
        <v>-1.963216206563597E-2</v>
      </c>
      <c r="AF76" s="6">
        <f>IFERROR('raw-Return'!AF77-Table14[[#This Row],[RF]],"")</f>
        <v>1.393141597413553E-2</v>
      </c>
      <c r="AG76" s="6">
        <f>IFERROR('raw-Return'!AG77-Table14[[#This Row],[RF]],"")</f>
        <v>1.5115123212275147E-3</v>
      </c>
      <c r="AH76" s="6">
        <f>IFERROR('raw-Return'!AH77-Table14[[#This Row],[RF]],"")</f>
        <v>3.618840408183421E-3</v>
      </c>
      <c r="AI76" s="6" t="str">
        <f>IFERROR('raw-Return'!AI77-Table14[[#This Row],[RF]],"")</f>
        <v/>
      </c>
      <c r="AJ76" s="6">
        <f>IFERROR('raw-Return'!AJ77-Table14[[#This Row],[RF]],"")</f>
        <v>-4.0203780960958672E-3</v>
      </c>
      <c r="AK76" s="6">
        <f>IFERROR('raw-Return'!AK77-Table14[[#This Row],[RF]],"")</f>
        <v>-7.2044493313340955E-3</v>
      </c>
      <c r="AL76" s="6">
        <f>IFERROR('raw-Return'!AL77-Table14[[#This Row],[RF]],"")</f>
        <v>-1.9237175104441083E-2</v>
      </c>
      <c r="AM76" s="6">
        <f>IFERROR('raw-Return'!AM77-Table14[[#This Row],[RF]],"")</f>
        <v>8.4531215987240556E-3</v>
      </c>
      <c r="AN76" s="6">
        <f>IFERROR('raw-Return'!AN77-Table14[[#This Row],[RF]],"")</f>
        <v>-5.3811952685666967E-3</v>
      </c>
      <c r="AO76" s="6" t="str">
        <f>IFERROR('raw-Return'!AO77-Table14[[#This Row],[RF]],"")</f>
        <v/>
      </c>
      <c r="AP76" s="6" t="str">
        <f>IFERROR('raw-Return'!AP77-Table14[[#This Row],[RF]],"")</f>
        <v/>
      </c>
      <c r="AQ76" s="6">
        <f>IFERROR('raw-Return'!AQ77-Table14[[#This Row],[RF]],"")</f>
        <v>4.926554362834101E-3</v>
      </c>
      <c r="AR76" s="6">
        <f>IFERROR('raw-Return'!AR77-Table14[[#This Row],[RF]],"")</f>
        <v>8.826386284405607E-3</v>
      </c>
      <c r="AS76" s="6">
        <f>IFERROR('raw-Return'!AS77-Table14[[#This Row],[RF]],"")</f>
        <v>-1.519826585633618E-2</v>
      </c>
      <c r="AT76" s="6">
        <f>IFERROR('raw-Return'!AT77-Table14[[#This Row],[RF]],"")</f>
        <v>-1.18E-2</v>
      </c>
      <c r="AU76" s="6">
        <f>IFERROR('raw-Return'!AU77-Table14[[#This Row],[RF]],"")</f>
        <v>-1.18E-2</v>
      </c>
      <c r="AV76" s="6">
        <f>IFERROR('raw-Return'!AV77-Table14[[#This Row],[RF]],"")</f>
        <v>-1.18E-2</v>
      </c>
    </row>
    <row r="77" spans="1:48" x14ac:dyDescent="0.2">
      <c r="A77" s="2">
        <v>41243</v>
      </c>
      <c r="B77" s="6">
        <f>IFERROR('raw-Return'!B78-Table14[[#This Row],[RF]],"")</f>
        <v>-7.5885289412933312E-3</v>
      </c>
      <c r="C77" s="6">
        <f>IFERROR('raw-Return'!C78-Table14[[#This Row],[RF]],"")</f>
        <v>-6.1978008065101944E-3</v>
      </c>
      <c r="D77" s="6">
        <f>IFERROR('raw-Return'!D78-Table14[[#This Row],[RF]],"")</f>
        <v>-1.082037590971871E-2</v>
      </c>
      <c r="E77" s="6" t="str">
        <f>IFERROR('raw-Return'!E78-Table14[[#This Row],[RF]],"")</f>
        <v/>
      </c>
      <c r="F77" s="6">
        <f>IFERROR('raw-Return'!F78-Table14[[#This Row],[RF]],"")</f>
        <v>-8.8975076632183681E-3</v>
      </c>
      <c r="G77" s="6">
        <f>IFERROR('raw-Return'!G78-Table14[[#This Row],[RF]],"")</f>
        <v>-1.1805568262249072E-2</v>
      </c>
      <c r="H77" s="6">
        <f>IFERROR('raw-Return'!H78-Table14[[#This Row],[RF]],"")</f>
        <v>-2.7160695426976716E-2</v>
      </c>
      <c r="I77" s="6">
        <f>IFERROR('raw-Return'!I78-Table14[[#This Row],[RF]],"")</f>
        <v>-4.040339802384349E-2</v>
      </c>
      <c r="J77" s="6">
        <f>IFERROR('raw-Return'!J78-Table14[[#This Row],[RF]],"")</f>
        <v>-1.5525964732602343E-2</v>
      </c>
      <c r="K77" s="6">
        <f>IFERROR('raw-Return'!K78-Table14[[#This Row],[RF]],"")</f>
        <v>-2.2145576655743654E-2</v>
      </c>
      <c r="L77" s="6">
        <f>IFERROR('raw-Return'!L78-Table14[[#This Row],[RF]],"")</f>
        <v>-3.1507061167105305E-2</v>
      </c>
      <c r="M77" s="6">
        <f>IFERROR('raw-Return'!M78-Table14[[#This Row],[RF]],"")</f>
        <v>-1.4747470524607648E-2</v>
      </c>
      <c r="N77" s="6">
        <f>IFERROR('raw-Return'!N78-Table14[[#This Row],[RF]],"")</f>
        <v>4.9522064589720147E-3</v>
      </c>
      <c r="O77" s="6">
        <f>IFERROR('raw-Return'!O78-Table14[[#This Row],[RF]],"")</f>
        <v>5.3062419574672346E-3</v>
      </c>
      <c r="P77" s="6">
        <f>IFERROR('raw-Return'!P78-Table14[[#This Row],[RF]],"")</f>
        <v>-3.2416682164846103E-3</v>
      </c>
      <c r="Q77" s="6">
        <f>IFERROR('raw-Return'!Q78-Table14[[#This Row],[RF]],"")</f>
        <v>2.5930373734586462E-3</v>
      </c>
      <c r="R77" s="6">
        <f>IFERROR('raw-Return'!R78-Table14[[#This Row],[RF]],"")</f>
        <v>-4.2440890076516323E-5</v>
      </c>
      <c r="S77" s="6">
        <f>IFERROR('raw-Return'!S78-Table14[[#This Row],[RF]],"")</f>
        <v>-1.1527527358733497E-2</v>
      </c>
      <c r="T77" s="6">
        <f>IFERROR('raw-Return'!T78-Table14[[#This Row],[RF]],"")</f>
        <v>9.866111985985998E-3</v>
      </c>
      <c r="U77" s="6">
        <f>IFERROR('raw-Return'!U78-Table14[[#This Row],[RF]],"")</f>
        <v>-1.1915399860008974E-2</v>
      </c>
      <c r="V77" s="6">
        <f>IFERROR('raw-Return'!V78-Table14[[#This Row],[RF]],"")</f>
        <v>-8.4419474537724415E-3</v>
      </c>
      <c r="W77" s="6">
        <f>IFERROR('raw-Return'!W78-Table14[[#This Row],[RF]],"")</f>
        <v>-2.0396498200643903E-2</v>
      </c>
      <c r="X77" s="6" t="str">
        <f>IFERROR('raw-Return'!X78-Table14[[#This Row],[RF]],"")</f>
        <v/>
      </c>
      <c r="Y77" s="6">
        <f>IFERROR('raw-Return'!Y78-Table14[[#This Row],[RF]],"")</f>
        <v>-1.1017082216698143E-2</v>
      </c>
      <c r="Z77" s="6">
        <f>IFERROR('raw-Return'!Z78-Table14[[#This Row],[RF]],"")</f>
        <v>2.0594313748670184E-2</v>
      </c>
      <c r="AA77" s="6">
        <f>IFERROR('raw-Return'!AA78-Table14[[#This Row],[RF]],"")</f>
        <v>-9.0524851169204446E-3</v>
      </c>
      <c r="AB77" s="6">
        <f>IFERROR('raw-Return'!AB78-Table14[[#This Row],[RF]],"")</f>
        <v>-2.7556735423043904E-2</v>
      </c>
      <c r="AC77" s="6">
        <f>IFERROR('raw-Return'!AC78-Table14[[#This Row],[RF]],"")</f>
        <v>-2.7556735423043904E-2</v>
      </c>
      <c r="AD77" s="6">
        <f>IFERROR('raw-Return'!AD78-Table14[[#This Row],[RF]],"")</f>
        <v>-3.2190161103444165E-2</v>
      </c>
      <c r="AE77" s="6">
        <f>IFERROR('raw-Return'!AE78-Table14[[#This Row],[RF]],"")</f>
        <v>-5.1246595829473301E-2</v>
      </c>
      <c r="AF77" s="6">
        <f>IFERROR('raw-Return'!AF78-Table14[[#This Row],[RF]],"")</f>
        <v>-4.538129272951357E-3</v>
      </c>
      <c r="AG77" s="6">
        <f>IFERROR('raw-Return'!AG78-Table14[[#This Row],[RF]],"")</f>
        <v>-9.540302578687293E-3</v>
      </c>
      <c r="AH77" s="6">
        <f>IFERROR('raw-Return'!AH78-Table14[[#This Row],[RF]],"")</f>
        <v>-1.3886732027640764E-2</v>
      </c>
      <c r="AI77" s="6" t="str">
        <f>IFERROR('raw-Return'!AI78-Table14[[#This Row],[RF]],"")</f>
        <v/>
      </c>
      <c r="AJ77" s="6">
        <f>IFERROR('raw-Return'!AJ78-Table14[[#This Row],[RF]],"")</f>
        <v>-2.5909383216255882E-2</v>
      </c>
      <c r="AK77" s="6" t="str">
        <f>IFERROR('raw-Return'!AK78-Table14[[#This Row],[RF]],"")</f>
        <v/>
      </c>
      <c r="AL77" s="6">
        <f>IFERROR('raw-Return'!AL78-Table14[[#This Row],[RF]],"")</f>
        <v>-1.1754893371653891E-2</v>
      </c>
      <c r="AM77" s="6">
        <f>IFERROR('raw-Return'!AM78-Table14[[#This Row],[RF]],"")</f>
        <v>-3.9219843524359227E-2</v>
      </c>
      <c r="AN77" s="6">
        <f>IFERROR('raw-Return'!AN78-Table14[[#This Row],[RF]],"")</f>
        <v>-2.5434821449640349E-2</v>
      </c>
      <c r="AO77" s="6" t="str">
        <f>IFERROR('raw-Return'!AO78-Table14[[#This Row],[RF]],"")</f>
        <v/>
      </c>
      <c r="AP77" s="6" t="str">
        <f>IFERROR('raw-Return'!AP78-Table14[[#This Row],[RF]],"")</f>
        <v/>
      </c>
      <c r="AQ77" s="6">
        <f>IFERROR('raw-Return'!AQ78-Table14[[#This Row],[RF]],"")</f>
        <v>-2.1788154299665491E-2</v>
      </c>
      <c r="AR77" s="6">
        <f>IFERROR('raw-Return'!AR78-Table14[[#This Row],[RF]],"")</f>
        <v>3.1206387054341731E-4</v>
      </c>
      <c r="AS77" s="6">
        <f>IFERROR('raw-Return'!AS78-Table14[[#This Row],[RF]],"")</f>
        <v>-1.7844189832569052E-2</v>
      </c>
      <c r="AT77" s="6">
        <f>IFERROR('raw-Return'!AT78-Table14[[#This Row],[RF]],"")</f>
        <v>-7.8000000000000005E-3</v>
      </c>
      <c r="AU77" s="6">
        <f>IFERROR('raw-Return'!AU78-Table14[[#This Row],[RF]],"")</f>
        <v>-7.8000000000000005E-3</v>
      </c>
      <c r="AV77" s="6">
        <f>IFERROR('raw-Return'!AV78-Table14[[#This Row],[RF]],"")</f>
        <v>-7.8000000000000005E-3</v>
      </c>
    </row>
    <row r="78" spans="1:48" x14ac:dyDescent="0.2">
      <c r="A78" s="2">
        <v>41213</v>
      </c>
      <c r="B78" s="6">
        <f>IFERROR('raw-Return'!B79-Table14[[#This Row],[RF]],"")</f>
        <v>2.0114381817557921E-2</v>
      </c>
      <c r="C78" s="6">
        <f>IFERROR('raw-Return'!C79-Table14[[#This Row],[RF]],"")</f>
        <v>6.7179606961746373E-3</v>
      </c>
      <c r="D78" s="6">
        <f>IFERROR('raw-Return'!D79-Table14[[#This Row],[RF]],"")</f>
        <v>1.7123257933893295E-2</v>
      </c>
      <c r="E78" s="6" t="str">
        <f>IFERROR('raw-Return'!E79-Table14[[#This Row],[RF]],"")</f>
        <v/>
      </c>
      <c r="F78" s="6">
        <f>IFERROR('raw-Return'!F79-Table14[[#This Row],[RF]],"")</f>
        <v>1.7008383555909331E-2</v>
      </c>
      <c r="G78" s="6">
        <f>IFERROR('raw-Return'!G79-Table14[[#This Row],[RF]],"")</f>
        <v>-2.9898920889484041E-2</v>
      </c>
      <c r="H78" s="6">
        <f>IFERROR('raw-Return'!H79-Table14[[#This Row],[RF]],"")</f>
        <v>3.6631134752181438E-2</v>
      </c>
      <c r="I78" s="6">
        <f>IFERROR('raw-Return'!I79-Table14[[#This Row],[RF]],"")</f>
        <v>3.4124409987450421E-2</v>
      </c>
      <c r="J78" s="6">
        <f>IFERROR('raw-Return'!J79-Table14[[#This Row],[RF]],"")</f>
        <v>4.434492224971337E-2</v>
      </c>
      <c r="K78" s="6">
        <f>IFERROR('raw-Return'!K79-Table14[[#This Row],[RF]],"")</f>
        <v>4.5504030719035915E-2</v>
      </c>
      <c r="L78" s="6">
        <f>IFERROR('raw-Return'!L79-Table14[[#This Row],[RF]],"")</f>
        <v>4.4031764692608222E-2</v>
      </c>
      <c r="M78" s="6">
        <f>IFERROR('raw-Return'!M79-Table14[[#This Row],[RF]],"")</f>
        <v>4.5589060421895533E-2</v>
      </c>
      <c r="N78" s="6">
        <f>IFERROR('raw-Return'!N79-Table14[[#This Row],[RF]],"")</f>
        <v>2.2377776708077887E-2</v>
      </c>
      <c r="O78" s="6">
        <f>IFERROR('raw-Return'!O79-Table14[[#This Row],[RF]],"")</f>
        <v>1.3953679281990924E-2</v>
      </c>
      <c r="P78" s="6">
        <f>IFERROR('raw-Return'!P79-Table14[[#This Row],[RF]],"")</f>
        <v>2.0601687692381295E-2</v>
      </c>
      <c r="Q78" s="6">
        <f>IFERROR('raw-Return'!Q79-Table14[[#This Row],[RF]],"")</f>
        <v>2.3475634742894543E-2</v>
      </c>
      <c r="R78" s="6">
        <f>IFERROR('raw-Return'!R79-Table14[[#This Row],[RF]],"")</f>
        <v>3.4007809556123092E-2</v>
      </c>
      <c r="S78" s="6">
        <f>IFERROR('raw-Return'!S79-Table14[[#This Row],[RF]],"")</f>
        <v>1.6094957492008007E-2</v>
      </c>
      <c r="T78" s="6">
        <f>IFERROR('raw-Return'!T79-Table14[[#This Row],[RF]],"")</f>
        <v>2.3823576978189983E-2</v>
      </c>
      <c r="U78" s="6">
        <f>IFERROR('raw-Return'!U79-Table14[[#This Row],[RF]],"")</f>
        <v>-3.6217503766151106E-3</v>
      </c>
      <c r="V78" s="6">
        <f>IFERROR('raw-Return'!V79-Table14[[#This Row],[RF]],"")</f>
        <v>1.6937830926818716E-2</v>
      </c>
      <c r="W78" s="6">
        <f>IFERROR('raw-Return'!W79-Table14[[#This Row],[RF]],"")</f>
        <v>3.0765516037844106E-2</v>
      </c>
      <c r="X78" s="6" t="str">
        <f>IFERROR('raw-Return'!X79-Table14[[#This Row],[RF]],"")</f>
        <v/>
      </c>
      <c r="Y78" s="6">
        <f>IFERROR('raw-Return'!Y79-Table14[[#This Row],[RF]],"")</f>
        <v>1.8796226612321106E-2</v>
      </c>
      <c r="Z78" s="6">
        <f>IFERROR('raw-Return'!Z79-Table14[[#This Row],[RF]],"")</f>
        <v>3.1004815171973007E-2</v>
      </c>
      <c r="AA78" s="6">
        <f>IFERROR('raw-Return'!AA79-Table14[[#This Row],[RF]],"")</f>
        <v>3.7799207544757241E-2</v>
      </c>
      <c r="AB78" s="6">
        <f>IFERROR('raw-Return'!AB79-Table14[[#This Row],[RF]],"")</f>
        <v>3.8471018342084606E-2</v>
      </c>
      <c r="AC78" s="6">
        <f>IFERROR('raw-Return'!AC79-Table14[[#This Row],[RF]],"")</f>
        <v>3.8471018342084606E-2</v>
      </c>
      <c r="AD78" s="6">
        <f>IFERROR('raw-Return'!AD79-Table14[[#This Row],[RF]],"")</f>
        <v>3.9644753255197063E-2</v>
      </c>
      <c r="AE78" s="6">
        <f>IFERROR('raw-Return'!AE79-Table14[[#This Row],[RF]],"")</f>
        <v>7.7216263488585957E-2</v>
      </c>
      <c r="AF78" s="6">
        <f>IFERROR('raw-Return'!AF79-Table14[[#This Row],[RF]],"")</f>
        <v>2.0187976878244415E-2</v>
      </c>
      <c r="AG78" s="6">
        <f>IFERROR('raw-Return'!AG79-Table14[[#This Row],[RF]],"")</f>
        <v>5.9784921919830036E-2</v>
      </c>
      <c r="AH78" s="6">
        <f>IFERROR('raw-Return'!AH79-Table14[[#This Row],[RF]],"")</f>
        <v>3.6538011795154757E-2</v>
      </c>
      <c r="AI78" s="6" t="str">
        <f>IFERROR('raw-Return'!AI79-Table14[[#This Row],[RF]],"")</f>
        <v/>
      </c>
      <c r="AJ78" s="6">
        <f>IFERROR('raw-Return'!AJ79-Table14[[#This Row],[RF]],"")</f>
        <v>3.7591286520585354E-2</v>
      </c>
      <c r="AK78" s="6" t="str">
        <f>IFERROR('raw-Return'!AK79-Table14[[#This Row],[RF]],"")</f>
        <v/>
      </c>
      <c r="AL78" s="6">
        <f>IFERROR('raw-Return'!AL79-Table14[[#This Row],[RF]],"")</f>
        <v>3.9860315705106897E-2</v>
      </c>
      <c r="AM78" s="6">
        <f>IFERROR('raw-Return'!AM79-Table14[[#This Row],[RF]],"")</f>
        <v>3.482235248846538E-2</v>
      </c>
      <c r="AN78" s="6">
        <f>IFERROR('raw-Return'!AN79-Table14[[#This Row],[RF]],"")</f>
        <v>3.7939387451055573E-2</v>
      </c>
      <c r="AO78" s="6" t="str">
        <f>IFERROR('raw-Return'!AO79-Table14[[#This Row],[RF]],"")</f>
        <v/>
      </c>
      <c r="AP78" s="6" t="str">
        <f>IFERROR('raw-Return'!AP79-Table14[[#This Row],[RF]],"")</f>
        <v/>
      </c>
      <c r="AQ78" s="6">
        <f>IFERROR('raw-Return'!AQ79-Table14[[#This Row],[RF]],"")</f>
        <v>4.280068531984188E-2</v>
      </c>
      <c r="AR78" s="6">
        <f>IFERROR('raw-Return'!AR79-Table14[[#This Row],[RF]],"")</f>
        <v>3.4595107319238705E-2</v>
      </c>
      <c r="AS78" s="6">
        <f>IFERROR('raw-Return'!AS79-Table14[[#This Row],[RF]],"")</f>
        <v>3.5299048934303634E-2</v>
      </c>
      <c r="AT78" s="6">
        <f>IFERROR('raw-Return'!AT79-Table14[[#This Row],[RF]],"")</f>
        <v>1.7600000000000001E-2</v>
      </c>
      <c r="AU78" s="6">
        <f>IFERROR('raw-Return'!AU79-Table14[[#This Row],[RF]],"")</f>
        <v>1.7600000000000001E-2</v>
      </c>
      <c r="AV78" s="6">
        <f>IFERROR('raw-Return'!AV79-Table14[[#This Row],[RF]],"")</f>
        <v>1.7600000000000001E-2</v>
      </c>
    </row>
    <row r="79" spans="1:48" x14ac:dyDescent="0.2">
      <c r="A79" s="2">
        <v>41182</v>
      </c>
      <c r="B79" s="6">
        <f>IFERROR('raw-Return'!B80-Table14[[#This Row],[RF]],"")</f>
        <v>-2.8814151187136715E-2</v>
      </c>
      <c r="C79" s="6">
        <f>IFERROR('raw-Return'!C80-Table14[[#This Row],[RF]],"")</f>
        <v>-3.747884461428265E-2</v>
      </c>
      <c r="D79" s="6">
        <f>IFERROR('raw-Return'!D80-Table14[[#This Row],[RF]],"")</f>
        <v>-2.7896129627513543E-2</v>
      </c>
      <c r="E79" s="6" t="str">
        <f>IFERROR('raw-Return'!E80-Table14[[#This Row],[RF]],"")</f>
        <v/>
      </c>
      <c r="F79" s="6">
        <f>IFERROR('raw-Return'!F80-Table14[[#This Row],[RF]],"")</f>
        <v>-2.6336806919761934E-2</v>
      </c>
      <c r="G79" s="6">
        <f>IFERROR('raw-Return'!G80-Table14[[#This Row],[RF]],"")</f>
        <v>-5.2877682356782932E-2</v>
      </c>
      <c r="H79" s="6">
        <f>IFERROR('raw-Return'!H80-Table14[[#This Row],[RF]],"")</f>
        <v>-2.8569194154729576E-3</v>
      </c>
      <c r="I79" s="6">
        <f>IFERROR('raw-Return'!I80-Table14[[#This Row],[RF]],"")</f>
        <v>5.1110521639886504E-3</v>
      </c>
      <c r="J79" s="6">
        <f>IFERROR('raw-Return'!J80-Table14[[#This Row],[RF]],"")</f>
        <v>-1.5620007508324939E-2</v>
      </c>
      <c r="K79" s="6">
        <f>IFERROR('raw-Return'!K80-Table14[[#This Row],[RF]],"")</f>
        <v>8.307484779538233E-3</v>
      </c>
      <c r="L79" s="6">
        <f>IFERROR('raw-Return'!L80-Table14[[#This Row],[RF]],"")</f>
        <v>1.2834806664593679E-2</v>
      </c>
      <c r="M79" s="6">
        <f>IFERROR('raw-Return'!M80-Table14[[#This Row],[RF]],"")</f>
        <v>2.5984849535703909E-3</v>
      </c>
      <c r="N79" s="6">
        <f>IFERROR('raw-Return'!N80-Table14[[#This Row],[RF]],"")</f>
        <v>-2.4174454616129003E-2</v>
      </c>
      <c r="O79" s="6">
        <f>IFERROR('raw-Return'!O80-Table14[[#This Row],[RF]],"")</f>
        <v>-3.2467957278589435E-2</v>
      </c>
      <c r="P79" s="6">
        <f>IFERROR('raw-Return'!P80-Table14[[#This Row],[RF]],"")</f>
        <v>-2.2648137674552992E-2</v>
      </c>
      <c r="Q79" s="6">
        <f>IFERROR('raw-Return'!Q80-Table14[[#This Row],[RF]],"")</f>
        <v>5.6387582432198997E-3</v>
      </c>
      <c r="R79" s="6">
        <f>IFERROR('raw-Return'!R80-Table14[[#This Row],[RF]],"")</f>
        <v>-8.5854932547902926E-4</v>
      </c>
      <c r="S79" s="6">
        <f>IFERROR('raw-Return'!S80-Table14[[#This Row],[RF]],"")</f>
        <v>-2.7728627193844068E-2</v>
      </c>
      <c r="T79" s="6">
        <f>IFERROR('raw-Return'!T80-Table14[[#This Row],[RF]],"")</f>
        <v>1.9327707854987265E-2</v>
      </c>
      <c r="U79" s="6">
        <f>IFERROR('raw-Return'!U80-Table14[[#This Row],[RF]],"")</f>
        <v>-3.8114432592126116E-2</v>
      </c>
      <c r="V79" s="6">
        <f>IFERROR('raw-Return'!V80-Table14[[#This Row],[RF]],"")</f>
        <v>-2.6483133284899717E-2</v>
      </c>
      <c r="W79" s="6">
        <f>IFERROR('raw-Return'!W80-Table14[[#This Row],[RF]],"")</f>
        <v>-8.1004672887493682E-3</v>
      </c>
      <c r="X79" s="6" t="str">
        <f>IFERROR('raw-Return'!X80-Table14[[#This Row],[RF]],"")</f>
        <v/>
      </c>
      <c r="Y79" s="6">
        <f>IFERROR('raw-Return'!Y80-Table14[[#This Row],[RF]],"")</f>
        <v>-2.3506290509415339E-2</v>
      </c>
      <c r="Z79" s="6">
        <f>IFERROR('raw-Return'!Z80-Table14[[#This Row],[RF]],"")</f>
        <v>4.2140692273341281E-3</v>
      </c>
      <c r="AA79" s="6">
        <f>IFERROR('raw-Return'!AA80-Table14[[#This Row],[RF]],"")</f>
        <v>-2.2714758194381061E-3</v>
      </c>
      <c r="AB79" s="6">
        <f>IFERROR('raw-Return'!AB80-Table14[[#This Row],[RF]],"")</f>
        <v>-2.6265933870689533E-3</v>
      </c>
      <c r="AC79" s="6">
        <f>IFERROR('raw-Return'!AC80-Table14[[#This Row],[RF]],"")</f>
        <v>-2.6265933870689533E-3</v>
      </c>
      <c r="AD79" s="6">
        <f>IFERROR('raw-Return'!AD80-Table14[[#This Row],[RF]],"")</f>
        <v>1.0076777554152917E-2</v>
      </c>
      <c r="AE79" s="6">
        <f>IFERROR('raw-Return'!AE80-Table14[[#This Row],[RF]],"")</f>
        <v>-2.7711383365830022E-2</v>
      </c>
      <c r="AF79" s="6">
        <f>IFERROR('raw-Return'!AF80-Table14[[#This Row],[RF]],"")</f>
        <v>-1.6081161064562487E-2</v>
      </c>
      <c r="AG79" s="6">
        <f>IFERROR('raw-Return'!AG80-Table14[[#This Row],[RF]],"")</f>
        <v>3.8289282424498368E-3</v>
      </c>
      <c r="AH79" s="6">
        <f>IFERROR('raw-Return'!AH80-Table14[[#This Row],[RF]],"")</f>
        <v>-2.6176726072794192E-3</v>
      </c>
      <c r="AI79" s="6" t="str">
        <f>IFERROR('raw-Return'!AI80-Table14[[#This Row],[RF]],"")</f>
        <v/>
      </c>
      <c r="AJ79" s="6">
        <f>IFERROR('raw-Return'!AJ80-Table14[[#This Row],[RF]],"")</f>
        <v>-2.9301518238889976E-4</v>
      </c>
      <c r="AK79" s="6" t="str">
        <f>IFERROR('raw-Return'!AK80-Table14[[#This Row],[RF]],"")</f>
        <v/>
      </c>
      <c r="AL79" s="6">
        <f>IFERROR('raw-Return'!AL80-Table14[[#This Row],[RF]],"")</f>
        <v>-1.2351800036927495E-2</v>
      </c>
      <c r="AM79" s="6">
        <f>IFERROR('raw-Return'!AM80-Table14[[#This Row],[RF]],"")</f>
        <v>6.6355798915181848E-3</v>
      </c>
      <c r="AN79" s="6">
        <f>IFERROR('raw-Return'!AN80-Table14[[#This Row],[RF]],"")</f>
        <v>-2.1715495615025719E-3</v>
      </c>
      <c r="AO79" s="6" t="str">
        <f>IFERROR('raw-Return'!AO80-Table14[[#This Row],[RF]],"")</f>
        <v/>
      </c>
      <c r="AP79" s="6" t="str">
        <f>IFERROR('raw-Return'!AP80-Table14[[#This Row],[RF]],"")</f>
        <v/>
      </c>
      <c r="AQ79" s="6">
        <f>IFERROR('raw-Return'!AQ80-Table14[[#This Row],[RF]],"")</f>
        <v>1.0007483618219671E-2</v>
      </c>
      <c r="AR79" s="6">
        <f>IFERROR('raw-Return'!AR80-Table14[[#This Row],[RF]],"")</f>
        <v>-1.3086567009189636E-3</v>
      </c>
      <c r="AS79" s="6">
        <f>IFERROR('raw-Return'!AS80-Table14[[#This Row],[RF]],"")</f>
        <v>-1.9549899537618775E-2</v>
      </c>
      <c r="AT79" s="6">
        <f>IFERROR('raw-Return'!AT80-Table14[[#This Row],[RF]],"")</f>
        <v>-2.7300000000000001E-2</v>
      </c>
      <c r="AU79" s="6">
        <f>IFERROR('raw-Return'!AU80-Table14[[#This Row],[RF]],"")</f>
        <v>-2.7300000000000001E-2</v>
      </c>
      <c r="AV79" s="6">
        <f>IFERROR('raw-Return'!AV80-Table14[[#This Row],[RF]],"")</f>
        <v>-2.7300000000000001E-2</v>
      </c>
    </row>
    <row r="80" spans="1:48" x14ac:dyDescent="0.2">
      <c r="A80" s="2">
        <v>41152</v>
      </c>
      <c r="B80" s="6">
        <f>IFERROR('raw-Return'!B81-Table14[[#This Row],[RF]],"")</f>
        <v>-1.0054699015874444E-2</v>
      </c>
      <c r="C80" s="6">
        <f>IFERROR('raw-Return'!C81-Table14[[#This Row],[RF]],"")</f>
        <v>1.4277985297244635E-2</v>
      </c>
      <c r="D80" s="6">
        <f>IFERROR('raw-Return'!D81-Table14[[#This Row],[RF]],"")</f>
        <v>-1.5508287717706546E-2</v>
      </c>
      <c r="E80" s="6" t="str">
        <f>IFERROR('raw-Return'!E81-Table14[[#This Row],[RF]],"")</f>
        <v/>
      </c>
      <c r="F80" s="6">
        <f>IFERROR('raw-Return'!F81-Table14[[#This Row],[RF]],"")</f>
        <v>-2.1879169049062428E-2</v>
      </c>
      <c r="G80" s="6">
        <f>IFERROR('raw-Return'!G81-Table14[[#This Row],[RF]],"")</f>
        <v>3.2686727566964752E-2</v>
      </c>
      <c r="H80" s="6">
        <f>IFERROR('raw-Return'!H81-Table14[[#This Row],[RF]],"")</f>
        <v>-1.1150721599251154E-2</v>
      </c>
      <c r="I80" s="6">
        <f>IFERROR('raw-Return'!I81-Table14[[#This Row],[RF]],"")</f>
        <v>-7.9780628314242465E-3</v>
      </c>
      <c r="J80" s="6">
        <f>IFERROR('raw-Return'!J81-Table14[[#This Row],[RF]],"")</f>
        <v>-1.1161389539161935E-2</v>
      </c>
      <c r="K80" s="6">
        <f>IFERROR('raw-Return'!K81-Table14[[#This Row],[RF]],"")</f>
        <v>-3.5486115125833023E-2</v>
      </c>
      <c r="L80" s="6">
        <f>IFERROR('raw-Return'!L81-Table14[[#This Row],[RF]],"")</f>
        <v>-3.8852474578083968E-2</v>
      </c>
      <c r="M80" s="6">
        <f>IFERROR('raw-Return'!M81-Table14[[#This Row],[RF]],"")</f>
        <v>-2.9772339424743031E-2</v>
      </c>
      <c r="N80" s="6">
        <f>IFERROR('raw-Return'!N81-Table14[[#This Row],[RF]],"")</f>
        <v>-4.7607375631612305E-3</v>
      </c>
      <c r="O80" s="6">
        <f>IFERROR('raw-Return'!O81-Table14[[#This Row],[RF]],"")</f>
        <v>2.4977535462436719E-2</v>
      </c>
      <c r="P80" s="6">
        <f>IFERROR('raw-Return'!P81-Table14[[#This Row],[RF]],"")</f>
        <v>-1.8310514493055905E-2</v>
      </c>
      <c r="Q80" s="6">
        <f>IFERROR('raw-Return'!Q81-Table14[[#This Row],[RF]],"")</f>
        <v>-2.2932747811896723E-2</v>
      </c>
      <c r="R80" s="6">
        <f>IFERROR('raw-Return'!R81-Table14[[#This Row],[RF]],"")</f>
        <v>-2.0764484413938886E-2</v>
      </c>
      <c r="S80" s="6">
        <f>IFERROR('raw-Return'!S81-Table14[[#This Row],[RF]],"")</f>
        <v>-1.8701868439812728E-2</v>
      </c>
      <c r="T80" s="6">
        <f>IFERROR('raw-Return'!T81-Table14[[#This Row],[RF]],"")</f>
        <v>-2.2234347783556405E-2</v>
      </c>
      <c r="U80" s="6">
        <f>IFERROR('raw-Return'!U81-Table14[[#This Row],[RF]],"")</f>
        <v>3.5538619042202145E-3</v>
      </c>
      <c r="V80" s="6">
        <f>IFERROR('raw-Return'!V81-Table14[[#This Row],[RF]],"")</f>
        <v>-2.4367470765706587E-2</v>
      </c>
      <c r="W80" s="6">
        <f>IFERROR('raw-Return'!W81-Table14[[#This Row],[RF]],"")</f>
        <v>-6.0481773077178148E-3</v>
      </c>
      <c r="X80" s="6" t="str">
        <f>IFERROR('raw-Return'!X81-Table14[[#This Row],[RF]],"")</f>
        <v/>
      </c>
      <c r="Y80" s="6">
        <f>IFERROR('raw-Return'!Y81-Table14[[#This Row],[RF]],"")</f>
        <v>-2.0329138795483512E-2</v>
      </c>
      <c r="Z80" s="6">
        <f>IFERROR('raw-Return'!Z81-Table14[[#This Row],[RF]],"")</f>
        <v>3.7980052092595161E-3</v>
      </c>
      <c r="AA80" s="6">
        <f>IFERROR('raw-Return'!AA81-Table14[[#This Row],[RF]],"")</f>
        <v>-1.766443675009258E-2</v>
      </c>
      <c r="AB80" s="6">
        <f>IFERROR('raw-Return'!AB81-Table14[[#This Row],[RF]],"")</f>
        <v>-1.3288025610911944E-2</v>
      </c>
      <c r="AC80" s="6">
        <f>IFERROR('raw-Return'!AC81-Table14[[#This Row],[RF]],"")</f>
        <v>-1.3288025610911944E-2</v>
      </c>
      <c r="AD80" s="6">
        <f>IFERROR('raw-Return'!AD81-Table14[[#This Row],[RF]],"")</f>
        <v>-3.2766798996480856E-2</v>
      </c>
      <c r="AE80" s="6">
        <f>IFERROR('raw-Return'!AE81-Table14[[#This Row],[RF]],"")</f>
        <v>1.9452348649356157E-2</v>
      </c>
      <c r="AF80" s="6">
        <f>IFERROR('raw-Return'!AF81-Table14[[#This Row],[RF]],"")</f>
        <v>-3.4574030329100031E-2</v>
      </c>
      <c r="AG80" s="6">
        <f>IFERROR('raw-Return'!AG81-Table14[[#This Row],[RF]],"")</f>
        <v>-2.5499999999999998E-2</v>
      </c>
      <c r="AH80" s="6">
        <f>IFERROR('raw-Return'!AH81-Table14[[#This Row],[RF]],"")</f>
        <v>-1.8254143601650261E-2</v>
      </c>
      <c r="AI80" s="6" t="str">
        <f>IFERROR('raw-Return'!AI81-Table14[[#This Row],[RF]],"")</f>
        <v/>
      </c>
      <c r="AJ80" s="6">
        <f>IFERROR('raw-Return'!AJ81-Table14[[#This Row],[RF]],"")</f>
        <v>-1.6689289523120019E-2</v>
      </c>
      <c r="AK80" s="6" t="str">
        <f>IFERROR('raw-Return'!AK81-Table14[[#This Row],[RF]],"")</f>
        <v/>
      </c>
      <c r="AL80" s="6">
        <f>IFERROR('raw-Return'!AL81-Table14[[#This Row],[RF]],"")</f>
        <v>-1.3791719742034889E-2</v>
      </c>
      <c r="AM80" s="6">
        <f>IFERROR('raw-Return'!AM81-Table14[[#This Row],[RF]],"")</f>
        <v>-1.321291501867897E-2</v>
      </c>
      <c r="AN80" s="6">
        <f>IFERROR('raw-Return'!AN81-Table14[[#This Row],[RF]],"")</f>
        <v>-1.4211959467663658E-2</v>
      </c>
      <c r="AO80" s="6" t="str">
        <f>IFERROR('raw-Return'!AO81-Table14[[#This Row],[RF]],"")</f>
        <v/>
      </c>
      <c r="AP80" s="6" t="str">
        <f>IFERROR('raw-Return'!AP81-Table14[[#This Row],[RF]],"")</f>
        <v/>
      </c>
      <c r="AQ80" s="6">
        <f>IFERROR('raw-Return'!AQ81-Table14[[#This Row],[RF]],"")</f>
        <v>-3.2785723325073263E-2</v>
      </c>
      <c r="AR80" s="6">
        <f>IFERROR('raw-Return'!AR81-Table14[[#This Row],[RF]],"")</f>
        <v>-2.2392083714878473E-2</v>
      </c>
      <c r="AS80" s="6">
        <f>IFERROR('raw-Return'!AS81-Table14[[#This Row],[RF]],"")</f>
        <v>-4.1381162689301566E-3</v>
      </c>
      <c r="AT80" s="6">
        <f>IFERROR('raw-Return'!AT81-Table14[[#This Row],[RF]],"")</f>
        <v>-2.5499999999999998E-2</v>
      </c>
      <c r="AU80" s="6">
        <f>IFERROR('raw-Return'!AU81-Table14[[#This Row],[RF]],"")</f>
        <v>-2.5499999999999998E-2</v>
      </c>
      <c r="AV80" s="6">
        <f>IFERROR('raw-Return'!AV81-Table14[[#This Row],[RF]],"")</f>
        <v>-2.5499999999999998E-2</v>
      </c>
    </row>
    <row r="81" spans="1:48" x14ac:dyDescent="0.2">
      <c r="A81" s="2">
        <v>41121</v>
      </c>
      <c r="B81" s="6">
        <f>IFERROR('raw-Return'!B82-Table14[[#This Row],[RF]],"")</f>
        <v>-9.727175313071084E-3</v>
      </c>
      <c r="C81" s="6">
        <f>IFERROR('raw-Return'!C82-Table14[[#This Row],[RF]],"")</f>
        <v>-1.5507948143921074E-2</v>
      </c>
      <c r="D81" s="6">
        <f>IFERROR('raw-Return'!D82-Table14[[#This Row],[RF]],"")</f>
        <v>-9.3679224743829885E-3</v>
      </c>
      <c r="E81" s="6" t="str">
        <f>IFERROR('raw-Return'!E82-Table14[[#This Row],[RF]],"")</f>
        <v/>
      </c>
      <c r="F81" s="6">
        <f>IFERROR('raw-Return'!F82-Table14[[#This Row],[RF]],"")</f>
        <v>-8.5976232895820064E-3</v>
      </c>
      <c r="G81" s="6">
        <f>IFERROR('raw-Return'!G82-Table14[[#This Row],[RF]],"")</f>
        <v>-3.6633277139608164E-2</v>
      </c>
      <c r="H81" s="6">
        <f>IFERROR('raw-Return'!H82-Table14[[#This Row],[RF]],"")</f>
        <v>2.9196814231786012E-2</v>
      </c>
      <c r="I81" s="6">
        <f>IFERROR('raw-Return'!I82-Table14[[#This Row],[RF]],"")</f>
        <v>2.1680669146419102E-2</v>
      </c>
      <c r="J81" s="6">
        <f>IFERROR('raw-Return'!J82-Table14[[#This Row],[RF]],"")</f>
        <v>3.3937733459680666E-2</v>
      </c>
      <c r="K81" s="6">
        <f>IFERROR('raw-Return'!K82-Table14[[#This Row],[RF]],"")</f>
        <v>3.8308436581174568E-2</v>
      </c>
      <c r="L81" s="6">
        <f>IFERROR('raw-Return'!L82-Table14[[#This Row],[RF]],"")</f>
        <v>4.0676477331373709E-2</v>
      </c>
      <c r="M81" s="6">
        <f>IFERROR('raw-Return'!M82-Table14[[#This Row],[RF]],"")</f>
        <v>3.6841200203367577E-2</v>
      </c>
      <c r="N81" s="6">
        <f>IFERROR('raw-Return'!N82-Table14[[#This Row],[RF]],"")</f>
        <v>-3.3752470088628077E-3</v>
      </c>
      <c r="O81" s="6">
        <f>IFERROR('raw-Return'!O82-Table14[[#This Row],[RF]],"")</f>
        <v>-1.8672844271392201E-3</v>
      </c>
      <c r="P81" s="6">
        <f>IFERROR('raw-Return'!P82-Table14[[#This Row],[RF]],"")</f>
        <v>-5.2807054336110153E-3</v>
      </c>
      <c r="Q81" s="6">
        <f>IFERROR('raw-Return'!Q82-Table14[[#This Row],[RF]],"")</f>
        <v>6.1970761068436589E-2</v>
      </c>
      <c r="R81" s="6">
        <f>IFERROR('raw-Return'!R82-Table14[[#This Row],[RF]],"")</f>
        <v>5.739601859948619E-2</v>
      </c>
      <c r="S81" s="6">
        <f>IFERROR('raw-Return'!S82-Table14[[#This Row],[RF]],"")</f>
        <v>-1.0544337309961387E-2</v>
      </c>
      <c r="T81" s="6">
        <f>IFERROR('raw-Return'!T82-Table14[[#This Row],[RF]],"")</f>
        <v>7.4931590663933414E-2</v>
      </c>
      <c r="U81" s="6">
        <f>IFERROR('raw-Return'!U82-Table14[[#This Row],[RF]],"")</f>
        <v>-2.5319913120801379E-2</v>
      </c>
      <c r="V81" s="6">
        <f>IFERROR('raw-Return'!V82-Table14[[#This Row],[RF]],"")</f>
        <v>-8.6636847633980545E-3</v>
      </c>
      <c r="W81" s="6">
        <f>IFERROR('raw-Return'!W82-Table14[[#This Row],[RF]],"")</f>
        <v>8.2455765274911559E-3</v>
      </c>
      <c r="X81" s="6" t="str">
        <f>IFERROR('raw-Return'!X82-Table14[[#This Row],[RF]],"")</f>
        <v/>
      </c>
      <c r="Y81" s="6">
        <f>IFERROR('raw-Return'!Y82-Table14[[#This Row],[RF]],"")</f>
        <v>-5.7477785877328817E-3</v>
      </c>
      <c r="Z81" s="6">
        <f>IFERROR('raw-Return'!Z82-Table14[[#This Row],[RF]],"")</f>
        <v>7.0572316702349328E-2</v>
      </c>
      <c r="AA81" s="6">
        <f>IFERROR('raw-Return'!AA82-Table14[[#This Row],[RF]],"")</f>
        <v>2.5775691738260349E-2</v>
      </c>
      <c r="AB81" s="6">
        <f>IFERROR('raw-Return'!AB82-Table14[[#This Row],[RF]],"")</f>
        <v>2.7974531206935067E-2</v>
      </c>
      <c r="AC81" s="6">
        <f>IFERROR('raw-Return'!AC82-Table14[[#This Row],[RF]],"")</f>
        <v>2.7974531206935067E-2</v>
      </c>
      <c r="AD81" s="6">
        <f>IFERROR('raw-Return'!AD82-Table14[[#This Row],[RF]],"")</f>
        <v>7.4057377786121044E-3</v>
      </c>
      <c r="AE81" s="6">
        <f>IFERROR('raw-Return'!AE82-Table14[[#This Row],[RF]],"")</f>
        <v>4.8998359982213038E-2</v>
      </c>
      <c r="AF81" s="6">
        <f>IFERROR('raw-Return'!AF82-Table14[[#This Row],[RF]],"")</f>
        <v>5.8871437893570647E-2</v>
      </c>
      <c r="AG81" s="6">
        <f>IFERROR('raw-Return'!AG82-Table14[[#This Row],[RF]],"")</f>
        <v>3.3897962475109469E-2</v>
      </c>
      <c r="AH81" s="6">
        <f>IFERROR('raw-Return'!AH82-Table14[[#This Row],[RF]],"")</f>
        <v>4.3404220121990203E-2</v>
      </c>
      <c r="AI81" s="6" t="str">
        <f>IFERROR('raw-Return'!AI82-Table14[[#This Row],[RF]],"")</f>
        <v/>
      </c>
      <c r="AJ81" s="6">
        <f>IFERROR('raw-Return'!AJ82-Table14[[#This Row],[RF]],"")</f>
        <v>2.7200634839635657E-2</v>
      </c>
      <c r="AK81" s="6" t="str">
        <f>IFERROR('raw-Return'!AK82-Table14[[#This Row],[RF]],"")</f>
        <v/>
      </c>
      <c r="AL81" s="6">
        <f>IFERROR('raw-Return'!AL82-Table14[[#This Row],[RF]],"")</f>
        <v>3.2631901576780878E-2</v>
      </c>
      <c r="AM81" s="6">
        <f>IFERROR('raw-Return'!AM82-Table14[[#This Row],[RF]],"")</f>
        <v>1.7715047683048563E-2</v>
      </c>
      <c r="AN81" s="6">
        <f>IFERROR('raw-Return'!AN82-Table14[[#This Row],[RF]],"")</f>
        <v>2.5193383469429138E-2</v>
      </c>
      <c r="AO81" s="6" t="str">
        <f>IFERROR('raw-Return'!AO82-Table14[[#This Row],[RF]],"")</f>
        <v/>
      </c>
      <c r="AP81" s="6" t="str">
        <f>IFERROR('raw-Return'!AP82-Table14[[#This Row],[RF]],"")</f>
        <v/>
      </c>
      <c r="AQ81" s="6">
        <f>IFERROR('raw-Return'!AQ82-Table14[[#This Row],[RF]],"")</f>
        <v>2.3532402154566662E-2</v>
      </c>
      <c r="AR81" s="6">
        <f>IFERROR('raw-Return'!AR82-Table14[[#This Row],[RF]],"")</f>
        <v>5.180953177421134E-2</v>
      </c>
      <c r="AS81" s="6">
        <f>IFERROR('raw-Return'!AS82-Table14[[#This Row],[RF]],"")</f>
        <v>3.3610360166538303E-2</v>
      </c>
      <c r="AT81" s="6">
        <f>IFERROR('raw-Return'!AT82-Table14[[#This Row],[RF]],"")</f>
        <v>-7.9000000000000008E-3</v>
      </c>
      <c r="AU81" s="6">
        <f>IFERROR('raw-Return'!AU82-Table14[[#This Row],[RF]],"")</f>
        <v>-7.9000000000000008E-3</v>
      </c>
      <c r="AV81" s="6">
        <f>IFERROR('raw-Return'!AV82-Table14[[#This Row],[RF]],"")</f>
        <v>-7.9000000000000008E-3</v>
      </c>
    </row>
    <row r="82" spans="1:48" x14ac:dyDescent="0.2">
      <c r="A82" s="2">
        <v>41090</v>
      </c>
      <c r="B82" s="6">
        <f>IFERROR('raw-Return'!B83-Table14[[#This Row],[RF]],"")</f>
        <v>-2.6665249239487723E-2</v>
      </c>
      <c r="C82" s="6">
        <f>IFERROR('raw-Return'!C83-Table14[[#This Row],[RF]],"")</f>
        <v>6.9620708878318921E-3</v>
      </c>
      <c r="D82" s="6">
        <f>IFERROR('raw-Return'!D83-Table14[[#This Row],[RF]],"")</f>
        <v>-3.1804069328200749E-2</v>
      </c>
      <c r="E82" s="6" t="str">
        <f>IFERROR('raw-Return'!E83-Table14[[#This Row],[RF]],"")</f>
        <v/>
      </c>
      <c r="F82" s="6">
        <f>IFERROR('raw-Return'!F83-Table14[[#This Row],[RF]],"")</f>
        <v>-3.8884973283853722E-2</v>
      </c>
      <c r="G82" s="6">
        <f>IFERROR('raw-Return'!G83-Table14[[#This Row],[RF]],"")</f>
        <v>0.10161324665269748</v>
      </c>
      <c r="H82" s="6">
        <f>IFERROR('raw-Return'!H83-Table14[[#This Row],[RF]],"")</f>
        <v>-9.8431067903083605E-2</v>
      </c>
      <c r="I82" s="6">
        <f>IFERROR('raw-Return'!I83-Table14[[#This Row],[RF]],"")</f>
        <v>-0.10050691003142416</v>
      </c>
      <c r="J82" s="6">
        <f>IFERROR('raw-Return'!J83-Table14[[#This Row],[RF]],"")</f>
        <v>-9.3823782130293035E-2</v>
      </c>
      <c r="K82" s="6">
        <f>IFERROR('raw-Return'!K83-Table14[[#This Row],[RF]],"")</f>
        <v>-0.10615529136601783</v>
      </c>
      <c r="L82" s="6">
        <f>IFERROR('raw-Return'!L83-Table14[[#This Row],[RF]],"")</f>
        <v>-0.11092983183526013</v>
      </c>
      <c r="M82" s="6">
        <f>IFERROR('raw-Return'!M83-Table14[[#This Row],[RF]],"")</f>
        <v>-0.10207092523265089</v>
      </c>
      <c r="N82" s="6">
        <f>IFERROR('raw-Return'!N83-Table14[[#This Row],[RF]],"")</f>
        <v>-3.7680179636400205E-2</v>
      </c>
      <c r="O82" s="6">
        <f>IFERROR('raw-Return'!O83-Table14[[#This Row],[RF]],"")</f>
        <v>-1.3450306544563542E-2</v>
      </c>
      <c r="P82" s="6">
        <f>IFERROR('raw-Return'!P83-Table14[[#This Row],[RF]],"")</f>
        <v>-4.2371223332619293E-2</v>
      </c>
      <c r="Q82" s="6">
        <f>IFERROR('raw-Return'!Q83-Table14[[#This Row],[RF]],"")</f>
        <v>-0.15067642547691468</v>
      </c>
      <c r="R82" s="6">
        <f>IFERROR('raw-Return'!R83-Table14[[#This Row],[RF]],"")</f>
        <v>-0.15281634763793589</v>
      </c>
      <c r="S82" s="6">
        <f>IFERROR('raw-Return'!S83-Table14[[#This Row],[RF]],"")</f>
        <v>-2.8422427988677626E-2</v>
      </c>
      <c r="T82" s="6">
        <f>IFERROR('raw-Return'!T83-Table14[[#This Row],[RF]],"")</f>
        <v>-0.15864534850911066</v>
      </c>
      <c r="U82" s="6">
        <f>IFERROR('raw-Return'!U83-Table14[[#This Row],[RF]],"")</f>
        <v>3.7480143946069175E-2</v>
      </c>
      <c r="V82" s="6">
        <f>IFERROR('raw-Return'!V83-Table14[[#This Row],[RF]],"")</f>
        <v>-3.8965454409445391E-2</v>
      </c>
      <c r="W82" s="6">
        <f>IFERROR('raw-Return'!W83-Table14[[#This Row],[RF]],"")</f>
        <v>-8.2699184428388597E-2</v>
      </c>
      <c r="X82" s="6" t="str">
        <f>IFERROR('raw-Return'!X83-Table14[[#This Row],[RF]],"")</f>
        <v/>
      </c>
      <c r="Y82" s="6">
        <f>IFERROR('raw-Return'!Y83-Table14[[#This Row],[RF]],"")</f>
        <v>-3.7324331573108063E-2</v>
      </c>
      <c r="Z82" s="6">
        <f>IFERROR('raw-Return'!Z83-Table14[[#This Row],[RF]],"")</f>
        <v>-0.11337587589289096</v>
      </c>
      <c r="AA82" s="6">
        <f>IFERROR('raw-Return'!AA83-Table14[[#This Row],[RF]],"")</f>
        <v>-0.10640955545601889</v>
      </c>
      <c r="AB82" s="6">
        <f>IFERROR('raw-Return'!AB83-Table14[[#This Row],[RF]],"")</f>
        <v>-9.8680743053936218E-2</v>
      </c>
      <c r="AC82" s="6">
        <f>IFERROR('raw-Return'!AC83-Table14[[#This Row],[RF]],"")</f>
        <v>-9.8680743053936218E-2</v>
      </c>
      <c r="AD82" s="6">
        <f>IFERROR('raw-Return'!AD83-Table14[[#This Row],[RF]],"")</f>
        <v>-0.11419428374983116</v>
      </c>
      <c r="AE82" s="6">
        <f>IFERROR('raw-Return'!AE83-Table14[[#This Row],[RF]],"")</f>
        <v>-4.8312482547675686E-2</v>
      </c>
      <c r="AF82" s="6">
        <f>IFERROR('raw-Return'!AF83-Table14[[#This Row],[RF]],"")</f>
        <v>-0.13442843493875339</v>
      </c>
      <c r="AG82" s="6">
        <f>IFERROR('raw-Return'!AG83-Table14[[#This Row],[RF]],"")</f>
        <v>-0.14873189893947808</v>
      </c>
      <c r="AH82" s="6">
        <f>IFERROR('raw-Return'!AH83-Table14[[#This Row],[RF]],"")</f>
        <v>-0.1281801776375357</v>
      </c>
      <c r="AI82" s="6" t="str">
        <f>IFERROR('raw-Return'!AI83-Table14[[#This Row],[RF]],"")</f>
        <v/>
      </c>
      <c r="AJ82" s="6">
        <f>IFERROR('raw-Return'!AJ83-Table14[[#This Row],[RF]],"")</f>
        <v>-0.10111741261935799</v>
      </c>
      <c r="AK82" s="6" t="str">
        <f>IFERROR('raw-Return'!AK83-Table14[[#This Row],[RF]],"")</f>
        <v/>
      </c>
      <c r="AL82" s="6">
        <f>IFERROR('raw-Return'!AL83-Table14[[#This Row],[RF]],"")</f>
        <v>-9.8158988367099978E-2</v>
      </c>
      <c r="AM82" s="6">
        <f>IFERROR('raw-Return'!AM83-Table14[[#This Row],[RF]],"")</f>
        <v>-0.10176146835331419</v>
      </c>
      <c r="AN82" s="6">
        <f>IFERROR('raw-Return'!AN83-Table14[[#This Row],[RF]],"")</f>
        <v>-0.10041422981448218</v>
      </c>
      <c r="AO82" s="6" t="str">
        <f>IFERROR('raw-Return'!AO83-Table14[[#This Row],[RF]],"")</f>
        <v/>
      </c>
      <c r="AP82" s="6" t="str">
        <f>IFERROR('raw-Return'!AP83-Table14[[#This Row],[RF]],"")</f>
        <v/>
      </c>
      <c r="AQ82" s="6">
        <f>IFERROR('raw-Return'!AQ83-Table14[[#This Row],[RF]],"")</f>
        <v>-0.10909165244629722</v>
      </c>
      <c r="AR82" s="6">
        <f>IFERROR('raw-Return'!AR83-Table14[[#This Row],[RF]],"")</f>
        <v>-0.14718304900962637</v>
      </c>
      <c r="AS82" s="6">
        <f>IFERROR('raw-Return'!AS83-Table14[[#This Row],[RF]],"")</f>
        <v>-8.5418826945968432E-2</v>
      </c>
      <c r="AT82" s="6">
        <f>IFERROR('raw-Return'!AT83-Table14[[#This Row],[RF]],"")</f>
        <v>-3.8900000000000004E-2</v>
      </c>
      <c r="AU82" s="6">
        <f>IFERROR('raw-Return'!AU83-Table14[[#This Row],[RF]],"")</f>
        <v>-3.8900000000000004E-2</v>
      </c>
      <c r="AV82" s="6">
        <f>IFERROR('raw-Return'!AV83-Table14[[#This Row],[RF]],"")</f>
        <v>-3.8900000000000004E-2</v>
      </c>
    </row>
    <row r="83" spans="1:48" x14ac:dyDescent="0.2">
      <c r="A83" s="2">
        <v>41060</v>
      </c>
      <c r="B83" s="6">
        <f>IFERROR('raw-Return'!B84-Table14[[#This Row],[RF]],"")</f>
        <v>7.2671808044179664E-2</v>
      </c>
      <c r="C83" s="6">
        <f>IFERROR('raw-Return'!C84-Table14[[#This Row],[RF]],"")</f>
        <v>9.0845706793787284E-2</v>
      </c>
      <c r="D83" s="6">
        <f>IFERROR('raw-Return'!D84-Table14[[#This Row],[RF]],"")</f>
        <v>6.9551175557736211E-2</v>
      </c>
      <c r="E83" s="6" t="str">
        <f>IFERROR('raw-Return'!E84-Table14[[#This Row],[RF]],"")</f>
        <v/>
      </c>
      <c r="F83" s="6">
        <f>IFERROR('raw-Return'!F84-Table14[[#This Row],[RF]],"")</f>
        <v>6.490102006515247E-2</v>
      </c>
      <c r="G83" s="6">
        <f>IFERROR('raw-Return'!G84-Table14[[#This Row],[RF]],"")</f>
        <v>0.12921424280463917</v>
      </c>
      <c r="H83" s="6">
        <f>IFERROR('raw-Return'!H84-Table14[[#This Row],[RF]],"")</f>
        <v>5.6192376086798994E-2</v>
      </c>
      <c r="I83" s="6">
        <f>IFERROR('raw-Return'!I84-Table14[[#This Row],[RF]],"")</f>
        <v>5.8797715608674798E-2</v>
      </c>
      <c r="J83" s="6">
        <f>IFERROR('raw-Return'!J84-Table14[[#This Row],[RF]],"")</f>
        <v>4.9390442547334094E-2</v>
      </c>
      <c r="K83" s="6">
        <f>IFERROR('raw-Return'!K84-Table14[[#This Row],[RF]],"")</f>
        <v>5.1744162749997651E-2</v>
      </c>
      <c r="L83" s="6">
        <f>IFERROR('raw-Return'!L84-Table14[[#This Row],[RF]],"")</f>
        <v>5.2006363549794425E-2</v>
      </c>
      <c r="M83" s="6">
        <f>IFERROR('raw-Return'!M84-Table14[[#This Row],[RF]],"")</f>
        <v>5.1993339122863351E-2</v>
      </c>
      <c r="N83" s="6">
        <f>IFERROR('raw-Return'!N84-Table14[[#This Row],[RF]],"")</f>
        <v>7.3572511977593569E-2</v>
      </c>
      <c r="O83" s="6">
        <f>IFERROR('raw-Return'!O84-Table14[[#This Row],[RF]],"")</f>
        <v>8.0203202998743339E-2</v>
      </c>
      <c r="P83" s="6">
        <f>IFERROR('raw-Return'!P84-Table14[[#This Row],[RF]],"")</f>
        <v>6.4246698477271325E-2</v>
      </c>
      <c r="Q83" s="6">
        <f>IFERROR('raw-Return'!Q84-Table14[[#This Row],[RF]],"")</f>
        <v>3.815594284641282E-2</v>
      </c>
      <c r="R83" s="6">
        <f>IFERROR('raw-Return'!R84-Table14[[#This Row],[RF]],"")</f>
        <v>4.3683171872314568E-2</v>
      </c>
      <c r="S83" s="6">
        <f>IFERROR('raw-Return'!S84-Table14[[#This Row],[RF]],"")</f>
        <v>7.7483065089090475E-2</v>
      </c>
      <c r="T83" s="6">
        <f>IFERROR('raw-Return'!T84-Table14[[#This Row],[RF]],"")</f>
        <v>3.6775706182822825E-2</v>
      </c>
      <c r="U83" s="6">
        <f>IFERROR('raw-Return'!U84-Table14[[#This Row],[RF]],"")</f>
        <v>0.10626432949138492</v>
      </c>
      <c r="V83" s="6">
        <f>IFERROR('raw-Return'!V84-Table14[[#This Row],[RF]],"")</f>
        <v>6.3524559087565435E-2</v>
      </c>
      <c r="W83" s="6">
        <f>IFERROR('raw-Return'!W84-Table14[[#This Row],[RF]],"")</f>
        <v>5.8457690662178811E-2</v>
      </c>
      <c r="X83" s="6" t="str">
        <f>IFERROR('raw-Return'!X84-Table14[[#This Row],[RF]],"")</f>
        <v/>
      </c>
      <c r="Y83" s="6">
        <f>IFERROR('raw-Return'!Y84-Table14[[#This Row],[RF]],"")</f>
        <v>6.7135062095875442E-2</v>
      </c>
      <c r="Z83" s="6">
        <f>IFERROR('raw-Return'!Z84-Table14[[#This Row],[RF]],"")</f>
        <v>8.0559546031879037E-2</v>
      </c>
      <c r="AA83" s="6">
        <f>IFERROR('raw-Return'!AA84-Table14[[#This Row],[RF]],"")</f>
        <v>5.420516755960552E-2</v>
      </c>
      <c r="AB83" s="6">
        <f>IFERROR('raw-Return'!AB84-Table14[[#This Row],[RF]],"")</f>
        <v>5.5291715626271491E-2</v>
      </c>
      <c r="AC83" s="6">
        <f>IFERROR('raw-Return'!AC84-Table14[[#This Row],[RF]],"")</f>
        <v>5.5291715626271491E-2</v>
      </c>
      <c r="AD83" s="6">
        <f>IFERROR('raw-Return'!AD84-Table14[[#This Row],[RF]],"")</f>
        <v>5.6706391009081307E-2</v>
      </c>
      <c r="AE83" s="6">
        <f>IFERROR('raw-Return'!AE84-Table14[[#This Row],[RF]],"")</f>
        <v>5.8201171347014462E-2</v>
      </c>
      <c r="AF83" s="6">
        <f>IFERROR('raw-Return'!AF84-Table14[[#This Row],[RF]],"")</f>
        <v>3.9537775359227249E-2</v>
      </c>
      <c r="AG83" s="6">
        <f>IFERROR('raw-Return'!AG84-Table14[[#This Row],[RF]],"")</f>
        <v>4.8165592937656813E-2</v>
      </c>
      <c r="AH83" s="6">
        <f>IFERROR('raw-Return'!AH84-Table14[[#This Row],[RF]],"")</f>
        <v>5.0102671992144514E-2</v>
      </c>
      <c r="AI83" s="6" t="str">
        <f>IFERROR('raw-Return'!AI84-Table14[[#This Row],[RF]],"")</f>
        <v/>
      </c>
      <c r="AJ83" s="6">
        <f>IFERROR('raw-Return'!AJ84-Table14[[#This Row],[RF]],"")</f>
        <v>5.5486457041633401E-2</v>
      </c>
      <c r="AK83" s="6" t="str">
        <f>IFERROR('raw-Return'!AK84-Table14[[#This Row],[RF]],"")</f>
        <v/>
      </c>
      <c r="AL83" s="6">
        <f>IFERROR('raw-Return'!AL84-Table14[[#This Row],[RF]],"")</f>
        <v>5.2742462581597142E-2</v>
      </c>
      <c r="AM83" s="6">
        <f>IFERROR('raw-Return'!AM84-Table14[[#This Row],[RF]],"")</f>
        <v>5.8900819649147333E-2</v>
      </c>
      <c r="AN83" s="6">
        <f>IFERROR('raw-Return'!AN84-Table14[[#This Row],[RF]],"")</f>
        <v>5.6084060183521571E-2</v>
      </c>
      <c r="AO83" s="6" t="str">
        <f>IFERROR('raw-Return'!AO84-Table14[[#This Row],[RF]],"")</f>
        <v/>
      </c>
      <c r="AP83" s="6" t="str">
        <f>IFERROR('raw-Return'!AP84-Table14[[#This Row],[RF]],"")</f>
        <v/>
      </c>
      <c r="AQ83" s="6">
        <f>IFERROR('raw-Return'!AQ84-Table14[[#This Row],[RF]],"")</f>
        <v>5.3260175415181958E-2</v>
      </c>
      <c r="AR83" s="6">
        <f>IFERROR('raw-Return'!AR84-Table14[[#This Row],[RF]],"")</f>
        <v>4.1129966785647003E-2</v>
      </c>
      <c r="AS83" s="6">
        <f>IFERROR('raw-Return'!AS84-Table14[[#This Row],[RF]],"")</f>
        <v>6.1696970737375949E-2</v>
      </c>
      <c r="AT83" s="6">
        <f>IFERROR('raw-Return'!AT84-Table14[[#This Row],[RF]],"")</f>
        <v>6.1900000000000004E-2</v>
      </c>
      <c r="AU83" s="6">
        <f>IFERROR('raw-Return'!AU84-Table14[[#This Row],[RF]],"")</f>
        <v>6.1900000000000004E-2</v>
      </c>
      <c r="AV83" s="6">
        <f>IFERROR('raw-Return'!AV84-Table14[[#This Row],[RF]],"")</f>
        <v>6.1900000000000004E-2</v>
      </c>
    </row>
    <row r="84" spans="1:48" x14ac:dyDescent="0.2">
      <c r="A84" s="2">
        <v>41029</v>
      </c>
      <c r="B84" s="6">
        <f>IFERROR('raw-Return'!B85-Table14[[#This Row],[RF]],"")</f>
        <v>-3.9089875839713531E-3</v>
      </c>
      <c r="C84" s="6">
        <f>IFERROR('raw-Return'!C85-Table14[[#This Row],[RF]],"")</f>
        <v>-2.3600376585284862E-2</v>
      </c>
      <c r="D84" s="6">
        <f>IFERROR('raw-Return'!D85-Table14[[#This Row],[RF]],"")</f>
        <v>1.0486142081414448E-3</v>
      </c>
      <c r="E84" s="6" t="str">
        <f>IFERROR('raw-Return'!E85-Table14[[#This Row],[RF]],"")</f>
        <v/>
      </c>
      <c r="F84" s="6">
        <f>IFERROR('raw-Return'!F85-Table14[[#This Row],[RF]],"")</f>
        <v>5.4181994589884083E-3</v>
      </c>
      <c r="G84" s="6">
        <f>IFERROR('raw-Return'!G85-Table14[[#This Row],[RF]],"")</f>
        <v>-6.4598021752687307E-2</v>
      </c>
      <c r="H84" s="6">
        <f>IFERROR('raw-Return'!H85-Table14[[#This Row],[RF]],"")</f>
        <v>3.7879323704643357E-2</v>
      </c>
      <c r="I84" s="6">
        <f>IFERROR('raw-Return'!I85-Table14[[#This Row],[RF]],"")</f>
        <v>4.3440795527625968E-2</v>
      </c>
      <c r="J84" s="6">
        <f>IFERROR('raw-Return'!J85-Table14[[#This Row],[RF]],"")</f>
        <v>3.3571957312256866E-2</v>
      </c>
      <c r="K84" s="6">
        <f>IFERROR('raw-Return'!K85-Table14[[#This Row],[RF]],"")</f>
        <v>3.1544789479853778E-2</v>
      </c>
      <c r="L84" s="6">
        <f>IFERROR('raw-Return'!L85-Table14[[#This Row],[RF]],"")</f>
        <v>3.0984805752106541E-2</v>
      </c>
      <c r="M84" s="6">
        <f>IFERROR('raw-Return'!M85-Table14[[#This Row],[RF]],"")</f>
        <v>3.2222668879159193E-2</v>
      </c>
      <c r="N84" s="6">
        <f>IFERROR('raw-Return'!N85-Table14[[#This Row],[RF]],"")</f>
        <v>-1.5644814761885464E-3</v>
      </c>
      <c r="O84" s="6">
        <f>IFERROR('raw-Return'!O85-Table14[[#This Row],[RF]],"")</f>
        <v>-3.2745640432237995E-2</v>
      </c>
      <c r="P84" s="6">
        <f>IFERROR('raw-Return'!P85-Table14[[#This Row],[RF]],"")</f>
        <v>5.6170641516622363E-3</v>
      </c>
      <c r="Q84" s="6">
        <f>IFERROR('raw-Return'!Q85-Table14[[#This Row],[RF]],"")</f>
        <v>1.1469674016678692E-2</v>
      </c>
      <c r="R84" s="6">
        <f>IFERROR('raw-Return'!R85-Table14[[#This Row],[RF]],"")</f>
        <v>-4.1792776682442884E-4</v>
      </c>
      <c r="S84" s="6">
        <f>IFERROR('raw-Return'!S85-Table14[[#This Row],[RF]],"")</f>
        <v>-2.7963302752294708E-3</v>
      </c>
      <c r="T84" s="6">
        <f>IFERROR('raw-Return'!T85-Table14[[#This Row],[RF]],"")</f>
        <v>9.2659384895815086E-3</v>
      </c>
      <c r="U84" s="6">
        <f>IFERROR('raw-Return'!U85-Table14[[#This Row],[RF]],"")</f>
        <v>-3.7048272220686025E-2</v>
      </c>
      <c r="V84" s="6">
        <f>IFERROR('raw-Return'!V85-Table14[[#This Row],[RF]],"")</f>
        <v>7.6328532231772425E-3</v>
      </c>
      <c r="W84" s="6">
        <f>IFERROR('raw-Return'!W85-Table14[[#This Row],[RF]],"")</f>
        <v>2.4750232580097724E-2</v>
      </c>
      <c r="X84" s="6" t="str">
        <f>IFERROR('raw-Return'!X85-Table14[[#This Row],[RF]],"")</f>
        <v/>
      </c>
      <c r="Y84" s="6">
        <f>IFERROR('raw-Return'!Y85-Table14[[#This Row],[RF]],"")</f>
        <v>8.0096041474579313E-3</v>
      </c>
      <c r="Z84" s="6">
        <f>IFERROR('raw-Return'!Z85-Table14[[#This Row],[RF]],"")</f>
        <v>-4.7440531164255131E-3</v>
      </c>
      <c r="AA84" s="6">
        <f>IFERROR('raw-Return'!AA85-Table14[[#This Row],[RF]],"")</f>
        <v>2.8487421881559442E-2</v>
      </c>
      <c r="AB84" s="6">
        <f>IFERROR('raw-Return'!AB85-Table14[[#This Row],[RF]],"")</f>
        <v>3.6938454209678943E-2</v>
      </c>
      <c r="AC84" s="6">
        <f>IFERROR('raw-Return'!AC85-Table14[[#This Row],[RF]],"")</f>
        <v>3.6938454209678943E-2</v>
      </c>
      <c r="AD84" s="6">
        <f>IFERROR('raw-Return'!AD85-Table14[[#This Row],[RF]],"")</f>
        <v>2.7270273610219324E-2</v>
      </c>
      <c r="AE84" s="6">
        <f>IFERROR('raw-Return'!AE85-Table14[[#This Row],[RF]],"")</f>
        <v>1.8919276524182842E-2</v>
      </c>
      <c r="AF84" s="6">
        <f>IFERROR('raw-Return'!AF85-Table14[[#This Row],[RF]],"")</f>
        <v>1.3340807260114045E-2</v>
      </c>
      <c r="AG84" s="6">
        <f>IFERROR('raw-Return'!AG85-Table14[[#This Row],[RF]],"")</f>
        <v>-2.8179498143585183E-3</v>
      </c>
      <c r="AH84" s="6">
        <f>IFERROR('raw-Return'!AH85-Table14[[#This Row],[RF]],"")</f>
        <v>2.0289478803000853E-2</v>
      </c>
      <c r="AI84" s="6" t="str">
        <f>IFERROR('raw-Return'!AI85-Table14[[#This Row],[RF]],"")</f>
        <v/>
      </c>
      <c r="AJ84" s="6">
        <f>IFERROR('raw-Return'!AJ85-Table14[[#This Row],[RF]],"")</f>
        <v>3.4811125174438344E-2</v>
      </c>
      <c r="AK84" s="6" t="str">
        <f>IFERROR('raw-Return'!AK85-Table14[[#This Row],[RF]],"")</f>
        <v/>
      </c>
      <c r="AL84" s="6">
        <f>IFERROR('raw-Return'!AL85-Table14[[#This Row],[RF]],"")</f>
        <v>3.080224523696256E-2</v>
      </c>
      <c r="AM84" s="6">
        <f>IFERROR('raw-Return'!AM85-Table14[[#This Row],[RF]],"")</f>
        <v>4.0300729463361544E-2</v>
      </c>
      <c r="AN84" s="6">
        <f>IFERROR('raw-Return'!AN85-Table14[[#This Row],[RF]],"")</f>
        <v>3.700251973175233E-2</v>
      </c>
      <c r="AO84" s="6" t="str">
        <f>IFERROR('raw-Return'!AO85-Table14[[#This Row],[RF]],"")</f>
        <v/>
      </c>
      <c r="AP84" s="6" t="str">
        <f>IFERROR('raw-Return'!AP85-Table14[[#This Row],[RF]],"")</f>
        <v/>
      </c>
      <c r="AQ84" s="6">
        <f>IFERROR('raw-Return'!AQ85-Table14[[#This Row],[RF]],"")</f>
        <v>2.9849453437125244E-2</v>
      </c>
      <c r="AR84" s="6">
        <f>IFERROR('raw-Return'!AR85-Table14[[#This Row],[RF]],"")</f>
        <v>3.0708027756250408E-3</v>
      </c>
      <c r="AS84" s="6">
        <f>IFERROR('raw-Return'!AS85-Table14[[#This Row],[RF]],"")</f>
        <v>2.8649383322826343E-2</v>
      </c>
      <c r="AT84" s="6">
        <f>IFERROR('raw-Return'!AT85-Table14[[#This Row],[RF]],"")</f>
        <v>8.5000000000000006E-3</v>
      </c>
      <c r="AU84" s="6">
        <f>IFERROR('raw-Return'!AU85-Table14[[#This Row],[RF]],"")</f>
        <v>8.5000000000000006E-3</v>
      </c>
      <c r="AV84" s="6">
        <f>IFERROR('raw-Return'!AV85-Table14[[#This Row],[RF]],"")</f>
        <v>8.5000000000000006E-3</v>
      </c>
    </row>
    <row r="85" spans="1:48" x14ac:dyDescent="0.2">
      <c r="A85" s="2">
        <v>40999</v>
      </c>
      <c r="B85" s="6">
        <f>IFERROR('raw-Return'!B86-Table14[[#This Row],[RF]],"")</f>
        <v>-3.3767815614683769E-2</v>
      </c>
      <c r="C85" s="6">
        <f>IFERROR('raw-Return'!C86-Table14[[#This Row],[RF]],"")</f>
        <v>-4.1807785874006784E-2</v>
      </c>
      <c r="D85" s="6">
        <f>IFERROR('raw-Return'!D86-Table14[[#This Row],[RF]],"")</f>
        <v>-3.2970603264496953E-2</v>
      </c>
      <c r="E85" s="6" t="str">
        <f>IFERROR('raw-Return'!E86-Table14[[#This Row],[RF]],"")</f>
        <v/>
      </c>
      <c r="F85" s="6">
        <f>IFERROR('raw-Return'!F86-Table14[[#This Row],[RF]],"")</f>
        <v>-3.2488408382695608E-2</v>
      </c>
      <c r="G85" s="6">
        <f>IFERROR('raw-Return'!G86-Table14[[#This Row],[RF]],"")</f>
        <v>-6.3918059700858718E-2</v>
      </c>
      <c r="H85" s="6">
        <f>IFERROR('raw-Return'!H86-Table14[[#This Row],[RF]],"")</f>
        <v>1.298009086391318E-2</v>
      </c>
      <c r="I85" s="6">
        <f>IFERROR('raw-Return'!I86-Table14[[#This Row],[RF]],"")</f>
        <v>1.7243774110993332E-2</v>
      </c>
      <c r="J85" s="6">
        <f>IFERROR('raw-Return'!J86-Table14[[#This Row],[RF]],"")</f>
        <v>7.7752223268631356E-3</v>
      </c>
      <c r="K85" s="6">
        <f>IFERROR('raw-Return'!K86-Table14[[#This Row],[RF]],"")</f>
        <v>1.6675756959988637E-3</v>
      </c>
      <c r="L85" s="6">
        <f>IFERROR('raw-Return'!L86-Table14[[#This Row],[RF]],"")</f>
        <v>7.649436887966838E-3</v>
      </c>
      <c r="M85" s="6">
        <f>IFERROR('raw-Return'!M86-Table14[[#This Row],[RF]],"")</f>
        <v>-5.5797666046423049E-3</v>
      </c>
      <c r="N85" s="6">
        <f>IFERROR('raw-Return'!N86-Table14[[#This Row],[RF]],"")</f>
        <v>-2.7234024747225454E-2</v>
      </c>
      <c r="O85" s="6">
        <f>IFERROR('raw-Return'!O86-Table14[[#This Row],[RF]],"")</f>
        <v>-2.1734464655322232E-2</v>
      </c>
      <c r="P85" s="6">
        <f>IFERROR('raw-Return'!P86-Table14[[#This Row],[RF]],"")</f>
        <v>-2.3903118000807671E-2</v>
      </c>
      <c r="Q85" s="6">
        <f>IFERROR('raw-Return'!Q86-Table14[[#This Row],[RF]],"")</f>
        <v>1.781201692126157E-2</v>
      </c>
      <c r="R85" s="6">
        <f>IFERROR('raw-Return'!R86-Table14[[#This Row],[RF]],"")</f>
        <v>2.2053196957266059E-2</v>
      </c>
      <c r="S85" s="6">
        <f>IFERROR('raw-Return'!S86-Table14[[#This Row],[RF]],"")</f>
        <v>-3.983149916325722E-2</v>
      </c>
      <c r="T85" s="6">
        <f>IFERROR('raw-Return'!T86-Table14[[#This Row],[RF]],"")</f>
        <v>2.3125586790418002E-2</v>
      </c>
      <c r="U85" s="6">
        <f>IFERROR('raw-Return'!U86-Table14[[#This Row],[RF]],"")</f>
        <v>-5.3933779788141165E-2</v>
      </c>
      <c r="V85" s="6">
        <f>IFERROR('raw-Return'!V86-Table14[[#This Row],[RF]],"")</f>
        <v>-3.2072090649298154E-2</v>
      </c>
      <c r="W85" s="6">
        <f>IFERROR('raw-Return'!W86-Table14[[#This Row],[RF]],"")</f>
        <v>-3.6340003516755863E-3</v>
      </c>
      <c r="X85" s="6" t="str">
        <f>IFERROR('raw-Return'!X86-Table14[[#This Row],[RF]],"")</f>
        <v/>
      </c>
      <c r="Y85" s="6">
        <f>IFERROR('raw-Return'!Y86-Table14[[#This Row],[RF]],"")</f>
        <v>-3.3059086685210723E-2</v>
      </c>
      <c r="Z85" s="6">
        <f>IFERROR('raw-Return'!Z86-Table14[[#This Row],[RF]],"")</f>
        <v>3.8059064749283236E-2</v>
      </c>
      <c r="AA85" s="6">
        <f>IFERROR('raw-Return'!AA86-Table14[[#This Row],[RF]],"")</f>
        <v>5.1431723766245559E-3</v>
      </c>
      <c r="AB85" s="6">
        <f>IFERROR('raw-Return'!AB86-Table14[[#This Row],[RF]],"")</f>
        <v>1.180943180674467E-2</v>
      </c>
      <c r="AC85" s="6">
        <f>IFERROR('raw-Return'!AC86-Table14[[#This Row],[RF]],"")</f>
        <v>1.180943180674467E-2</v>
      </c>
      <c r="AD85" s="6">
        <f>IFERROR('raw-Return'!AD86-Table14[[#This Row],[RF]],"")</f>
        <v>1.9890081628252249E-2</v>
      </c>
      <c r="AE85" s="6">
        <f>IFERROR('raw-Return'!AE86-Table14[[#This Row],[RF]],"")</f>
        <v>1.4758239209548791E-2</v>
      </c>
      <c r="AF85" s="6">
        <f>IFERROR('raw-Return'!AF86-Table14[[#This Row],[RF]],"")</f>
        <v>1.067513645818265E-2</v>
      </c>
      <c r="AG85" s="6">
        <f>IFERROR('raw-Return'!AG86-Table14[[#This Row],[RF]],"")</f>
        <v>3.3165089057464972E-2</v>
      </c>
      <c r="AH85" s="6">
        <f>IFERROR('raw-Return'!AH86-Table14[[#This Row],[RF]],"")</f>
        <v>1.6586350086983965E-2</v>
      </c>
      <c r="AI85" s="6" t="str">
        <f>IFERROR('raw-Return'!AI86-Table14[[#This Row],[RF]],"")</f>
        <v/>
      </c>
      <c r="AJ85" s="6">
        <f>IFERROR('raw-Return'!AJ86-Table14[[#This Row],[RF]],"")</f>
        <v>1.1029238443642248E-2</v>
      </c>
      <c r="AK85" s="6" t="str">
        <f>IFERROR('raw-Return'!AK86-Table14[[#This Row],[RF]],"")</f>
        <v/>
      </c>
      <c r="AL85" s="6">
        <f>IFERROR('raw-Return'!AL86-Table14[[#This Row],[RF]],"")</f>
        <v>7.7004388674214615E-3</v>
      </c>
      <c r="AM85" s="6">
        <f>IFERROR('raw-Return'!AM86-Table14[[#This Row],[RF]],"")</f>
        <v>1.6716180975777335E-2</v>
      </c>
      <c r="AN85" s="6">
        <f>IFERROR('raw-Return'!AN86-Table14[[#This Row],[RF]],"")</f>
        <v>1.1336811932693664E-2</v>
      </c>
      <c r="AO85" s="6" t="str">
        <f>IFERROR('raw-Return'!AO86-Table14[[#This Row],[RF]],"")</f>
        <v/>
      </c>
      <c r="AP85" s="6" t="str">
        <f>IFERROR('raw-Return'!AP86-Table14[[#This Row],[RF]],"")</f>
        <v/>
      </c>
      <c r="AQ85" s="6">
        <f>IFERROR('raw-Return'!AQ86-Table14[[#This Row],[RF]],"")</f>
        <v>1.0612841253429112E-2</v>
      </c>
      <c r="AR85" s="6">
        <f>IFERROR('raw-Return'!AR86-Table14[[#This Row],[RF]],"")</f>
        <v>1.4363335655920646E-2</v>
      </c>
      <c r="AS85" s="6">
        <f>IFERROR('raw-Return'!AS86-Table14[[#This Row],[RF]],"")</f>
        <v>1.7426445002612437E-4</v>
      </c>
      <c r="AT85" s="6">
        <f>IFERROR('raw-Return'!AT86-Table14[[#This Row],[RF]],"")</f>
        <v>-3.1099999999999999E-2</v>
      </c>
      <c r="AU85" s="6">
        <f>IFERROR('raw-Return'!AU86-Table14[[#This Row],[RF]],"")</f>
        <v>-3.1099999999999999E-2</v>
      </c>
      <c r="AV85" s="6">
        <f>IFERROR('raw-Return'!AV86-Table14[[#This Row],[RF]],"")</f>
        <v>-3.1099999999999999E-2</v>
      </c>
    </row>
    <row r="86" spans="1:48" x14ac:dyDescent="0.2">
      <c r="A86" s="2">
        <v>40968</v>
      </c>
      <c r="B86" s="6">
        <f>IFERROR('raw-Return'!B87-Table14[[#This Row],[RF]],"")</f>
        <v>-2.9019340085991253E-2</v>
      </c>
      <c r="C86" s="6">
        <f>IFERROR('raw-Return'!C87-Table14[[#This Row],[RF]],"")</f>
        <v>-3.4971136689236883E-2</v>
      </c>
      <c r="D86" s="6">
        <f>IFERROR('raw-Return'!D87-Table14[[#This Row],[RF]],"")</f>
        <v>-3.7962229528934112E-2</v>
      </c>
      <c r="E86" s="6" t="str">
        <f>IFERROR('raw-Return'!E87-Table14[[#This Row],[RF]],"")</f>
        <v/>
      </c>
      <c r="F86" s="6">
        <f>IFERROR('raw-Return'!F87-Table14[[#This Row],[RF]],"")</f>
        <v>-3.8458751152517158E-2</v>
      </c>
      <c r="G86" s="6">
        <f>IFERROR('raw-Return'!G87-Table14[[#This Row],[RF]],"")</f>
        <v>-5.9474330395013798E-2</v>
      </c>
      <c r="H86" s="6">
        <f>IFERROR('raw-Return'!H87-Table14[[#This Row],[RF]],"")</f>
        <v>-3.3044628735632436E-4</v>
      </c>
      <c r="I86" s="6">
        <f>IFERROR('raw-Return'!I87-Table14[[#This Row],[RF]],"")</f>
        <v>1.5214346526401877E-2</v>
      </c>
      <c r="J86" s="6">
        <f>IFERROR('raw-Return'!J87-Table14[[#This Row],[RF]],"")</f>
        <v>-1.3239835746593244E-2</v>
      </c>
      <c r="K86" s="6">
        <f>IFERROR('raw-Return'!K87-Table14[[#This Row],[RF]],"")</f>
        <v>2.528006471433699E-2</v>
      </c>
      <c r="L86" s="6">
        <f>IFERROR('raw-Return'!L87-Table14[[#This Row],[RF]],"")</f>
        <v>2.8004352836539036E-2</v>
      </c>
      <c r="M86" s="6">
        <f>IFERROR('raw-Return'!M87-Table14[[#This Row],[RF]],"")</f>
        <v>2.5555403297087075E-2</v>
      </c>
      <c r="N86" s="6">
        <f>IFERROR('raw-Return'!N87-Table14[[#This Row],[RF]],"")</f>
        <v>-2.1092526337156393E-2</v>
      </c>
      <c r="O86" s="6">
        <f>IFERROR('raw-Return'!O87-Table14[[#This Row],[RF]],"")</f>
        <v>-3.1484756816404259E-2</v>
      </c>
      <c r="P86" s="6">
        <f>IFERROR('raw-Return'!P87-Table14[[#This Row],[RF]],"")</f>
        <v>-3.3529579178102932E-2</v>
      </c>
      <c r="Q86" s="6">
        <f>IFERROR('raw-Return'!Q87-Table14[[#This Row],[RF]],"")</f>
        <v>1.1908046834137952E-2</v>
      </c>
      <c r="R86" s="6">
        <f>IFERROR('raw-Return'!R87-Table14[[#This Row],[RF]],"")</f>
        <v>2.4356922692782466E-2</v>
      </c>
      <c r="S86" s="6">
        <f>IFERROR('raw-Return'!S87-Table14[[#This Row],[RF]],"")</f>
        <v>-3.8987147440356008E-2</v>
      </c>
      <c r="T86" s="6">
        <f>IFERROR('raw-Return'!T87-Table14[[#This Row],[RF]],"")</f>
        <v>1.0432842657336149E-2</v>
      </c>
      <c r="U86" s="6">
        <f>IFERROR('raw-Return'!U87-Table14[[#This Row],[RF]],"")</f>
        <v>-4.4400504910240148E-2</v>
      </c>
      <c r="V86" s="6">
        <f>IFERROR('raw-Return'!V87-Table14[[#This Row],[RF]],"")</f>
        <v>-4.4263960031212558E-2</v>
      </c>
      <c r="W86" s="6">
        <f>IFERROR('raw-Return'!W87-Table14[[#This Row],[RF]],"")</f>
        <v>-1.8026870221016879E-2</v>
      </c>
      <c r="X86" s="6" t="str">
        <f>IFERROR('raw-Return'!X87-Table14[[#This Row],[RF]],"")</f>
        <v/>
      </c>
      <c r="Y86" s="6">
        <f>IFERROR('raw-Return'!Y87-Table14[[#This Row],[RF]],"")</f>
        <v>-4.1965347192266723E-2</v>
      </c>
      <c r="Z86" s="6">
        <f>IFERROR('raw-Return'!Z87-Table14[[#This Row],[RF]],"")</f>
        <v>5.0610635478670861E-2</v>
      </c>
      <c r="AA86" s="6">
        <f>IFERROR('raw-Return'!AA87-Table14[[#This Row],[RF]],"")</f>
        <v>8.0689701184959647E-3</v>
      </c>
      <c r="AB86" s="6">
        <f>IFERROR('raw-Return'!AB87-Table14[[#This Row],[RF]],"")</f>
        <v>5.4916433374165713E-4</v>
      </c>
      <c r="AC86" s="6">
        <f>IFERROR('raw-Return'!AC87-Table14[[#This Row],[RF]],"")</f>
        <v>5.4916433374165713E-4</v>
      </c>
      <c r="AD86" s="6">
        <f>IFERROR('raw-Return'!AD87-Table14[[#This Row],[RF]],"")</f>
        <v>3.6910378622146321E-2</v>
      </c>
      <c r="AE86" s="6">
        <f>IFERROR('raw-Return'!AE87-Table14[[#This Row],[RF]],"")</f>
        <v>-5.4708971614710535E-2</v>
      </c>
      <c r="AF86" s="6">
        <f>IFERROR('raw-Return'!AF87-Table14[[#This Row],[RF]],"")</f>
        <v>2.2264827705023714E-2</v>
      </c>
      <c r="AG86" s="6">
        <f>IFERROR('raw-Return'!AG87-Table14[[#This Row],[RF]],"")</f>
        <v>4.5921260181777356E-2</v>
      </c>
      <c r="AH86" s="6">
        <f>IFERROR('raw-Return'!AH87-Table14[[#This Row],[RF]],"")</f>
        <v>1.0395536978933494E-2</v>
      </c>
      <c r="AI86" s="6" t="str">
        <f>IFERROR('raw-Return'!AI87-Table14[[#This Row],[RF]],"")</f>
        <v/>
      </c>
      <c r="AJ86" s="6">
        <f>IFERROR('raw-Return'!AJ87-Table14[[#This Row],[RF]],"")</f>
        <v>6.4846420085755904E-3</v>
      </c>
      <c r="AK86" s="6" t="str">
        <f>IFERROR('raw-Return'!AK87-Table14[[#This Row],[RF]],"")</f>
        <v/>
      </c>
      <c r="AL86" s="6">
        <f>IFERROR('raw-Return'!AL87-Table14[[#This Row],[RF]],"")</f>
        <v>-9.385476766057034E-3</v>
      </c>
      <c r="AM86" s="6">
        <f>IFERROR('raw-Return'!AM87-Table14[[#This Row],[RF]],"")</f>
        <v>1.8720850171388269E-2</v>
      </c>
      <c r="AN86" s="6">
        <f>IFERROR('raw-Return'!AN87-Table14[[#This Row],[RF]],"")</f>
        <v>4.472381036817262E-3</v>
      </c>
      <c r="AO86" s="6" t="str">
        <f>IFERROR('raw-Return'!AO87-Table14[[#This Row],[RF]],"")</f>
        <v/>
      </c>
      <c r="AP86" s="6" t="str">
        <f>IFERROR('raw-Return'!AP87-Table14[[#This Row],[RF]],"")</f>
        <v/>
      </c>
      <c r="AQ86" s="6">
        <f>IFERROR('raw-Return'!AQ87-Table14[[#This Row],[RF]],"")</f>
        <v>3.1676865909160211E-2</v>
      </c>
      <c r="AR86" s="6">
        <f>IFERROR('raw-Return'!AR87-Table14[[#This Row],[RF]],"")</f>
        <v>2.9145443521375401E-2</v>
      </c>
      <c r="AS86" s="6">
        <f>IFERROR('raw-Return'!AS87-Table14[[#This Row],[RF]],"")</f>
        <v>-2.6326191145355594E-2</v>
      </c>
      <c r="AT86" s="6">
        <f>IFERROR('raw-Return'!AT87-Table14[[#This Row],[RF]],"")</f>
        <v>-4.4199999999999996E-2</v>
      </c>
      <c r="AU86" s="6">
        <f>IFERROR('raw-Return'!AU87-Table14[[#This Row],[RF]],"")</f>
        <v>-4.4199999999999996E-2</v>
      </c>
      <c r="AV86" s="6">
        <f>IFERROR('raw-Return'!AV87-Table14[[#This Row],[RF]],"")</f>
        <v>-4.4199999999999996E-2</v>
      </c>
    </row>
    <row r="87" spans="1:48" x14ac:dyDescent="0.2">
      <c r="A87" s="2">
        <v>40939</v>
      </c>
      <c r="B87" s="6">
        <f>IFERROR('raw-Return'!B88-Table14[[#This Row],[RF]],"")</f>
        <v>-4.9639530676531159E-2</v>
      </c>
      <c r="C87" s="6">
        <f>IFERROR('raw-Return'!C88-Table14[[#This Row],[RF]],"")</f>
        <v>-2.9957219539617393E-2</v>
      </c>
      <c r="D87" s="6">
        <f>IFERROR('raw-Return'!D88-Table14[[#This Row],[RF]],"")</f>
        <v>-4.8330902265244953E-2</v>
      </c>
      <c r="E87" s="6" t="str">
        <f>IFERROR('raw-Return'!E88-Table14[[#This Row],[RF]],"")</f>
        <v/>
      </c>
      <c r="F87" s="6">
        <f>IFERROR('raw-Return'!F88-Table14[[#This Row],[RF]],"")</f>
        <v>-5.5507773994060712E-2</v>
      </c>
      <c r="G87" s="6">
        <f>IFERROR('raw-Return'!G88-Table14[[#This Row],[RF]],"")</f>
        <v>-2.7044129532366463E-2</v>
      </c>
      <c r="H87" s="6">
        <f>IFERROR('raw-Return'!H88-Table14[[#This Row],[RF]],"")</f>
        <v>-4.5303490704224909E-2</v>
      </c>
      <c r="I87" s="6">
        <f>IFERROR('raw-Return'!I88-Table14[[#This Row],[RF]],"")</f>
        <v>-5.820140701043653E-2</v>
      </c>
      <c r="J87" s="6">
        <f>IFERROR('raw-Return'!J88-Table14[[#This Row],[RF]],"")</f>
        <v>-3.2136395401096925E-2</v>
      </c>
      <c r="K87" s="6">
        <f>IFERROR('raw-Return'!K88-Table14[[#This Row],[RF]],"")</f>
        <v>-6.1519217263923183E-2</v>
      </c>
      <c r="L87" s="6">
        <f>IFERROR('raw-Return'!L88-Table14[[#This Row],[RF]],"")</f>
        <v>-6.1860363999854957E-2</v>
      </c>
      <c r="M87" s="6">
        <f>IFERROR('raw-Return'!M88-Table14[[#This Row],[RF]],"")</f>
        <v>-6.3747122848681004E-2</v>
      </c>
      <c r="N87" s="6">
        <f>IFERROR('raw-Return'!N88-Table14[[#This Row],[RF]],"")</f>
        <v>-2.9025938172598804E-2</v>
      </c>
      <c r="O87" s="6">
        <f>IFERROR('raw-Return'!O88-Table14[[#This Row],[RF]],"")</f>
        <v>-1.1184165968357591E-2</v>
      </c>
      <c r="P87" s="6">
        <f>IFERROR('raw-Return'!P88-Table14[[#This Row],[RF]],"")</f>
        <v>-4.2778412011635243E-2</v>
      </c>
      <c r="Q87" s="6">
        <f>IFERROR('raw-Return'!Q88-Table14[[#This Row],[RF]],"")</f>
        <v>-0.10467396081371649</v>
      </c>
      <c r="R87" s="6">
        <f>IFERROR('raw-Return'!R88-Table14[[#This Row],[RF]],"")</f>
        <v>-0.10778842340925399</v>
      </c>
      <c r="S87" s="6">
        <f>IFERROR('raw-Return'!S88-Table14[[#This Row],[RF]],"")</f>
        <v>-4.3875973110039553E-2</v>
      </c>
      <c r="T87" s="6">
        <f>IFERROR('raw-Return'!T88-Table14[[#This Row],[RF]],"")</f>
        <v>-0.11735917259988882</v>
      </c>
      <c r="U87" s="6">
        <f>IFERROR('raw-Return'!U88-Table14[[#This Row],[RF]],"")</f>
        <v>-2.4452654253983581E-2</v>
      </c>
      <c r="V87" s="6">
        <f>IFERROR('raw-Return'!V88-Table14[[#This Row],[RF]],"")</f>
        <v>-5.2092361120321458E-2</v>
      </c>
      <c r="W87" s="6">
        <f>IFERROR('raw-Return'!W88-Table14[[#This Row],[RF]],"")</f>
        <v>-4.6657991530092653E-2</v>
      </c>
      <c r="X87" s="6" t="str">
        <f>IFERROR('raw-Return'!X88-Table14[[#This Row],[RF]],"")</f>
        <v/>
      </c>
      <c r="Y87" s="6">
        <f>IFERROR('raw-Return'!Y88-Table14[[#This Row],[RF]],"")</f>
        <v>-4.9202899533866036E-2</v>
      </c>
      <c r="Z87" s="6">
        <f>IFERROR('raw-Return'!Z88-Table14[[#This Row],[RF]],"")</f>
        <v>-0.12728926655552153</v>
      </c>
      <c r="AA87" s="6">
        <f>IFERROR('raw-Return'!AA88-Table14[[#This Row],[RF]],"")</f>
        <v>-6.1143064859521708E-2</v>
      </c>
      <c r="AB87" s="6">
        <f>IFERROR('raw-Return'!AB88-Table14[[#This Row],[RF]],"")</f>
        <v>-4.5423718423497357E-2</v>
      </c>
      <c r="AC87" s="6">
        <f>IFERROR('raw-Return'!AC88-Table14[[#This Row],[RF]],"")</f>
        <v>-4.5423718423497357E-2</v>
      </c>
      <c r="AD87" s="6">
        <f>IFERROR('raw-Return'!AD88-Table14[[#This Row],[RF]],"")</f>
        <v>-7.456998708993845E-2</v>
      </c>
      <c r="AE87" s="6">
        <f>IFERROR('raw-Return'!AE88-Table14[[#This Row],[RF]],"")</f>
        <v>-6.8124151050246939E-2</v>
      </c>
      <c r="AF87" s="6">
        <f>IFERROR('raw-Return'!AF88-Table14[[#This Row],[RF]],"")</f>
        <v>-0.11409124347233635</v>
      </c>
      <c r="AG87" s="6">
        <f>IFERROR('raw-Return'!AG88-Table14[[#This Row],[RF]],"")</f>
        <v>-0.11961390551717843</v>
      </c>
      <c r="AH87" s="6">
        <f>IFERROR('raw-Return'!AH88-Table14[[#This Row],[RF]],"")</f>
        <v>-8.3920411123571959E-2</v>
      </c>
      <c r="AI87" s="6" t="str">
        <f>IFERROR('raw-Return'!AI88-Table14[[#This Row],[RF]],"")</f>
        <v/>
      </c>
      <c r="AJ87" s="6">
        <f>IFERROR('raw-Return'!AJ88-Table14[[#This Row],[RF]],"")</f>
        <v>-4.6441820530131801E-2</v>
      </c>
      <c r="AK87" s="6" t="str">
        <f>IFERROR('raw-Return'!AK88-Table14[[#This Row],[RF]],"")</f>
        <v/>
      </c>
      <c r="AL87" s="6">
        <f>IFERROR('raw-Return'!AL88-Table14[[#This Row],[RF]],"")</f>
        <v>-3.3174250873497797E-2</v>
      </c>
      <c r="AM87" s="6">
        <f>IFERROR('raw-Return'!AM88-Table14[[#This Row],[RF]],"")</f>
        <v>-5.9191963088290563E-2</v>
      </c>
      <c r="AN87" s="6">
        <f>IFERROR('raw-Return'!AN88-Table14[[#This Row],[RF]],"")</f>
        <v>-4.6999585368907811E-2</v>
      </c>
      <c r="AO87" s="6" t="str">
        <f>IFERROR('raw-Return'!AO88-Table14[[#This Row],[RF]],"")</f>
        <v/>
      </c>
      <c r="AP87" s="6" t="str">
        <f>IFERROR('raw-Return'!AP88-Table14[[#This Row],[RF]],"")</f>
        <v/>
      </c>
      <c r="AQ87" s="6">
        <f>IFERROR('raw-Return'!AQ88-Table14[[#This Row],[RF]],"")</f>
        <v>-6.1859388897449359E-2</v>
      </c>
      <c r="AR87" s="6">
        <f>IFERROR('raw-Return'!AR88-Table14[[#This Row],[RF]],"")</f>
        <v>-0.11020462519980201</v>
      </c>
      <c r="AS87" s="6">
        <f>IFERROR('raw-Return'!AS88-Table14[[#This Row],[RF]],"")</f>
        <v>-2.7168361706981566E-2</v>
      </c>
      <c r="AT87" s="6">
        <f>IFERROR('raw-Return'!AT88-Table14[[#This Row],[RF]],"")</f>
        <v>-5.0499999999999996E-2</v>
      </c>
      <c r="AU87" s="6">
        <f>IFERROR('raw-Return'!AU88-Table14[[#This Row],[RF]],"")</f>
        <v>-5.0499999999999996E-2</v>
      </c>
      <c r="AV87" s="6">
        <f>IFERROR('raw-Return'!AV88-Table14[[#This Row],[RF]],"")</f>
        <v>-5.0499999999999996E-2</v>
      </c>
    </row>
    <row r="88" spans="1:48" x14ac:dyDescent="0.2">
      <c r="A88" s="2">
        <v>40908</v>
      </c>
      <c r="B88" s="6">
        <f>IFERROR('raw-Return'!B89-Table14[[#This Row],[RF]],"")</f>
        <v>-1.6537273942839142E-2</v>
      </c>
      <c r="C88" s="6">
        <f>IFERROR('raw-Return'!C89-Table14[[#This Row],[RF]],"")</f>
        <v>-1.9651205256608278E-2</v>
      </c>
      <c r="D88" s="6">
        <f>IFERROR('raw-Return'!D89-Table14[[#This Row],[RF]],"")</f>
        <v>-1.0421128163717024E-2</v>
      </c>
      <c r="E88" s="6" t="str">
        <f>IFERROR('raw-Return'!E89-Table14[[#This Row],[RF]],"")</f>
        <v/>
      </c>
      <c r="F88" s="6">
        <f>IFERROR('raw-Return'!F89-Table14[[#This Row],[RF]],"")</f>
        <v>-1.0176091566469741E-2</v>
      </c>
      <c r="G88" s="6">
        <f>IFERROR('raw-Return'!G89-Table14[[#This Row],[RF]],"")</f>
        <v>2.7184844246859036E-2</v>
      </c>
      <c r="H88" s="6">
        <f>IFERROR('raw-Return'!H89-Table14[[#This Row],[RF]],"")</f>
        <v>-9.3483059745484258E-3</v>
      </c>
      <c r="I88" s="6">
        <f>IFERROR('raw-Return'!I89-Table14[[#This Row],[RF]],"")</f>
        <v>-8.6016862764170358E-3</v>
      </c>
      <c r="J88" s="6">
        <f>IFERROR('raw-Return'!J89-Table14[[#This Row],[RF]],"")</f>
        <v>-1.8445810769105047E-2</v>
      </c>
      <c r="K88" s="6">
        <f>IFERROR('raw-Return'!K89-Table14[[#This Row],[RF]],"")</f>
        <v>-1.2127103283328371E-2</v>
      </c>
      <c r="L88" s="6">
        <f>IFERROR('raw-Return'!L89-Table14[[#This Row],[RF]],"")</f>
        <v>-1.399808581421828E-2</v>
      </c>
      <c r="M88" s="6">
        <f>IFERROR('raw-Return'!M89-Table14[[#This Row],[RF]],"")</f>
        <v>-8.9050973321429909E-3</v>
      </c>
      <c r="N88" s="6">
        <f>IFERROR('raw-Return'!N89-Table14[[#This Row],[RF]],"")</f>
        <v>-2.7238029958878512E-2</v>
      </c>
      <c r="O88" s="6">
        <f>IFERROR('raw-Return'!O89-Table14[[#This Row],[RF]],"")</f>
        <v>-4.4095818685542618E-2</v>
      </c>
      <c r="P88" s="6">
        <f>IFERROR('raw-Return'!P89-Table14[[#This Row],[RF]],"")</f>
        <v>-1.7771182464905649E-2</v>
      </c>
      <c r="Q88" s="6">
        <f>IFERROR('raw-Return'!Q89-Table14[[#This Row],[RF]],"")</f>
        <v>-2.8339736430213296E-2</v>
      </c>
      <c r="R88" s="6">
        <f>IFERROR('raw-Return'!R89-Table14[[#This Row],[RF]],"")</f>
        <v>-3.3149808374003761E-2</v>
      </c>
      <c r="S88" s="6">
        <f>IFERROR('raw-Return'!S89-Table14[[#This Row],[RF]],"")</f>
        <v>-2.5254312580855025E-3</v>
      </c>
      <c r="T88" s="6">
        <f>IFERROR('raw-Return'!T89-Table14[[#This Row],[RF]],"")</f>
        <v>-3.5999459872339365E-2</v>
      </c>
      <c r="U88" s="6">
        <f>IFERROR('raw-Return'!U89-Table14[[#This Row],[RF]],"")</f>
        <v>1.1688306317227577E-2</v>
      </c>
      <c r="V88" s="6">
        <f>IFERROR('raw-Return'!V89-Table14[[#This Row],[RF]],"")</f>
        <v>-7.2856971613430126E-3</v>
      </c>
      <c r="W88" s="6">
        <f>IFERROR('raw-Return'!W89-Table14[[#This Row],[RF]],"")</f>
        <v>1.0761158609234951E-2</v>
      </c>
      <c r="X88" s="6" t="str">
        <f>IFERROR('raw-Return'!X89-Table14[[#This Row],[RF]],"")</f>
        <v/>
      </c>
      <c r="Y88" s="6">
        <f>IFERROR('raw-Return'!Y89-Table14[[#This Row],[RF]],"")</f>
        <v>-6.6587469501530432E-3</v>
      </c>
      <c r="Z88" s="6">
        <f>IFERROR('raw-Return'!Z89-Table14[[#This Row],[RF]],"")</f>
        <v>-3.8288725147103839E-2</v>
      </c>
      <c r="AA88" s="6">
        <f>IFERROR('raw-Return'!AA89-Table14[[#This Row],[RF]],"")</f>
        <v>-5.8426442366520774E-3</v>
      </c>
      <c r="AB88" s="6">
        <f>IFERROR('raw-Return'!AB89-Table14[[#This Row],[RF]],"")</f>
        <v>-1.0510392236996829E-2</v>
      </c>
      <c r="AC88" s="6">
        <f>IFERROR('raw-Return'!AC89-Table14[[#This Row],[RF]],"")</f>
        <v>-1.0510392236996829E-2</v>
      </c>
      <c r="AD88" s="6">
        <f>IFERROR('raw-Return'!AD89-Table14[[#This Row],[RF]],"")</f>
        <v>-2.3460013122064177E-2</v>
      </c>
      <c r="AE88" s="6">
        <f>IFERROR('raw-Return'!AE89-Table14[[#This Row],[RF]],"")</f>
        <v>-6.5271800926844196E-3</v>
      </c>
      <c r="AF88" s="6">
        <f>IFERROR('raw-Return'!AF89-Table14[[#This Row],[RF]],"")</f>
        <v>-1.2553723085884354E-2</v>
      </c>
      <c r="AG88" s="6">
        <f>IFERROR('raw-Return'!AG89-Table14[[#This Row],[RF]],"")</f>
        <v>-3.5814309496027749E-2</v>
      </c>
      <c r="AH88" s="6">
        <f>IFERROR('raw-Return'!AH89-Table14[[#This Row],[RF]],"")</f>
        <v>-2.0727773376390684E-2</v>
      </c>
      <c r="AI88" s="6" t="str">
        <f>IFERROR('raw-Return'!AI89-Table14[[#This Row],[RF]],"")</f>
        <v/>
      </c>
      <c r="AJ88" s="6">
        <f>IFERROR('raw-Return'!AJ89-Table14[[#This Row],[RF]],"")</f>
        <v>-1.0996458024806127E-2</v>
      </c>
      <c r="AK88" s="6" t="str">
        <f>IFERROR('raw-Return'!AK89-Table14[[#This Row],[RF]],"")</f>
        <v/>
      </c>
      <c r="AL88" s="6">
        <f>IFERROR('raw-Return'!AL89-Table14[[#This Row],[RF]],"")</f>
        <v>-1.2888074281576938E-2</v>
      </c>
      <c r="AM88" s="6">
        <f>IFERROR('raw-Return'!AM89-Table14[[#This Row],[RF]],"")</f>
        <v>-9.5578107318729337E-3</v>
      </c>
      <c r="AN88" s="6">
        <f>IFERROR('raw-Return'!AN89-Table14[[#This Row],[RF]],"")</f>
        <v>-1.1813441398017471E-2</v>
      </c>
      <c r="AO88" s="6" t="str">
        <f>IFERROR('raw-Return'!AO89-Table14[[#This Row],[RF]],"")</f>
        <v/>
      </c>
      <c r="AP88" s="6" t="str">
        <f>IFERROR('raw-Return'!AP89-Table14[[#This Row],[RF]],"")</f>
        <v/>
      </c>
      <c r="AQ88" s="6">
        <f>IFERROR('raw-Return'!AQ89-Table14[[#This Row],[RF]],"")</f>
        <v>-1.3141886075807723E-2</v>
      </c>
      <c r="AR88" s="6">
        <f>IFERROR('raw-Return'!AR89-Table14[[#This Row],[RF]],"")</f>
        <v>-2.8679740911763212E-2</v>
      </c>
      <c r="AS88" s="6">
        <f>IFERROR('raw-Return'!AS89-Table14[[#This Row],[RF]],"")</f>
        <v>5.0693297389015797E-3</v>
      </c>
      <c r="AT88" s="6">
        <f>IFERROR('raw-Return'!AT89-Table14[[#This Row],[RF]],"")</f>
        <v>-7.4000000000000003E-3</v>
      </c>
      <c r="AU88" s="6">
        <f>IFERROR('raw-Return'!AU89-Table14[[#This Row],[RF]],"")</f>
        <v>-7.4000000000000003E-3</v>
      </c>
      <c r="AV88" s="6">
        <f>IFERROR('raw-Return'!AV89-Table14[[#This Row],[RF]],"")</f>
        <v>-7.4000000000000003E-3</v>
      </c>
    </row>
    <row r="89" spans="1:48" x14ac:dyDescent="0.2">
      <c r="A89" s="2">
        <v>40877</v>
      </c>
      <c r="B89" s="6">
        <f>IFERROR('raw-Return'!B90-Table14[[#This Row],[RF]],"")</f>
        <v>3.4879636037697705E-3</v>
      </c>
      <c r="C89" s="6">
        <f>IFERROR('raw-Return'!C90-Table14[[#This Row],[RF]],"")</f>
        <v>-2.7065360491953759E-3</v>
      </c>
      <c r="D89" s="6">
        <f>IFERROR('raw-Return'!D90-Table14[[#This Row],[RF]],"")</f>
        <v>1.3124021618114746E-3</v>
      </c>
      <c r="E89" s="6" t="str">
        <f>IFERROR('raw-Return'!E90-Table14[[#This Row],[RF]],"")</f>
        <v/>
      </c>
      <c r="F89" s="6">
        <f>IFERROR('raw-Return'!F90-Table14[[#This Row],[RF]],"")</f>
        <v>3.5632432655513281E-3</v>
      </c>
      <c r="G89" s="6">
        <f>IFERROR('raw-Return'!G90-Table14[[#This Row],[RF]],"")</f>
        <v>-6.3933097995610116E-2</v>
      </c>
      <c r="H89" s="6">
        <f>IFERROR('raw-Return'!H90-Table14[[#This Row],[RF]],"")</f>
        <v>0.10811822756173303</v>
      </c>
      <c r="I89" s="6">
        <f>IFERROR('raw-Return'!I90-Table14[[#This Row],[RF]],"")</f>
        <v>0.11751685994008251</v>
      </c>
      <c r="J89" s="6">
        <f>IFERROR('raw-Return'!J90-Table14[[#This Row],[RF]],"")</f>
        <v>0.10721199048074878</v>
      </c>
      <c r="K89" s="6">
        <f>IFERROR('raw-Return'!K90-Table14[[#This Row],[RF]],"")</f>
        <v>0.15607087240264614</v>
      </c>
      <c r="L89" s="6">
        <f>IFERROR('raw-Return'!L90-Table14[[#This Row],[RF]],"")</f>
        <v>0.16552902365696628</v>
      </c>
      <c r="M89" s="6">
        <f>IFERROR('raw-Return'!M90-Table14[[#This Row],[RF]],"")</f>
        <v>0.14724296899431519</v>
      </c>
      <c r="N89" s="6">
        <f>IFERROR('raw-Return'!N90-Table14[[#This Row],[RF]],"")</f>
        <v>1.905749725309178E-2</v>
      </c>
      <c r="O89" s="6">
        <f>IFERROR('raw-Return'!O90-Table14[[#This Row],[RF]],"")</f>
        <v>3.2679373023693919E-2</v>
      </c>
      <c r="P89" s="6">
        <f>IFERROR('raw-Return'!P90-Table14[[#This Row],[RF]],"")</f>
        <v>8.7762932422857688E-3</v>
      </c>
      <c r="Q89" s="6">
        <f>IFERROR('raw-Return'!Q90-Table14[[#This Row],[RF]],"")</f>
        <v>0.1008467730723189</v>
      </c>
      <c r="R89" s="6">
        <f>IFERROR('raw-Return'!R90-Table14[[#This Row],[RF]],"")</f>
        <v>0.11777194234589192</v>
      </c>
      <c r="S89" s="6">
        <f>IFERROR('raw-Return'!S90-Table14[[#This Row],[RF]],"")</f>
        <v>-3.6516741523277239E-3</v>
      </c>
      <c r="T89" s="6">
        <f>IFERROR('raw-Return'!T90-Table14[[#This Row],[RF]],"")</f>
        <v>0.12681079742675747</v>
      </c>
      <c r="U89" s="6">
        <f>IFERROR('raw-Return'!U90-Table14[[#This Row],[RF]],"")</f>
        <v>-3.7259024392329892E-2</v>
      </c>
      <c r="V89" s="6">
        <f>IFERROR('raw-Return'!V90-Table14[[#This Row],[RF]],"")</f>
        <v>2.564408260347293E-3</v>
      </c>
      <c r="W89" s="6">
        <f>IFERROR('raw-Return'!W90-Table14[[#This Row],[RF]],"")</f>
        <v>9.9183054162624268E-2</v>
      </c>
      <c r="X89" s="6" t="str">
        <f>IFERROR('raw-Return'!X90-Table14[[#This Row],[RF]],"")</f>
        <v/>
      </c>
      <c r="Y89" s="6">
        <f>IFERROR('raw-Return'!Y90-Table14[[#This Row],[RF]],"")</f>
        <v>1.5303977913318813E-3</v>
      </c>
      <c r="Z89" s="6">
        <f>IFERROR('raw-Return'!Z90-Table14[[#This Row],[RF]],"")</f>
        <v>0.1124430247522484</v>
      </c>
      <c r="AA89" s="6">
        <f>IFERROR('raw-Return'!AA90-Table14[[#This Row],[RF]],"")</f>
        <v>0.12659838572012369</v>
      </c>
      <c r="AB89" s="6">
        <f>IFERROR('raw-Return'!AB90-Table14[[#This Row],[RF]],"")</f>
        <v>0.11050198324257118</v>
      </c>
      <c r="AC89" s="6">
        <f>IFERROR('raw-Return'!AC90-Table14[[#This Row],[RF]],"")</f>
        <v>0.11050198324257118</v>
      </c>
      <c r="AD89" s="6">
        <f>IFERROR('raw-Return'!AD90-Table14[[#This Row],[RF]],"")</f>
        <v>0.14360912935217648</v>
      </c>
      <c r="AE89" s="6">
        <f>IFERROR('raw-Return'!AE90-Table14[[#This Row],[RF]],"")</f>
        <v>4.4825039517693094E-2</v>
      </c>
      <c r="AF89" s="6">
        <f>IFERROR('raw-Return'!AF90-Table14[[#This Row],[RF]],"")</f>
        <v>5.7164840320887395E-2</v>
      </c>
      <c r="AG89" s="6">
        <f>IFERROR('raw-Return'!AG90-Table14[[#This Row],[RF]],"")</f>
        <v>9.595227246162738E-2</v>
      </c>
      <c r="AH89" s="6">
        <f>IFERROR('raw-Return'!AH90-Table14[[#This Row],[RF]],"")</f>
        <v>0.11667326197669867</v>
      </c>
      <c r="AI89" s="6" t="str">
        <f>IFERROR('raw-Return'!AI90-Table14[[#This Row],[RF]],"")</f>
        <v/>
      </c>
      <c r="AJ89" s="6">
        <f>IFERROR('raw-Return'!AJ90-Table14[[#This Row],[RF]],"")</f>
        <v>0.11637518813209877</v>
      </c>
      <c r="AK89" s="6" t="str">
        <f>IFERROR('raw-Return'!AK90-Table14[[#This Row],[RF]],"")</f>
        <v/>
      </c>
      <c r="AL89" s="6">
        <f>IFERROR('raw-Return'!AL90-Table14[[#This Row],[RF]],"")</f>
        <v>0.10532835376039604</v>
      </c>
      <c r="AM89" s="6">
        <f>IFERROR('raw-Return'!AM90-Table14[[#This Row],[RF]],"")</f>
        <v>0.11888999131563635</v>
      </c>
      <c r="AN89" s="6">
        <f>IFERROR('raw-Return'!AN90-Table14[[#This Row],[RF]],"")</f>
        <v>0.1130770191212421</v>
      </c>
      <c r="AO89" s="6" t="str">
        <f>IFERROR('raw-Return'!AO90-Table14[[#This Row],[RF]],"")</f>
        <v/>
      </c>
      <c r="AP89" s="6" t="str">
        <f>IFERROR('raw-Return'!AP90-Table14[[#This Row],[RF]],"")</f>
        <v/>
      </c>
      <c r="AQ89" s="6">
        <f>IFERROR('raw-Return'!AQ90-Table14[[#This Row],[RF]],"")</f>
        <v>0.14675122659060066</v>
      </c>
      <c r="AR89" s="6">
        <f>IFERROR('raw-Return'!AR90-Table14[[#This Row],[RF]],"")</f>
        <v>0.10553269734148793</v>
      </c>
      <c r="AS89" s="6">
        <f>IFERROR('raw-Return'!AS90-Table14[[#This Row],[RF]],"")</f>
        <v>8.3464968571383386E-2</v>
      </c>
      <c r="AT89" s="6">
        <f>IFERROR('raw-Return'!AT90-Table14[[#This Row],[RF]],"")</f>
        <v>2.8000000000000004E-3</v>
      </c>
      <c r="AU89" s="6">
        <f>IFERROR('raw-Return'!AU90-Table14[[#This Row],[RF]],"")</f>
        <v>2.8000000000000004E-3</v>
      </c>
      <c r="AV89" s="6">
        <f>IFERROR('raw-Return'!AV90-Table14[[#This Row],[RF]],"")</f>
        <v>2.8000000000000004E-3</v>
      </c>
    </row>
    <row r="90" spans="1:48" x14ac:dyDescent="0.2">
      <c r="A90" s="2">
        <v>40847</v>
      </c>
      <c r="B90" s="6">
        <f>IFERROR('raw-Return'!B91-Table14[[#This Row],[RF]],"")</f>
        <v>-0.11411808890786995</v>
      </c>
      <c r="C90" s="6">
        <f>IFERROR('raw-Return'!C91-Table14[[#This Row],[RF]],"")</f>
        <v>-5.7931530787455332E-2</v>
      </c>
      <c r="D90" s="6">
        <f>IFERROR('raw-Return'!D91-Table14[[#This Row],[RF]],"")</f>
        <v>-0.10945030196179234</v>
      </c>
      <c r="E90" s="6" t="str">
        <f>IFERROR('raw-Return'!E91-Table14[[#This Row],[RF]],"")</f>
        <v/>
      </c>
      <c r="F90" s="6">
        <f>IFERROR('raw-Return'!F91-Table14[[#This Row],[RF]],"")</f>
        <v>-0.11792395524441329</v>
      </c>
      <c r="G90" s="6">
        <f>IFERROR('raw-Return'!G91-Table14[[#This Row],[RF]],"")</f>
        <v>0.11509605057244093</v>
      </c>
      <c r="H90" s="6">
        <f>IFERROR('raw-Return'!H91-Table14[[#This Row],[RF]],"")</f>
        <v>-0.18527617173167915</v>
      </c>
      <c r="I90" s="6">
        <f>IFERROR('raw-Return'!I91-Table14[[#This Row],[RF]],"")</f>
        <v>-0.18447154086862388</v>
      </c>
      <c r="J90" s="6">
        <f>IFERROR('raw-Return'!J91-Table14[[#This Row],[RF]],"")</f>
        <v>-0.18665908178399609</v>
      </c>
      <c r="K90" s="6">
        <f>IFERROR('raw-Return'!K91-Table14[[#This Row],[RF]],"")</f>
        <v>-0.22337241007004344</v>
      </c>
      <c r="L90" s="6">
        <f>IFERROR('raw-Return'!L91-Table14[[#This Row],[RF]],"")</f>
        <v>-0.22771663699181827</v>
      </c>
      <c r="M90" s="6">
        <f>IFERROR('raw-Return'!M91-Table14[[#This Row],[RF]],"")</f>
        <v>-0.22003825545240457</v>
      </c>
      <c r="N90" s="6">
        <f>IFERROR('raw-Return'!N91-Table14[[#This Row],[RF]],"")</f>
        <v>-0.13014047561985437</v>
      </c>
      <c r="O90" s="6">
        <f>IFERROR('raw-Return'!O91-Table14[[#This Row],[RF]],"")</f>
        <v>-8.3727090211802857E-2</v>
      </c>
      <c r="P90" s="6">
        <f>IFERROR('raw-Return'!P91-Table14[[#This Row],[RF]],"")</f>
        <v>-0.12517639115636608</v>
      </c>
      <c r="Q90" s="6">
        <f>IFERROR('raw-Return'!Q91-Table14[[#This Row],[RF]],"")</f>
        <v>-0.22714147960350167</v>
      </c>
      <c r="R90" s="6">
        <f>IFERROR('raw-Return'!R91-Table14[[#This Row],[RF]],"")</f>
        <v>-0.24362271993734469</v>
      </c>
      <c r="S90" s="6">
        <f>IFERROR('raw-Return'!S91-Table14[[#This Row],[RF]],"")</f>
        <v>-0.10975534708893347</v>
      </c>
      <c r="T90" s="6">
        <f>IFERROR('raw-Return'!T91-Table14[[#This Row],[RF]],"")</f>
        <v>-0.23595952373758516</v>
      </c>
      <c r="U90" s="6">
        <f>IFERROR('raw-Return'!U91-Table14[[#This Row],[RF]],"")</f>
        <v>-1.6665747850929835E-2</v>
      </c>
      <c r="V90" s="6">
        <f>IFERROR('raw-Return'!V91-Table14[[#This Row],[RF]],"")</f>
        <v>-0.11538559215747918</v>
      </c>
      <c r="W90" s="6">
        <f>IFERROR('raw-Return'!W91-Table14[[#This Row],[RF]],"")</f>
        <v>-0.1813780819006055</v>
      </c>
      <c r="X90" s="6" t="str">
        <f>IFERROR('raw-Return'!X91-Table14[[#This Row],[RF]],"")</f>
        <v/>
      </c>
      <c r="Y90" s="6">
        <f>IFERROR('raw-Return'!Y91-Table14[[#This Row],[RF]],"")</f>
        <v>-0.11778895301223508</v>
      </c>
      <c r="Z90" s="6">
        <f>IFERROR('raw-Return'!Z91-Table14[[#This Row],[RF]],"")</f>
        <v>-0.26634616114212201</v>
      </c>
      <c r="AA90" s="6">
        <f>IFERROR('raw-Return'!AA91-Table14[[#This Row],[RF]],"")</f>
        <v>-0.20052103991544762</v>
      </c>
      <c r="AB90" s="6">
        <f>IFERROR('raw-Return'!AB91-Table14[[#This Row],[RF]],"")</f>
        <v>-0.18677292924836414</v>
      </c>
      <c r="AC90" s="6">
        <f>IFERROR('raw-Return'!AC91-Table14[[#This Row],[RF]],"")</f>
        <v>-0.18677292924836414</v>
      </c>
      <c r="AD90" s="6">
        <f>IFERROR('raw-Return'!AD91-Table14[[#This Row],[RF]],"")</f>
        <v>-0.22325687061518701</v>
      </c>
      <c r="AE90" s="6">
        <f>IFERROR('raw-Return'!AE91-Table14[[#This Row],[RF]],"")</f>
        <v>-0.18215358632880257</v>
      </c>
      <c r="AF90" s="6">
        <f>IFERROR('raw-Return'!AF91-Table14[[#This Row],[RF]],"")</f>
        <v>-0.20499205913520052</v>
      </c>
      <c r="AG90" s="6">
        <f>IFERROR('raw-Return'!AG91-Table14[[#This Row],[RF]],"")</f>
        <v>-0.26281079717479</v>
      </c>
      <c r="AH90" s="6">
        <f>IFERROR('raw-Return'!AH91-Table14[[#This Row],[RF]],"")</f>
        <v>-0.22076019439438704</v>
      </c>
      <c r="AI90" s="6" t="str">
        <f>IFERROR('raw-Return'!AI91-Table14[[#This Row],[RF]],"")</f>
        <v/>
      </c>
      <c r="AJ90" s="6">
        <f>IFERROR('raw-Return'!AJ91-Table14[[#This Row],[RF]],"")</f>
        <v>-0.19410765061650509</v>
      </c>
      <c r="AK90" s="6" t="str">
        <f>IFERROR('raw-Return'!AK91-Table14[[#This Row],[RF]],"")</f>
        <v/>
      </c>
      <c r="AL90" s="6">
        <f>IFERROR('raw-Return'!AL91-Table14[[#This Row],[RF]],"")</f>
        <v>-0.18914285820932469</v>
      </c>
      <c r="AM90" s="6">
        <f>IFERROR('raw-Return'!AM91-Table14[[#This Row],[RF]],"")</f>
        <v>-0.19009356783790204</v>
      </c>
      <c r="AN90" s="6">
        <f>IFERROR('raw-Return'!AN91-Table14[[#This Row],[RF]],"")</f>
        <v>-0.19081604557078785</v>
      </c>
      <c r="AO90" s="6" t="str">
        <f>IFERROR('raw-Return'!AO91-Table14[[#This Row],[RF]],"")</f>
        <v/>
      </c>
      <c r="AP90" s="6" t="str">
        <f>IFERROR('raw-Return'!AP91-Table14[[#This Row],[RF]],"")</f>
        <v/>
      </c>
      <c r="AQ90" s="6">
        <f>IFERROR('raw-Return'!AQ91-Table14[[#This Row],[RF]],"")</f>
        <v>-0.22480016642950679</v>
      </c>
      <c r="AR90" s="6">
        <f>IFERROR('raw-Return'!AR91-Table14[[#This Row],[RF]],"")</f>
        <v>-0.24013429001345227</v>
      </c>
      <c r="AS90" s="6">
        <f>IFERROR('raw-Return'!AS91-Table14[[#This Row],[RF]],"")</f>
        <v>-0.16288290186634552</v>
      </c>
      <c r="AT90" s="6">
        <f>IFERROR('raw-Return'!AT91-Table14[[#This Row],[RF]],"")</f>
        <v>-0.11349999999999999</v>
      </c>
      <c r="AU90" s="6">
        <f>IFERROR('raw-Return'!AU91-Table14[[#This Row],[RF]],"")</f>
        <v>-0.11349999999999999</v>
      </c>
      <c r="AV90" s="6">
        <f>IFERROR('raw-Return'!AV91-Table14[[#This Row],[RF]],"")</f>
        <v>-0.11349999999999999</v>
      </c>
    </row>
    <row r="91" spans="1:48" x14ac:dyDescent="0.2">
      <c r="A91" s="2">
        <v>40816</v>
      </c>
      <c r="B91" s="6">
        <f>IFERROR('raw-Return'!B92-Table14[[#This Row],[RF]],"")</f>
        <v>9.7419205138626813E-2</v>
      </c>
      <c r="C91" s="6">
        <f>IFERROR('raw-Return'!C92-Table14[[#This Row],[RF]],"")</f>
        <v>0.12237205457711378</v>
      </c>
      <c r="D91" s="6">
        <f>IFERROR('raw-Return'!D92-Table14[[#This Row],[RF]],"")</f>
        <v>8.9745710611057655E-2</v>
      </c>
      <c r="E91" s="6" t="str">
        <f>IFERROR('raw-Return'!E92-Table14[[#This Row],[RF]],"")</f>
        <v/>
      </c>
      <c r="F91" s="6">
        <f>IFERROR('raw-Return'!F92-Table14[[#This Row],[RF]],"")</f>
        <v>8.0517228274856883E-2</v>
      </c>
      <c r="G91" s="6">
        <f>IFERROR('raw-Return'!G92-Table14[[#This Row],[RF]],"")</f>
        <v>0.23961283095534239</v>
      </c>
      <c r="H91" s="6">
        <f>IFERROR('raw-Return'!H92-Table14[[#This Row],[RF]],"")</f>
        <v>2.1514865718148674E-2</v>
      </c>
      <c r="I91" s="6">
        <f>IFERROR('raw-Return'!I92-Table14[[#This Row],[RF]],"")</f>
        <v>2.5096059404696974E-2</v>
      </c>
      <c r="J91" s="6">
        <f>IFERROR('raw-Return'!J92-Table14[[#This Row],[RF]],"")</f>
        <v>1.8637614323932877E-2</v>
      </c>
      <c r="K91" s="6">
        <f>IFERROR('raw-Return'!K92-Table14[[#This Row],[RF]],"")</f>
        <v>-7.5259821920097003E-3</v>
      </c>
      <c r="L91" s="6">
        <f>IFERROR('raw-Return'!L92-Table14[[#This Row],[RF]],"")</f>
        <v>-9.9168194164616918E-3</v>
      </c>
      <c r="M91" s="6">
        <f>IFERROR('raw-Return'!M92-Table14[[#This Row],[RF]],"")</f>
        <v>-5.9708003714830926E-3</v>
      </c>
      <c r="N91" s="6">
        <f>IFERROR('raw-Return'!N92-Table14[[#This Row],[RF]],"")</f>
        <v>7.9742606412139733E-2</v>
      </c>
      <c r="O91" s="6">
        <f>IFERROR('raw-Return'!O92-Table14[[#This Row],[RF]],"")</f>
        <v>8.4512289850876693E-2</v>
      </c>
      <c r="P91" s="6">
        <f>IFERROR('raw-Return'!P92-Table14[[#This Row],[RF]],"")</f>
        <v>7.3129338962613005E-2</v>
      </c>
      <c r="Q91" s="6">
        <f>IFERROR('raw-Return'!Q92-Table14[[#This Row],[RF]],"")</f>
        <v>-9.6874011849731045E-3</v>
      </c>
      <c r="R91" s="6">
        <f>IFERROR('raw-Return'!R92-Table14[[#This Row],[RF]],"")</f>
        <v>-8.8315881314868505E-3</v>
      </c>
      <c r="S91" s="6">
        <f>IFERROR('raw-Return'!S92-Table14[[#This Row],[RF]],"")</f>
        <v>0.10204464436331598</v>
      </c>
      <c r="T91" s="6">
        <f>IFERROR('raw-Return'!T92-Table14[[#This Row],[RF]],"")</f>
        <v>-1.6793464333590163E-2</v>
      </c>
      <c r="U91" s="6">
        <f>IFERROR('raw-Return'!U92-Table14[[#This Row],[RF]],"")</f>
        <v>0.16012642356219856</v>
      </c>
      <c r="V91" s="6">
        <f>IFERROR('raw-Return'!V92-Table14[[#This Row],[RF]],"")</f>
        <v>7.9269397638601552E-2</v>
      </c>
      <c r="W91" s="6">
        <f>IFERROR('raw-Return'!W92-Table14[[#This Row],[RF]],"")</f>
        <v>4.3831323751054169E-2</v>
      </c>
      <c r="X91" s="6" t="str">
        <f>IFERROR('raw-Return'!X92-Table14[[#This Row],[RF]],"")</f>
        <v/>
      </c>
      <c r="Y91" s="6">
        <f>IFERROR('raw-Return'!Y92-Table14[[#This Row],[RF]],"")</f>
        <v>8.8667569851277689E-2</v>
      </c>
      <c r="Z91" s="6">
        <f>IFERROR('raw-Return'!Z92-Table14[[#This Row],[RF]],"")</f>
        <v>5.7893166191859413E-3</v>
      </c>
      <c r="AA91" s="6">
        <f>IFERROR('raw-Return'!AA92-Table14[[#This Row],[RF]],"")</f>
        <v>1.0215546011457827E-2</v>
      </c>
      <c r="AB91" s="6">
        <f>IFERROR('raw-Return'!AB92-Table14[[#This Row],[RF]],"")</f>
        <v>2.0805528599606188E-2</v>
      </c>
      <c r="AC91" s="6">
        <f>IFERROR('raw-Return'!AC92-Table14[[#This Row],[RF]],"")</f>
        <v>2.0805528599606188E-2</v>
      </c>
      <c r="AD91" s="6">
        <f>IFERROR('raw-Return'!AD92-Table14[[#This Row],[RF]],"")</f>
        <v>1.881495297986896E-3</v>
      </c>
      <c r="AE91" s="6">
        <f>IFERROR('raw-Return'!AE92-Table14[[#This Row],[RF]],"")</f>
        <v>4.5437482033626103E-2</v>
      </c>
      <c r="AF91" s="6">
        <f>IFERROR('raw-Return'!AF92-Table14[[#This Row],[RF]],"")</f>
        <v>1.016436137733015E-2</v>
      </c>
      <c r="AG91" s="6">
        <f>IFERROR('raw-Return'!AG92-Table14[[#This Row],[RF]],"")</f>
        <v>-1.3504206294947724E-2</v>
      </c>
      <c r="AH91" s="6">
        <f>IFERROR('raw-Return'!AH92-Table14[[#This Row],[RF]],"")</f>
        <v>3.3912839817765994E-3</v>
      </c>
      <c r="AI91" s="6" t="str">
        <f>IFERROR('raw-Return'!AI92-Table14[[#This Row],[RF]],"")</f>
        <v/>
      </c>
      <c r="AJ91" s="6">
        <f>IFERROR('raw-Return'!AJ92-Table14[[#This Row],[RF]],"")</f>
        <v>1.5036505396859995E-2</v>
      </c>
      <c r="AK91" s="6" t="str">
        <f>IFERROR('raw-Return'!AK92-Table14[[#This Row],[RF]],"")</f>
        <v/>
      </c>
      <c r="AL91" s="6">
        <f>IFERROR('raw-Return'!AL92-Table14[[#This Row],[RF]],"")</f>
        <v>1.6840164525649431E-2</v>
      </c>
      <c r="AM91" s="6">
        <f>IFERROR('raw-Return'!AM92-Table14[[#This Row],[RF]],"")</f>
        <v>1.9256822926731837E-2</v>
      </c>
      <c r="AN91" s="6">
        <f>IFERROR('raw-Return'!AN92-Table14[[#This Row],[RF]],"")</f>
        <v>1.8866663909952092E-2</v>
      </c>
      <c r="AO91" s="6" t="str">
        <f>IFERROR('raw-Return'!AO92-Table14[[#This Row],[RF]],"")</f>
        <v/>
      </c>
      <c r="AP91" s="6" t="str">
        <f>IFERROR('raw-Return'!AP92-Table14[[#This Row],[RF]],"")</f>
        <v/>
      </c>
      <c r="AQ91" s="6">
        <f>IFERROR('raw-Return'!AQ92-Table14[[#This Row],[RF]],"")</f>
        <v>-7.0284590500097888E-3</v>
      </c>
      <c r="AR91" s="6">
        <f>IFERROR('raw-Return'!AR92-Table14[[#This Row],[RF]],"")</f>
        <v>-8.6733326536009014E-3</v>
      </c>
      <c r="AS91" s="6">
        <f>IFERROR('raw-Return'!AS92-Table14[[#This Row],[RF]],"")</f>
        <v>4.7759198168621758E-2</v>
      </c>
      <c r="AT91" s="6">
        <f>IFERROR('raw-Return'!AT92-Table14[[#This Row],[RF]],"")</f>
        <v>7.5899999999999995E-2</v>
      </c>
      <c r="AU91" s="6">
        <f>IFERROR('raw-Return'!AU92-Table14[[#This Row],[RF]],"")</f>
        <v>7.5899999999999995E-2</v>
      </c>
      <c r="AV91" s="6">
        <f>IFERROR('raw-Return'!AV92-Table14[[#This Row],[RF]],"")</f>
        <v>7.5899999999999995E-2</v>
      </c>
    </row>
    <row r="92" spans="1:48" x14ac:dyDescent="0.2">
      <c r="A92" s="2">
        <v>40786</v>
      </c>
      <c r="B92" s="6">
        <f>IFERROR('raw-Return'!B93-Table14[[#This Row],[RF]],"")</f>
        <v>8.2419824170556877E-2</v>
      </c>
      <c r="C92" s="6">
        <f>IFERROR('raw-Return'!C93-Table14[[#This Row],[RF]],"")</f>
        <v>9.8921499904769117E-2</v>
      </c>
      <c r="D92" s="6">
        <f>IFERROR('raw-Return'!D93-Table14[[#This Row],[RF]],"")</f>
        <v>7.3477442679830751E-2</v>
      </c>
      <c r="E92" s="6" t="str">
        <f>IFERROR('raw-Return'!E93-Table14[[#This Row],[RF]],"")</f>
        <v/>
      </c>
      <c r="F92" s="6">
        <f>IFERROR('raw-Return'!F93-Table14[[#This Row],[RF]],"")</f>
        <v>6.4457067187215722E-2</v>
      </c>
      <c r="G92" s="6">
        <f>IFERROR('raw-Return'!G93-Table14[[#This Row],[RF]],"")</f>
        <v>0.11981494279889099</v>
      </c>
      <c r="H92" s="6">
        <f>IFERROR('raw-Return'!H93-Table14[[#This Row],[RF]],"")</f>
        <v>4.2493680193648124E-2</v>
      </c>
      <c r="I92" s="6">
        <f>IFERROR('raw-Return'!I93-Table14[[#This Row],[RF]],"")</f>
        <v>5.7379582353883789E-2</v>
      </c>
      <c r="J92" s="6">
        <f>IFERROR('raw-Return'!J93-Table14[[#This Row],[RF]],"")</f>
        <v>2.6637447827705767E-2</v>
      </c>
      <c r="K92" s="6">
        <f>IFERROR('raw-Return'!K93-Table14[[#This Row],[RF]],"")</f>
        <v>2.3708348676868267E-2</v>
      </c>
      <c r="L92" s="6">
        <f>IFERROR('raw-Return'!L93-Table14[[#This Row],[RF]],"")</f>
        <v>2.1146869020638497E-2</v>
      </c>
      <c r="M92" s="6">
        <f>IFERROR('raw-Return'!M93-Table14[[#This Row],[RF]],"")</f>
        <v>2.6641955962539869E-2</v>
      </c>
      <c r="N92" s="6">
        <f>IFERROR('raw-Return'!N93-Table14[[#This Row],[RF]],"")</f>
        <v>8.2387395553090659E-2</v>
      </c>
      <c r="O92" s="6">
        <f>IFERROR('raw-Return'!O93-Table14[[#This Row],[RF]],"")</f>
        <v>9.48821259537031E-2</v>
      </c>
      <c r="P92" s="6">
        <f>IFERROR('raw-Return'!P93-Table14[[#This Row],[RF]],"")</f>
        <v>6.493640266360251E-2</v>
      </c>
      <c r="Q92" s="6">
        <f>IFERROR('raw-Return'!Q93-Table14[[#This Row],[RF]],"")</f>
        <v>3.5904697587549154E-2</v>
      </c>
      <c r="R92" s="6">
        <f>IFERROR('raw-Return'!R93-Table14[[#This Row],[RF]],"")</f>
        <v>3.6263114725957606E-2</v>
      </c>
      <c r="S92" s="6">
        <f>IFERROR('raw-Return'!S93-Table14[[#This Row],[RF]],"")</f>
        <v>8.0020791355690679E-2</v>
      </c>
      <c r="T92" s="6">
        <f>IFERROR('raw-Return'!T93-Table14[[#This Row],[RF]],"")</f>
        <v>1.3852000185300022E-2</v>
      </c>
      <c r="U92" s="6">
        <f>IFERROR('raw-Return'!U93-Table14[[#This Row],[RF]],"")</f>
        <v>9.6641443038883945E-2</v>
      </c>
      <c r="V92" s="6">
        <f>IFERROR('raw-Return'!V93-Table14[[#This Row],[RF]],"")</f>
        <v>6.1896925178803235E-2</v>
      </c>
      <c r="W92" s="6">
        <f>IFERROR('raw-Return'!W93-Table14[[#This Row],[RF]],"")</f>
        <v>2.5200126251824599E-2</v>
      </c>
      <c r="X92" s="6" t="str">
        <f>IFERROR('raw-Return'!X93-Table14[[#This Row],[RF]],"")</f>
        <v/>
      </c>
      <c r="Y92" s="6">
        <f>IFERROR('raw-Return'!Y93-Table14[[#This Row],[RF]],"")</f>
        <v>6.5296212814132726E-2</v>
      </c>
      <c r="Z92" s="6">
        <f>IFERROR('raw-Return'!Z93-Table14[[#This Row],[RF]],"")</f>
        <v>6.176118286371917E-2</v>
      </c>
      <c r="AA92" s="6">
        <f>IFERROR('raw-Return'!AA93-Table14[[#This Row],[RF]],"")</f>
        <v>2.1035462620261618E-2</v>
      </c>
      <c r="AB92" s="6">
        <f>IFERROR('raw-Return'!AB93-Table14[[#This Row],[RF]],"")</f>
        <v>3.9379289540748368E-2</v>
      </c>
      <c r="AC92" s="6">
        <f>IFERROR('raw-Return'!AC93-Table14[[#This Row],[RF]],"")</f>
        <v>3.9379289540748368E-2</v>
      </c>
      <c r="AD92" s="6">
        <f>IFERROR('raw-Return'!AD93-Table14[[#This Row],[RF]],"")</f>
        <v>2.9200655308071748E-2</v>
      </c>
      <c r="AE92" s="6">
        <f>IFERROR('raw-Return'!AE93-Table14[[#This Row],[RF]],"")</f>
        <v>2.9381993876322274E-3</v>
      </c>
      <c r="AF92" s="6">
        <f>IFERROR('raw-Return'!AF93-Table14[[#This Row],[RF]],"")</f>
        <v>6.9649844088100321E-2</v>
      </c>
      <c r="AG92" s="6">
        <f>IFERROR('raw-Return'!AG93-Table14[[#This Row],[RF]],"")</f>
        <v>4.5744267671109111E-2</v>
      </c>
      <c r="AH92" s="6">
        <f>IFERROR('raw-Return'!AH93-Table14[[#This Row],[RF]],"")</f>
        <v>3.8398044325434193E-2</v>
      </c>
      <c r="AI92" s="6" t="str">
        <f>IFERROR('raw-Return'!AI93-Table14[[#This Row],[RF]],"")</f>
        <v/>
      </c>
      <c r="AJ92" s="6">
        <f>IFERROR('raw-Return'!AJ93-Table14[[#This Row],[RF]],"")</f>
        <v>3.7347943746552974E-2</v>
      </c>
      <c r="AK92" s="6" t="str">
        <f>IFERROR('raw-Return'!AK93-Table14[[#This Row],[RF]],"")</f>
        <v/>
      </c>
      <c r="AL92" s="6">
        <f>IFERROR('raw-Return'!AL93-Table14[[#This Row],[RF]],"")</f>
        <v>2.5070958736645159E-2</v>
      </c>
      <c r="AM92" s="6">
        <f>IFERROR('raw-Return'!AM93-Table14[[#This Row],[RF]],"")</f>
        <v>5.2673849566148005E-2</v>
      </c>
      <c r="AN92" s="6">
        <f>IFERROR('raw-Return'!AN93-Table14[[#This Row],[RF]],"")</f>
        <v>3.9787853786741927E-2</v>
      </c>
      <c r="AO92" s="6" t="str">
        <f>IFERROR('raw-Return'!AO93-Table14[[#This Row],[RF]],"")</f>
        <v/>
      </c>
      <c r="AP92" s="6" t="str">
        <f>IFERROR('raw-Return'!AP93-Table14[[#This Row],[RF]],"")</f>
        <v/>
      </c>
      <c r="AQ92" s="6">
        <f>IFERROR('raw-Return'!AQ93-Table14[[#This Row],[RF]],"")</f>
        <v>2.7538364725545654E-2</v>
      </c>
      <c r="AR92" s="6">
        <f>IFERROR('raw-Return'!AR93-Table14[[#This Row],[RF]],"")</f>
        <v>4.2468622624147905E-2</v>
      </c>
      <c r="AS92" s="6">
        <f>IFERROR('raw-Return'!AS93-Table14[[#This Row],[RF]],"")</f>
        <v>3.2366428192627854E-2</v>
      </c>
      <c r="AT92" s="6">
        <f>IFERROR('raw-Return'!AT93-Table14[[#This Row],[RF]],"")</f>
        <v>5.9900000000000002E-2</v>
      </c>
      <c r="AU92" s="6">
        <f>IFERROR('raw-Return'!AU93-Table14[[#This Row],[RF]],"")</f>
        <v>5.9900000000000002E-2</v>
      </c>
      <c r="AV92" s="6">
        <f>IFERROR('raw-Return'!AV93-Table14[[#This Row],[RF]],"")</f>
        <v>5.9900000000000002E-2</v>
      </c>
    </row>
    <row r="93" spans="1:48" x14ac:dyDescent="0.2">
      <c r="A93" s="2">
        <v>40755</v>
      </c>
      <c r="B93" s="6">
        <f>IFERROR('raw-Return'!B94-Table14[[#This Row],[RF]],"")</f>
        <v>1.520982701358602E-2</v>
      </c>
      <c r="C93" s="6">
        <f>IFERROR('raw-Return'!C94-Table14[[#This Row],[RF]],"")</f>
        <v>-2.3318704455295818E-3</v>
      </c>
      <c r="D93" s="6">
        <f>IFERROR('raw-Return'!D94-Table14[[#This Row],[RF]],"")</f>
        <v>1.7113301771019041E-2</v>
      </c>
      <c r="E93" s="6" t="str">
        <f>IFERROR('raw-Return'!E94-Table14[[#This Row],[RF]],"")</f>
        <v/>
      </c>
      <c r="F93" s="6">
        <f>IFERROR('raw-Return'!F94-Table14[[#This Row],[RF]],"")</f>
        <v>2.2143325439778195E-2</v>
      </c>
      <c r="G93" s="6">
        <f>IFERROR('raw-Return'!G94-Table14[[#This Row],[RF]],"")</f>
        <v>-2.9434617922319894E-2</v>
      </c>
      <c r="H93" s="6">
        <f>IFERROR('raw-Return'!H94-Table14[[#This Row],[RF]],"")</f>
        <v>3.1070504755498669E-3</v>
      </c>
      <c r="I93" s="6">
        <f>IFERROR('raw-Return'!I94-Table14[[#This Row],[RF]],"")</f>
        <v>6.9231102190806977E-3</v>
      </c>
      <c r="J93" s="6">
        <f>IFERROR('raw-Return'!J94-Table14[[#This Row],[RF]],"")</f>
        <v>-2.0444254652689058E-3</v>
      </c>
      <c r="K93" s="6">
        <f>IFERROR('raw-Return'!K94-Table14[[#This Row],[RF]],"")</f>
        <v>2.6157245335288078E-3</v>
      </c>
      <c r="L93" s="6">
        <f>IFERROR('raw-Return'!L94-Table14[[#This Row],[RF]],"")</f>
        <v>3.4028591885076238E-3</v>
      </c>
      <c r="M93" s="6">
        <f>IFERROR('raw-Return'!M94-Table14[[#This Row],[RF]],"")</f>
        <v>2.7921225105320031E-3</v>
      </c>
      <c r="N93" s="6">
        <f>IFERROR('raw-Return'!N94-Table14[[#This Row],[RF]],"")</f>
        <v>1.2742909432902173E-2</v>
      </c>
      <c r="O93" s="6">
        <f>IFERROR('raw-Return'!O94-Table14[[#This Row],[RF]],"")</f>
        <v>-1.1691199130334333E-3</v>
      </c>
      <c r="P93" s="6">
        <f>IFERROR('raw-Return'!P94-Table14[[#This Row],[RF]],"")</f>
        <v>2.0782632913409361E-2</v>
      </c>
      <c r="Q93" s="6">
        <f>IFERROR('raw-Return'!Q94-Table14[[#This Row],[RF]],"")</f>
        <v>1.1402382038805992E-2</v>
      </c>
      <c r="R93" s="6">
        <f>IFERROR('raw-Return'!R94-Table14[[#This Row],[RF]],"")</f>
        <v>1.2638563992709174E-2</v>
      </c>
      <c r="S93" s="6">
        <f>IFERROR('raw-Return'!S94-Table14[[#This Row],[RF]],"")</f>
        <v>1.9590725789199671E-2</v>
      </c>
      <c r="T93" s="6">
        <f>IFERROR('raw-Return'!T94-Table14[[#This Row],[RF]],"")</f>
        <v>2.8273484537531431E-3</v>
      </c>
      <c r="U93" s="6">
        <f>IFERROR('raw-Return'!U94-Table14[[#This Row],[RF]],"")</f>
        <v>1.1710908622646794E-3</v>
      </c>
      <c r="V93" s="6">
        <f>IFERROR('raw-Return'!V94-Table14[[#This Row],[RF]],"")</f>
        <v>2.3036151829830143E-2</v>
      </c>
      <c r="W93" s="6">
        <f>IFERROR('raw-Return'!W94-Table14[[#This Row],[RF]],"")</f>
        <v>1.0656264456679155E-2</v>
      </c>
      <c r="X93" s="6" t="str">
        <f>IFERROR('raw-Return'!X94-Table14[[#This Row],[RF]],"")</f>
        <v/>
      </c>
      <c r="Y93" s="6">
        <f>IFERROR('raw-Return'!Y94-Table14[[#This Row],[RF]],"")</f>
        <v>2.1357027654805228E-2</v>
      </c>
      <c r="Z93" s="6">
        <f>IFERROR('raw-Return'!Z94-Table14[[#This Row],[RF]],"")</f>
        <v>1.0614916723432E-2</v>
      </c>
      <c r="AA93" s="6">
        <f>IFERROR('raw-Return'!AA94-Table14[[#This Row],[RF]],"")</f>
        <v>-6.5112052794443313E-3</v>
      </c>
      <c r="AB93" s="6">
        <f>IFERROR('raw-Return'!AB94-Table14[[#This Row],[RF]],"")</f>
        <v>2.0939645722662277E-3</v>
      </c>
      <c r="AC93" s="6">
        <f>IFERROR('raw-Return'!AC94-Table14[[#This Row],[RF]],"")</f>
        <v>2.0939645722662277E-3</v>
      </c>
      <c r="AD93" s="6">
        <f>IFERROR('raw-Return'!AD94-Table14[[#This Row],[RF]],"")</f>
        <v>6.224243800595098E-3</v>
      </c>
      <c r="AE93" s="6">
        <f>IFERROR('raw-Return'!AE94-Table14[[#This Row],[RF]],"")</f>
        <v>5.1643383818981599E-3</v>
      </c>
      <c r="AF93" s="6">
        <f>IFERROR('raw-Return'!AF94-Table14[[#This Row],[RF]],"")</f>
        <v>3.0833624847013064E-2</v>
      </c>
      <c r="AG93" s="6">
        <f>IFERROR('raw-Return'!AG94-Table14[[#This Row],[RF]],"")</f>
        <v>2.8307601388898769E-3</v>
      </c>
      <c r="AH93" s="6">
        <f>IFERROR('raw-Return'!AH94-Table14[[#This Row],[RF]],"")</f>
        <v>1.0226204733031419E-2</v>
      </c>
      <c r="AI93" s="6" t="str">
        <f>IFERROR('raw-Return'!AI94-Table14[[#This Row],[RF]],"")</f>
        <v/>
      </c>
      <c r="AJ93" s="6">
        <f>IFERROR('raw-Return'!AJ94-Table14[[#This Row],[RF]],"")</f>
        <v>1.2627974693786743E-3</v>
      </c>
      <c r="AK93" s="6" t="str">
        <f>IFERROR('raw-Return'!AK94-Table14[[#This Row],[RF]],"")</f>
        <v/>
      </c>
      <c r="AL93" s="6">
        <f>IFERROR('raw-Return'!AL94-Table14[[#This Row],[RF]],"")</f>
        <v>-3.3472949583086102E-3</v>
      </c>
      <c r="AM93" s="6">
        <f>IFERROR('raw-Return'!AM94-Table14[[#This Row],[RF]],"")</f>
        <v>6.5937824051518941E-3</v>
      </c>
      <c r="AN93" s="6">
        <f>IFERROR('raw-Return'!AN94-Table14[[#This Row],[RF]],"")</f>
        <v>1.4869398178081646E-3</v>
      </c>
      <c r="AO93" s="6" t="str">
        <f>IFERROR('raw-Return'!AO94-Table14[[#This Row],[RF]],"")</f>
        <v/>
      </c>
      <c r="AP93" s="6" t="str">
        <f>IFERROR('raw-Return'!AP94-Table14[[#This Row],[RF]],"")</f>
        <v/>
      </c>
      <c r="AQ93" s="6">
        <f>IFERROR('raw-Return'!AQ94-Table14[[#This Row],[RF]],"")</f>
        <v>2.4572573646168896E-4</v>
      </c>
      <c r="AR93" s="6">
        <f>IFERROR('raw-Return'!AR94-Table14[[#This Row],[RF]],"")</f>
        <v>1.1428109079735172E-2</v>
      </c>
      <c r="AS93" s="6">
        <f>IFERROR('raw-Return'!AS94-Table14[[#This Row],[RF]],"")</f>
        <v>5.1835892289315184E-3</v>
      </c>
      <c r="AT93" s="6">
        <f>IFERROR('raw-Return'!AT94-Table14[[#This Row],[RF]],"")</f>
        <v>2.3599999999999999E-2</v>
      </c>
      <c r="AU93" s="6">
        <f>IFERROR('raw-Return'!AU94-Table14[[#This Row],[RF]],"")</f>
        <v>2.3599999999999999E-2</v>
      </c>
      <c r="AV93" s="6">
        <f>IFERROR('raw-Return'!AV94-Table14[[#This Row],[RF]],"")</f>
        <v>2.3599999999999999E-2</v>
      </c>
    </row>
    <row r="94" spans="1:48" x14ac:dyDescent="0.2">
      <c r="A94" s="2">
        <v>40724</v>
      </c>
      <c r="B94" s="6">
        <f>IFERROR('raw-Return'!B95-Table14[[#This Row],[RF]],"")</f>
        <v>3.1895035173432548E-2</v>
      </c>
      <c r="C94" s="6">
        <f>IFERROR('raw-Return'!C95-Table14[[#This Row],[RF]],"")</f>
        <v>4.3053122123173512E-2</v>
      </c>
      <c r="D94" s="6">
        <f>IFERROR('raw-Return'!D95-Table14[[#This Row],[RF]],"")</f>
        <v>2.6471406882747336E-2</v>
      </c>
      <c r="E94" s="6" t="str">
        <f>IFERROR('raw-Return'!E95-Table14[[#This Row],[RF]],"")</f>
        <v/>
      </c>
      <c r="F94" s="6">
        <f>IFERROR('raw-Return'!F95-Table14[[#This Row],[RF]],"")</f>
        <v>2.2092619918890374E-2</v>
      </c>
      <c r="G94" s="6">
        <f>IFERROR('raw-Return'!G95-Table14[[#This Row],[RF]],"")</f>
        <v>7.4753762398355336E-2</v>
      </c>
      <c r="H94" s="6">
        <f>IFERROR('raw-Return'!H95-Table14[[#This Row],[RF]],"")</f>
        <v>5.7656137556945514E-3</v>
      </c>
      <c r="I94" s="6">
        <f>IFERROR('raw-Return'!I95-Table14[[#This Row],[RF]],"")</f>
        <v>9.7911165262269256E-3</v>
      </c>
      <c r="J94" s="6">
        <f>IFERROR('raw-Return'!J95-Table14[[#This Row],[RF]],"")</f>
        <v>1.7288452838630092E-3</v>
      </c>
      <c r="K94" s="6">
        <f>IFERROR('raw-Return'!K95-Table14[[#This Row],[RF]],"")</f>
        <v>-2.0590725610317301E-3</v>
      </c>
      <c r="L94" s="6">
        <f>IFERROR('raw-Return'!L95-Table14[[#This Row],[RF]],"")</f>
        <v>8.0573649681352222E-4</v>
      </c>
      <c r="M94" s="6">
        <f>IFERROR('raw-Return'!M95-Table14[[#This Row],[RF]],"")</f>
        <v>-3.675404467717594E-3</v>
      </c>
      <c r="N94" s="6">
        <f>IFERROR('raw-Return'!N95-Table14[[#This Row],[RF]],"")</f>
        <v>2.7199373344249864E-2</v>
      </c>
      <c r="O94" s="6">
        <f>IFERROR('raw-Return'!O95-Table14[[#This Row],[RF]],"")</f>
        <v>4.0547742261982364E-2</v>
      </c>
      <c r="P94" s="6">
        <f>IFERROR('raw-Return'!P95-Table14[[#This Row],[RF]],"")</f>
        <v>2.2343849846537076E-2</v>
      </c>
      <c r="Q94" s="6">
        <f>IFERROR('raw-Return'!Q95-Table14[[#This Row],[RF]],"")</f>
        <v>-9.6015602483193324E-3</v>
      </c>
      <c r="R94" s="6">
        <f>IFERROR('raw-Return'!R95-Table14[[#This Row],[RF]],"")</f>
        <v>-1.4102223076008794E-2</v>
      </c>
      <c r="S94" s="6">
        <f>IFERROR('raw-Return'!S95-Table14[[#This Row],[RF]],"")</f>
        <v>3.4740100561276341E-2</v>
      </c>
      <c r="T94" s="6">
        <f>IFERROR('raw-Return'!T95-Table14[[#This Row],[RF]],"")</f>
        <v>-1.0841730191847268E-2</v>
      </c>
      <c r="U94" s="6">
        <f>IFERROR('raw-Return'!U95-Table14[[#This Row],[RF]],"")</f>
        <v>4.7619943196590395E-2</v>
      </c>
      <c r="V94" s="6">
        <f>IFERROR('raw-Return'!V95-Table14[[#This Row],[RF]],"")</f>
        <v>2.1549306513807862E-2</v>
      </c>
      <c r="W94" s="6">
        <f>IFERROR('raw-Return'!W95-Table14[[#This Row],[RF]],"")</f>
        <v>4.8778647625631749E-3</v>
      </c>
      <c r="X94" s="6" t="str">
        <f>IFERROR('raw-Return'!X95-Table14[[#This Row],[RF]],"")</f>
        <v/>
      </c>
      <c r="Y94" s="6">
        <f>IFERROR('raw-Return'!Y95-Table14[[#This Row],[RF]],"")</f>
        <v>2.6696576578208717E-2</v>
      </c>
      <c r="Z94" s="6">
        <f>IFERROR('raw-Return'!Z95-Table14[[#This Row],[RF]],"")</f>
        <v>1.3240152117152945E-2</v>
      </c>
      <c r="AA94" s="6">
        <f>IFERROR('raw-Return'!AA95-Table14[[#This Row],[RF]],"")</f>
        <v>1.1904635949400319E-2</v>
      </c>
      <c r="AB94" s="6">
        <f>IFERROR('raw-Return'!AB95-Table14[[#This Row],[RF]],"")</f>
        <v>5.928964181286675E-3</v>
      </c>
      <c r="AC94" s="6">
        <f>IFERROR('raw-Return'!AC95-Table14[[#This Row],[RF]],"")</f>
        <v>5.928964181286675E-3</v>
      </c>
      <c r="AD94" s="6">
        <f>IFERROR('raw-Return'!AD95-Table14[[#This Row],[RF]],"")</f>
        <v>1.4594616960465198E-2</v>
      </c>
      <c r="AE94" s="6">
        <f>IFERROR('raw-Return'!AE95-Table14[[#This Row],[RF]],"")</f>
        <v>5.4517785260735183E-2</v>
      </c>
      <c r="AF94" s="6">
        <f>IFERROR('raw-Return'!AF95-Table14[[#This Row],[RF]],"")</f>
        <v>-1.1138334109456374E-2</v>
      </c>
      <c r="AG94" s="6">
        <f>IFERROR('raw-Return'!AG95-Table14[[#This Row],[RF]],"")</f>
        <v>-3.7221470573610277E-3</v>
      </c>
      <c r="AH94" s="6">
        <f>IFERROR('raw-Return'!AH95-Table14[[#This Row],[RF]],"")</f>
        <v>-5.23412598124047E-3</v>
      </c>
      <c r="AI94" s="6" t="str">
        <f>IFERROR('raw-Return'!AI95-Table14[[#This Row],[RF]],"")</f>
        <v/>
      </c>
      <c r="AJ94" s="6">
        <f>IFERROR('raw-Return'!AJ95-Table14[[#This Row],[RF]],"")</f>
        <v>6.9888292024207627E-3</v>
      </c>
      <c r="AK94" s="6" t="str">
        <f>IFERROR('raw-Return'!AK95-Table14[[#This Row],[RF]],"")</f>
        <v/>
      </c>
      <c r="AL94" s="6">
        <f>IFERROR('raw-Return'!AL95-Table14[[#This Row],[RF]],"")</f>
        <v>3.8113950021172877E-3</v>
      </c>
      <c r="AM94" s="6">
        <f>IFERROR('raw-Return'!AM95-Table14[[#This Row],[RF]],"")</f>
        <v>1.0175419435346209E-2</v>
      </c>
      <c r="AN94" s="6">
        <f>IFERROR('raw-Return'!AN95-Table14[[#This Row],[RF]],"")</f>
        <v>7.4961572231024148E-3</v>
      </c>
      <c r="AO94" s="6" t="str">
        <f>IFERROR('raw-Return'!AO95-Table14[[#This Row],[RF]],"")</f>
        <v/>
      </c>
      <c r="AP94" s="6" t="str">
        <f>IFERROR('raw-Return'!AP95-Table14[[#This Row],[RF]],"")</f>
        <v/>
      </c>
      <c r="AQ94" s="6">
        <f>IFERROR('raw-Return'!AQ95-Table14[[#This Row],[RF]],"")</f>
        <v>4.0551669800596296E-3</v>
      </c>
      <c r="AR94" s="6">
        <f>IFERROR('raw-Return'!AR95-Table14[[#This Row],[RF]],"")</f>
        <v>-1.253123074690661E-2</v>
      </c>
      <c r="AS94" s="6">
        <f>IFERROR('raw-Return'!AS95-Table14[[#This Row],[RF]],"")</f>
        <v>1.1530277361029781E-2</v>
      </c>
      <c r="AT94" s="6">
        <f>IFERROR('raw-Return'!AT95-Table14[[#This Row],[RF]],"")</f>
        <v>1.7500000000000002E-2</v>
      </c>
      <c r="AU94" s="6">
        <f>IFERROR('raw-Return'!AU95-Table14[[#This Row],[RF]],"")</f>
        <v>1.7500000000000002E-2</v>
      </c>
      <c r="AV94" s="6">
        <f>IFERROR('raw-Return'!AV95-Table14[[#This Row],[RF]],"")</f>
        <v>1.7500000000000002E-2</v>
      </c>
    </row>
    <row r="95" spans="1:48" x14ac:dyDescent="0.2">
      <c r="A95" s="2">
        <v>40694</v>
      </c>
      <c r="B95" s="6">
        <f>IFERROR('raw-Return'!B96-Table14[[#This Row],[RF]],"")</f>
        <v>3.0792516560023419E-2</v>
      </c>
      <c r="C95" s="6">
        <f>IFERROR('raw-Return'!C96-Table14[[#This Row],[RF]],"")</f>
        <v>3.6125243083883055E-2</v>
      </c>
      <c r="D95" s="6">
        <f>IFERROR('raw-Return'!D96-Table14[[#This Row],[RF]],"")</f>
        <v>2.4508446969900465E-2</v>
      </c>
      <c r="E95" s="6" t="str">
        <f>IFERROR('raw-Return'!E96-Table14[[#This Row],[RF]],"")</f>
        <v/>
      </c>
      <c r="F95" s="6">
        <f>IFERROR('raw-Return'!F96-Table14[[#This Row],[RF]],"")</f>
        <v>2.0482469613236919E-2</v>
      </c>
      <c r="G95" s="6">
        <f>IFERROR('raw-Return'!G96-Table14[[#This Row],[RF]],"")</f>
        <v>4.3823186894667535E-2</v>
      </c>
      <c r="H95" s="6">
        <f>IFERROR('raw-Return'!H96-Table14[[#This Row],[RF]],"")</f>
        <v>4.2989635728600442E-2</v>
      </c>
      <c r="I95" s="6">
        <f>IFERROR('raw-Return'!I96-Table14[[#This Row],[RF]],"")</f>
        <v>4.3773425653623813E-2</v>
      </c>
      <c r="J95" s="6">
        <f>IFERROR('raw-Return'!J96-Table14[[#This Row],[RF]],"")</f>
        <v>4.2842516382674514E-2</v>
      </c>
      <c r="K95" s="6">
        <f>IFERROR('raw-Return'!K96-Table14[[#This Row],[RF]],"")</f>
        <v>4.2062942257028516E-2</v>
      </c>
      <c r="L95" s="6">
        <f>IFERROR('raw-Return'!L96-Table14[[#This Row],[RF]],"")</f>
        <v>4.576263150265765E-2</v>
      </c>
      <c r="M95" s="6">
        <f>IFERROR('raw-Return'!M96-Table14[[#This Row],[RF]],"")</f>
        <v>3.6006509173862458E-2</v>
      </c>
      <c r="N95" s="6">
        <f>IFERROR('raw-Return'!N96-Table14[[#This Row],[RF]],"")</f>
        <v>3.0304875750003801E-2</v>
      </c>
      <c r="O95" s="6">
        <f>IFERROR('raw-Return'!O96-Table14[[#This Row],[RF]],"")</f>
        <v>3.545138044868297E-2</v>
      </c>
      <c r="P95" s="6">
        <f>IFERROR('raw-Return'!P96-Table14[[#This Row],[RF]],"")</f>
        <v>2.2641966985214989E-2</v>
      </c>
      <c r="Q95" s="6">
        <f>IFERROR('raw-Return'!Q96-Table14[[#This Row],[RF]],"")</f>
        <v>7.4727392854271171E-2</v>
      </c>
      <c r="R95" s="6">
        <f>IFERROR('raw-Return'!R96-Table14[[#This Row],[RF]],"")</f>
        <v>6.704613801646693E-2</v>
      </c>
      <c r="S95" s="6">
        <f>IFERROR('raw-Return'!S96-Table14[[#This Row],[RF]],"")</f>
        <v>2.6736383387420192E-2</v>
      </c>
      <c r="T95" s="6">
        <f>IFERROR('raw-Return'!T96-Table14[[#This Row],[RF]],"")</f>
        <v>9.5692739254107664E-2</v>
      </c>
      <c r="U95" s="6">
        <f>IFERROR('raw-Return'!U96-Table14[[#This Row],[RF]],"")</f>
        <v>3.1143017000120631E-2</v>
      </c>
      <c r="V95" s="6">
        <f>IFERROR('raw-Return'!V96-Table14[[#This Row],[RF]],"")</f>
        <v>1.5226757549283109E-2</v>
      </c>
      <c r="W95" s="6">
        <f>IFERROR('raw-Return'!W96-Table14[[#This Row],[RF]],"")</f>
        <v>4.7714433286114202E-2</v>
      </c>
      <c r="X95" s="6" t="str">
        <f>IFERROR('raw-Return'!X96-Table14[[#This Row],[RF]],"")</f>
        <v/>
      </c>
      <c r="Y95" s="6">
        <f>IFERROR('raw-Return'!Y96-Table14[[#This Row],[RF]],"")</f>
        <v>2.5170778932719417E-2</v>
      </c>
      <c r="Z95" s="6">
        <f>IFERROR('raw-Return'!Z96-Table14[[#This Row],[RF]],"")</f>
        <v>5.7439330085167953E-2</v>
      </c>
      <c r="AA95" s="6">
        <f>IFERROR('raw-Return'!AA96-Table14[[#This Row],[RF]],"")</f>
        <v>4.1928326435017052E-2</v>
      </c>
      <c r="AB95" s="6">
        <f>IFERROR('raw-Return'!AB96-Table14[[#This Row],[RF]],"")</f>
        <v>4.1941034679466263E-2</v>
      </c>
      <c r="AC95" s="6">
        <f>IFERROR('raw-Return'!AC96-Table14[[#This Row],[RF]],"")</f>
        <v>4.1941034679466263E-2</v>
      </c>
      <c r="AD95" s="6">
        <f>IFERROR('raw-Return'!AD96-Table14[[#This Row],[RF]],"")</f>
        <v>3.7731774380635866E-2</v>
      </c>
      <c r="AE95" s="6">
        <f>IFERROR('raw-Return'!AE96-Table14[[#This Row],[RF]],"")</f>
        <v>3.3608003036709702E-2</v>
      </c>
      <c r="AF95" s="6">
        <f>IFERROR('raw-Return'!AF96-Table14[[#This Row],[RF]],"")</f>
        <v>4.7809798726963518E-2</v>
      </c>
      <c r="AG95" s="6">
        <f>IFERROR('raw-Return'!AG96-Table14[[#This Row],[RF]],"")</f>
        <v>6.4312361403085008E-2</v>
      </c>
      <c r="AH95" s="6">
        <f>IFERROR('raw-Return'!AH96-Table14[[#This Row],[RF]],"")</f>
        <v>5.623362270713235E-2</v>
      </c>
      <c r="AI95" s="6" t="str">
        <f>IFERROR('raw-Return'!AI96-Table14[[#This Row],[RF]],"")</f>
        <v/>
      </c>
      <c r="AJ95" s="6">
        <f>IFERROR('raw-Return'!AJ96-Table14[[#This Row],[RF]],"")</f>
        <v>4.1683214399550542E-2</v>
      </c>
      <c r="AK95" s="6" t="str">
        <f>IFERROR('raw-Return'!AK96-Table14[[#This Row],[RF]],"")</f>
        <v/>
      </c>
      <c r="AL95" s="6">
        <f>IFERROR('raw-Return'!AL96-Table14[[#This Row],[RF]],"")</f>
        <v>4.2272305604995911E-2</v>
      </c>
      <c r="AM95" s="6">
        <f>IFERROR('raw-Return'!AM96-Table14[[#This Row],[RF]],"")</f>
        <v>4.3630342615872911E-2</v>
      </c>
      <c r="AN95" s="6">
        <f>IFERROR('raw-Return'!AN96-Table14[[#This Row],[RF]],"")</f>
        <v>4.2546399154862094E-2</v>
      </c>
      <c r="AO95" s="6" t="str">
        <f>IFERROR('raw-Return'!AO96-Table14[[#This Row],[RF]],"")</f>
        <v/>
      </c>
      <c r="AP95" s="6" t="str">
        <f>IFERROR('raw-Return'!AP96-Table14[[#This Row],[RF]],"")</f>
        <v/>
      </c>
      <c r="AQ95" s="6">
        <f>IFERROR('raw-Return'!AQ96-Table14[[#This Row],[RF]],"")</f>
        <v>4.0099354855096372E-2</v>
      </c>
      <c r="AR95" s="6">
        <f>IFERROR('raw-Return'!AR96-Table14[[#This Row],[RF]],"")</f>
        <v>6.4412180584687187E-2</v>
      </c>
      <c r="AS95" s="6">
        <f>IFERROR('raw-Return'!AS96-Table14[[#This Row],[RF]],"")</f>
        <v>5.2876404240920508E-2</v>
      </c>
      <c r="AT95" s="6">
        <f>IFERROR('raw-Return'!AT96-Table14[[#This Row],[RF]],"")</f>
        <v>1.2699999999999999E-2</v>
      </c>
      <c r="AU95" s="6">
        <f>IFERROR('raw-Return'!AU96-Table14[[#This Row],[RF]],"")</f>
        <v>1.2699999999999999E-2</v>
      </c>
      <c r="AV95" s="6">
        <f>IFERROR('raw-Return'!AV96-Table14[[#This Row],[RF]],"")</f>
        <v>1.2699999999999999E-2</v>
      </c>
    </row>
    <row r="96" spans="1:48" x14ac:dyDescent="0.2">
      <c r="A96" s="2">
        <v>40663</v>
      </c>
      <c r="B96" s="6">
        <f>IFERROR('raw-Return'!B97-Table14[[#This Row],[RF]],"")</f>
        <v>-3.8741857153331755E-2</v>
      </c>
      <c r="C96" s="6">
        <f>IFERROR('raw-Return'!C97-Table14[[#This Row],[RF]],"")</f>
        <v>-3.6660505342904076E-2</v>
      </c>
      <c r="D96" s="6">
        <f>IFERROR('raw-Return'!D97-Table14[[#This Row],[RF]],"")</f>
        <v>-3.3100142342544742E-2</v>
      </c>
      <c r="E96" s="6" t="str">
        <f>IFERROR('raw-Return'!E97-Table14[[#This Row],[RF]],"")</f>
        <v/>
      </c>
      <c r="F96" s="6">
        <f>IFERROR('raw-Return'!F97-Table14[[#This Row],[RF]],"")</f>
        <v>-3.2478559677376756E-2</v>
      </c>
      <c r="G96" s="6">
        <f>IFERROR('raw-Return'!G97-Table14[[#This Row],[RF]],"")</f>
        <v>-4.0076903095620703E-2</v>
      </c>
      <c r="H96" s="6">
        <f>IFERROR('raw-Return'!H97-Table14[[#This Row],[RF]],"")</f>
        <v>-3.5529513250060013E-2</v>
      </c>
      <c r="I96" s="6">
        <f>IFERROR('raw-Return'!I97-Table14[[#This Row],[RF]],"")</f>
        <v>-3.2654039435268539E-2</v>
      </c>
      <c r="J96" s="6">
        <f>IFERROR('raw-Return'!J97-Table14[[#This Row],[RF]],"")</f>
        <v>-3.8031836555341231E-2</v>
      </c>
      <c r="K96" s="6">
        <f>IFERROR('raw-Return'!K97-Table14[[#This Row],[RF]],"")</f>
        <v>-5.5535416512804969E-3</v>
      </c>
      <c r="L96" s="6">
        <f>IFERROR('raw-Return'!L97-Table14[[#This Row],[RF]],"")</f>
        <v>2.8648552709936992E-3</v>
      </c>
      <c r="M96" s="6">
        <f>IFERROR('raw-Return'!M97-Table14[[#This Row],[RF]],"")</f>
        <v>-1.4324243810737686E-2</v>
      </c>
      <c r="N96" s="6">
        <f>IFERROR('raw-Return'!N97-Table14[[#This Row],[RF]],"")</f>
        <v>-3.3705200426933563E-2</v>
      </c>
      <c r="O96" s="6">
        <f>IFERROR('raw-Return'!O97-Table14[[#This Row],[RF]],"")</f>
        <v>-4.0317616756851055E-2</v>
      </c>
      <c r="P96" s="6">
        <f>IFERROR('raw-Return'!P97-Table14[[#This Row],[RF]],"")</f>
        <v>-3.2625014219526877E-2</v>
      </c>
      <c r="Q96" s="6">
        <f>IFERROR('raw-Return'!Q97-Table14[[#This Row],[RF]],"")</f>
        <v>-5.430461679938145E-2</v>
      </c>
      <c r="R96" s="6">
        <f>IFERROR('raw-Return'!R97-Table14[[#This Row],[RF]],"")</f>
        <v>-3.1146706370585336E-2</v>
      </c>
      <c r="S96" s="6">
        <f>IFERROR('raw-Return'!S97-Table14[[#This Row],[RF]],"")</f>
        <v>-3.2466048064444059E-2</v>
      </c>
      <c r="T96" s="6">
        <f>IFERROR('raw-Return'!T97-Table14[[#This Row],[RF]],"")</f>
        <v>-3.9202168689573019E-2</v>
      </c>
      <c r="U96" s="6">
        <f>IFERROR('raw-Return'!U97-Table14[[#This Row],[RF]],"")</f>
        <v>-3.3346383588120115E-2</v>
      </c>
      <c r="V96" s="6">
        <f>IFERROR('raw-Return'!V97-Table14[[#This Row],[RF]],"")</f>
        <v>-3.0506871853841794E-2</v>
      </c>
      <c r="W96" s="6">
        <f>IFERROR('raw-Return'!W97-Table14[[#This Row],[RF]],"")</f>
        <v>-2.349907469534504E-2</v>
      </c>
      <c r="X96" s="6" t="str">
        <f>IFERROR('raw-Return'!X97-Table14[[#This Row],[RF]],"")</f>
        <v/>
      </c>
      <c r="Y96" s="6">
        <f>IFERROR('raw-Return'!Y97-Table14[[#This Row],[RF]],"")</f>
        <v>-3.2632944657785407E-2</v>
      </c>
      <c r="Z96" s="6">
        <f>IFERROR('raw-Return'!Z97-Table14[[#This Row],[RF]],"")</f>
        <v>-3.0176500783807375E-2</v>
      </c>
      <c r="AA96" s="6">
        <f>IFERROR('raw-Return'!AA97-Table14[[#This Row],[RF]],"")</f>
        <v>-1.6219322340906034E-2</v>
      </c>
      <c r="AB96" s="6">
        <f>IFERROR('raw-Return'!AB97-Table14[[#This Row],[RF]],"")</f>
        <v>-3.3491062462176896E-2</v>
      </c>
      <c r="AC96" s="6">
        <f>IFERROR('raw-Return'!AC97-Table14[[#This Row],[RF]],"")</f>
        <v>-3.3491062462176896E-2</v>
      </c>
      <c r="AD96" s="6">
        <f>IFERROR('raw-Return'!AD97-Table14[[#This Row],[RF]],"")</f>
        <v>-8.9668269993224692E-3</v>
      </c>
      <c r="AE96" s="6">
        <f>IFERROR('raw-Return'!AE97-Table14[[#This Row],[RF]],"")</f>
        <v>8.2844273058416962E-3</v>
      </c>
      <c r="AF96" s="6">
        <f>IFERROR('raw-Return'!AF97-Table14[[#This Row],[RF]],"")</f>
        <v>-8.9154211264482724E-2</v>
      </c>
      <c r="AG96" s="6">
        <f>IFERROR('raw-Return'!AG97-Table14[[#This Row],[RF]],"")</f>
        <v>-1.5615901005967409E-2</v>
      </c>
      <c r="AH96" s="6">
        <f>IFERROR('raw-Return'!AH97-Table14[[#This Row],[RF]],"")</f>
        <v>-2.9576062383106366E-2</v>
      </c>
      <c r="AI96" s="6" t="str">
        <f>IFERROR('raw-Return'!AI97-Table14[[#This Row],[RF]],"")</f>
        <v/>
      </c>
      <c r="AJ96" s="6">
        <f>IFERROR('raw-Return'!AJ97-Table14[[#This Row],[RF]],"")</f>
        <v>-2.9067964472772573E-2</v>
      </c>
      <c r="AK96" s="6" t="str">
        <f>IFERROR('raw-Return'!AK97-Table14[[#This Row],[RF]],"")</f>
        <v/>
      </c>
      <c r="AL96" s="6">
        <f>IFERROR('raw-Return'!AL97-Table14[[#This Row],[RF]],"")</f>
        <v>-3.4922543747874041E-2</v>
      </c>
      <c r="AM96" s="6">
        <f>IFERROR('raw-Return'!AM97-Table14[[#This Row],[RF]],"")</f>
        <v>-2.8979004319511364E-2</v>
      </c>
      <c r="AN96" s="6">
        <f>IFERROR('raw-Return'!AN97-Table14[[#This Row],[RF]],"")</f>
        <v>-3.2161707174245796E-2</v>
      </c>
      <c r="AO96" s="6" t="str">
        <f>IFERROR('raw-Return'!AO97-Table14[[#This Row],[RF]],"")</f>
        <v/>
      </c>
      <c r="AP96" s="6" t="str">
        <f>IFERROR('raw-Return'!AP97-Table14[[#This Row],[RF]],"")</f>
        <v/>
      </c>
      <c r="AQ96" s="6">
        <f>IFERROR('raw-Return'!AQ97-Table14[[#This Row],[RF]],"")</f>
        <v>-8.2997816581432404E-3</v>
      </c>
      <c r="AR96" s="6">
        <f>IFERROR('raw-Return'!AR97-Table14[[#This Row],[RF]],"")</f>
        <v>-3.1481954984295818E-2</v>
      </c>
      <c r="AS96" s="6">
        <f>IFERROR('raw-Return'!AS97-Table14[[#This Row],[RF]],"")</f>
        <v>-2.8918107438078072E-2</v>
      </c>
      <c r="AT96" s="6">
        <f>IFERROR('raw-Return'!AT97-Table14[[#This Row],[RF]],"")</f>
        <v>-2.8999999999999998E-2</v>
      </c>
      <c r="AU96" s="6">
        <f>IFERROR('raw-Return'!AU97-Table14[[#This Row],[RF]],"")</f>
        <v>-2.8999999999999998E-2</v>
      </c>
      <c r="AV96" s="6">
        <f>IFERROR('raw-Return'!AV97-Table14[[#This Row],[RF]],"")</f>
        <v>-2.8999999999999998E-2</v>
      </c>
    </row>
    <row r="97" spans="1:48" x14ac:dyDescent="0.2">
      <c r="A97" s="2">
        <v>40633</v>
      </c>
      <c r="B97" s="6" t="str">
        <f>IFERROR('raw-Return'!B98-Table14[[#This Row],[RF]],"")</f>
        <v/>
      </c>
      <c r="C97" s="6" t="str">
        <f>IFERROR('raw-Return'!C98-Table14[[#This Row],[RF]],"")</f>
        <v/>
      </c>
      <c r="D97" s="6" t="str">
        <f>IFERROR('raw-Return'!D98-Table14[[#This Row],[RF]],"")</f>
        <v/>
      </c>
      <c r="E97" s="6" t="str">
        <f>IFERROR('raw-Return'!E98-Table14[[#This Row],[RF]],"")</f>
        <v/>
      </c>
      <c r="F97" s="6" t="str">
        <f>IFERROR('raw-Return'!F98-Table14[[#This Row],[RF]],"")</f>
        <v/>
      </c>
      <c r="G97" s="6" t="str">
        <f>IFERROR('raw-Return'!G98-Table14[[#This Row],[RF]],"")</f>
        <v/>
      </c>
      <c r="H97" s="6" t="str">
        <f>IFERROR('raw-Return'!H98-Table14[[#This Row],[RF]],"")</f>
        <v/>
      </c>
      <c r="I97" s="6" t="str">
        <f>IFERROR('raw-Return'!I98-Table14[[#This Row],[RF]],"")</f>
        <v/>
      </c>
      <c r="J97" s="6" t="str">
        <f>IFERROR('raw-Return'!J98-Table14[[#This Row],[RF]],"")</f>
        <v/>
      </c>
      <c r="K97" s="6" t="str">
        <f>IFERROR('raw-Return'!K98-Table14[[#This Row],[RF]],"")</f>
        <v/>
      </c>
      <c r="L97" s="6" t="str">
        <f>IFERROR('raw-Return'!L98-Table14[[#This Row],[RF]],"")</f>
        <v/>
      </c>
      <c r="M97" s="6" t="str">
        <f>IFERROR('raw-Return'!M98-Table14[[#This Row],[RF]],"")</f>
        <v/>
      </c>
      <c r="N97" s="6" t="str">
        <f>IFERROR('raw-Return'!N98-Table14[[#This Row],[RF]],"")</f>
        <v/>
      </c>
      <c r="O97" s="6" t="str">
        <f>IFERROR('raw-Return'!O98-Table14[[#This Row],[RF]],"")</f>
        <v/>
      </c>
      <c r="P97" s="6" t="str">
        <f>IFERROR('raw-Return'!P98-Table14[[#This Row],[RF]],"")</f>
        <v/>
      </c>
      <c r="Q97" s="6" t="str">
        <f>IFERROR('raw-Return'!Q98-Table14[[#This Row],[RF]],"")</f>
        <v/>
      </c>
      <c r="R97" s="6" t="str">
        <f>IFERROR('raw-Return'!R98-Table14[[#This Row],[RF]],"")</f>
        <v/>
      </c>
      <c r="S97" s="6" t="str">
        <f>IFERROR('raw-Return'!S98-Table14[[#This Row],[RF]],"")</f>
        <v/>
      </c>
      <c r="T97" s="6" t="str">
        <f>IFERROR('raw-Return'!T98-Table14[[#This Row],[RF]],"")</f>
        <v/>
      </c>
      <c r="U97" s="6" t="str">
        <f>IFERROR('raw-Return'!U98-Table14[[#This Row],[RF]],"")</f>
        <v/>
      </c>
      <c r="V97" s="6" t="str">
        <f>IFERROR('raw-Return'!V98-Table14[[#This Row],[RF]],"")</f>
        <v/>
      </c>
      <c r="W97" s="6" t="str">
        <f>IFERROR('raw-Return'!W98-Table14[[#This Row],[RF]],"")</f>
        <v/>
      </c>
      <c r="X97" s="6" t="str">
        <f>IFERROR('raw-Return'!X98-Table14[[#This Row],[RF]],"")</f>
        <v/>
      </c>
      <c r="Y97" s="6" t="str">
        <f>IFERROR('raw-Return'!Y98-Table14[[#This Row],[RF]],"")</f>
        <v/>
      </c>
      <c r="Z97" s="6" t="str">
        <f>IFERROR('raw-Return'!Z98-Table14[[#This Row],[RF]],"")</f>
        <v/>
      </c>
      <c r="AA97" s="6" t="str">
        <f>IFERROR('raw-Return'!AA98-Table14[[#This Row],[RF]],"")</f>
        <v/>
      </c>
      <c r="AB97" s="6" t="str">
        <f>IFERROR('raw-Return'!AB98-Table14[[#This Row],[RF]],"")</f>
        <v/>
      </c>
      <c r="AC97" s="6" t="str">
        <f>IFERROR('raw-Return'!AC98-Table14[[#This Row],[RF]],"")</f>
        <v/>
      </c>
      <c r="AD97" s="6" t="str">
        <f>IFERROR('raw-Return'!AD98-Table14[[#This Row],[RF]],"")</f>
        <v/>
      </c>
      <c r="AE97" s="6" t="str">
        <f>IFERROR('raw-Return'!AE98-Table14[[#This Row],[RF]],"")</f>
        <v/>
      </c>
      <c r="AF97" s="6" t="str">
        <f>IFERROR('raw-Return'!AF98-Table14[[#This Row],[RF]],"")</f>
        <v/>
      </c>
      <c r="AG97" s="6" t="str">
        <f>IFERROR('raw-Return'!AG98-Table14[[#This Row],[RF]],"")</f>
        <v/>
      </c>
      <c r="AH97" s="6" t="str">
        <f>IFERROR('raw-Return'!AH98-Table14[[#This Row],[RF]],"")</f>
        <v/>
      </c>
      <c r="AI97" s="6" t="str">
        <f>IFERROR('raw-Return'!AI98-Table14[[#This Row],[RF]],"")</f>
        <v/>
      </c>
      <c r="AJ97" s="6" t="str">
        <f>IFERROR('raw-Return'!AJ98-Table14[[#This Row],[RF]],"")</f>
        <v/>
      </c>
      <c r="AK97" s="6" t="str">
        <f>IFERROR('raw-Return'!AK98-Table14[[#This Row],[RF]],"")</f>
        <v/>
      </c>
      <c r="AL97" s="6" t="str">
        <f>IFERROR('raw-Return'!AL98-Table14[[#This Row],[RF]],"")</f>
        <v/>
      </c>
      <c r="AM97" s="6" t="str">
        <f>IFERROR('raw-Return'!AM98-Table14[[#This Row],[RF]],"")</f>
        <v/>
      </c>
      <c r="AN97" s="6" t="str">
        <f>IFERROR('raw-Return'!AN98-Table14[[#This Row],[RF]],"")</f>
        <v/>
      </c>
      <c r="AO97" s="6" t="str">
        <f>IFERROR('raw-Return'!AO98-Table14[[#This Row],[RF]],"")</f>
        <v/>
      </c>
      <c r="AP97" s="6" t="str">
        <f>IFERROR('raw-Return'!AP98-Table14[[#This Row],[RF]],"")</f>
        <v/>
      </c>
      <c r="AQ97" s="6" t="str">
        <f>IFERROR('raw-Return'!AQ98-Table14[[#This Row],[RF]],"")</f>
        <v/>
      </c>
      <c r="AR97" s="6" t="str">
        <f>IFERROR('raw-Return'!AR98-Table14[[#This Row],[RF]],"")</f>
        <v/>
      </c>
      <c r="AS97" s="6" t="str">
        <f>IFERROR('raw-Return'!AS98-Table14[[#This Row],[RF]],"")</f>
        <v/>
      </c>
      <c r="AT97" s="6" t="str">
        <f>IFERROR('raw-Return'!AT98-Table14[[#This Row],[RF]],"")</f>
        <v/>
      </c>
      <c r="AU97" s="6" t="str">
        <f>IFERROR('raw-Return'!AU98-Table14[[#This Row],[RF]],"")</f>
        <v/>
      </c>
      <c r="AV97" s="6" t="str">
        <f>IFERROR('raw-Return'!AV98-Table14[[#This Row],[RF]],"")</f>
        <v/>
      </c>
    </row>
    <row r="98" spans="1:48" x14ac:dyDescent="0.2">
      <c r="A98" s="2">
        <v>40602</v>
      </c>
      <c r="B98" s="6" t="str">
        <f>IFERROR('raw-Return'!B99-Table14[[#This Row],[RF]],"")</f>
        <v/>
      </c>
      <c r="C98" s="6" t="str">
        <f>IFERROR('raw-Return'!C99-Table14[[#This Row],[RF]],"")</f>
        <v/>
      </c>
      <c r="D98" s="6" t="str">
        <f>IFERROR('raw-Return'!D99-Table14[[#This Row],[RF]],"")</f>
        <v/>
      </c>
      <c r="E98" s="6" t="str">
        <f>IFERROR('raw-Return'!E99-Table14[[#This Row],[RF]],"")</f>
        <v/>
      </c>
      <c r="F98" s="6" t="str">
        <f>IFERROR('raw-Return'!F99-Table14[[#This Row],[RF]],"")</f>
        <v/>
      </c>
      <c r="G98" s="6" t="str">
        <f>IFERROR('raw-Return'!G99-Table14[[#This Row],[RF]],"")</f>
        <v/>
      </c>
      <c r="H98" s="6" t="str">
        <f>IFERROR('raw-Return'!H99-Table14[[#This Row],[RF]],"")</f>
        <v/>
      </c>
      <c r="I98" s="6" t="str">
        <f>IFERROR('raw-Return'!I99-Table14[[#This Row],[RF]],"")</f>
        <v/>
      </c>
      <c r="J98" s="6" t="str">
        <f>IFERROR('raw-Return'!J99-Table14[[#This Row],[RF]],"")</f>
        <v/>
      </c>
      <c r="K98" s="6" t="str">
        <f>IFERROR('raw-Return'!K99-Table14[[#This Row],[RF]],"")</f>
        <v/>
      </c>
      <c r="L98" s="6" t="str">
        <f>IFERROR('raw-Return'!L99-Table14[[#This Row],[RF]],"")</f>
        <v/>
      </c>
      <c r="M98" s="6" t="str">
        <f>IFERROR('raw-Return'!M99-Table14[[#This Row],[RF]],"")</f>
        <v/>
      </c>
      <c r="N98" s="6" t="str">
        <f>IFERROR('raw-Return'!N99-Table14[[#This Row],[RF]],"")</f>
        <v/>
      </c>
      <c r="O98" s="6" t="str">
        <f>IFERROR('raw-Return'!O99-Table14[[#This Row],[RF]],"")</f>
        <v/>
      </c>
      <c r="P98" s="6" t="str">
        <f>IFERROR('raw-Return'!P99-Table14[[#This Row],[RF]],"")</f>
        <v/>
      </c>
      <c r="Q98" s="6" t="str">
        <f>IFERROR('raw-Return'!Q99-Table14[[#This Row],[RF]],"")</f>
        <v/>
      </c>
      <c r="R98" s="6" t="str">
        <f>IFERROR('raw-Return'!R99-Table14[[#This Row],[RF]],"")</f>
        <v/>
      </c>
      <c r="S98" s="6" t="str">
        <f>IFERROR('raw-Return'!S99-Table14[[#This Row],[RF]],"")</f>
        <v/>
      </c>
      <c r="T98" s="6" t="str">
        <f>IFERROR('raw-Return'!T99-Table14[[#This Row],[RF]],"")</f>
        <v/>
      </c>
      <c r="U98" s="6" t="str">
        <f>IFERROR('raw-Return'!U99-Table14[[#This Row],[RF]],"")</f>
        <v/>
      </c>
      <c r="V98" s="6" t="str">
        <f>IFERROR('raw-Return'!V99-Table14[[#This Row],[RF]],"")</f>
        <v/>
      </c>
      <c r="W98" s="6" t="str">
        <f>IFERROR('raw-Return'!W99-Table14[[#This Row],[RF]],"")</f>
        <v/>
      </c>
      <c r="X98" s="6" t="str">
        <f>IFERROR('raw-Return'!X99-Table14[[#This Row],[RF]],"")</f>
        <v/>
      </c>
      <c r="Y98" s="6" t="str">
        <f>IFERROR('raw-Return'!Y99-Table14[[#This Row],[RF]],"")</f>
        <v/>
      </c>
      <c r="Z98" s="6" t="str">
        <f>IFERROR('raw-Return'!Z99-Table14[[#This Row],[RF]],"")</f>
        <v/>
      </c>
      <c r="AA98" s="6" t="str">
        <f>IFERROR('raw-Return'!AA99-Table14[[#This Row],[RF]],"")</f>
        <v/>
      </c>
      <c r="AB98" s="6" t="str">
        <f>IFERROR('raw-Return'!AB99-Table14[[#This Row],[RF]],"")</f>
        <v/>
      </c>
      <c r="AC98" s="6" t="str">
        <f>IFERROR('raw-Return'!AC99-Table14[[#This Row],[RF]],"")</f>
        <v/>
      </c>
      <c r="AD98" s="6" t="str">
        <f>IFERROR('raw-Return'!AD99-Table14[[#This Row],[RF]],"")</f>
        <v/>
      </c>
      <c r="AE98" s="6" t="str">
        <f>IFERROR('raw-Return'!AE99-Table14[[#This Row],[RF]],"")</f>
        <v/>
      </c>
      <c r="AF98" s="6" t="str">
        <f>IFERROR('raw-Return'!AF99-Table14[[#This Row],[RF]],"")</f>
        <v/>
      </c>
      <c r="AG98" s="6" t="str">
        <f>IFERROR('raw-Return'!AG99-Table14[[#This Row],[RF]],"")</f>
        <v/>
      </c>
      <c r="AH98" s="6" t="str">
        <f>IFERROR('raw-Return'!AH99-Table14[[#This Row],[RF]],"")</f>
        <v/>
      </c>
      <c r="AI98" s="6" t="str">
        <f>IFERROR('raw-Return'!AI99-Table14[[#This Row],[RF]],"")</f>
        <v/>
      </c>
      <c r="AJ98" s="6" t="str">
        <f>IFERROR('raw-Return'!AJ99-Table14[[#This Row],[RF]],"")</f>
        <v/>
      </c>
      <c r="AK98" s="6" t="str">
        <f>IFERROR('raw-Return'!AK99-Table14[[#This Row],[RF]],"")</f>
        <v/>
      </c>
      <c r="AL98" s="6" t="str">
        <f>IFERROR('raw-Return'!AL99-Table14[[#This Row],[RF]],"")</f>
        <v/>
      </c>
      <c r="AM98" s="6" t="str">
        <f>IFERROR('raw-Return'!AM99-Table14[[#This Row],[RF]],"")</f>
        <v/>
      </c>
      <c r="AN98" s="6" t="str">
        <f>IFERROR('raw-Return'!AN99-Table14[[#This Row],[RF]],"")</f>
        <v/>
      </c>
      <c r="AO98" s="6" t="str">
        <f>IFERROR('raw-Return'!AO99-Table14[[#This Row],[RF]],"")</f>
        <v/>
      </c>
      <c r="AP98" s="6" t="str">
        <f>IFERROR('raw-Return'!AP99-Table14[[#This Row],[RF]],"")</f>
        <v/>
      </c>
      <c r="AQ98" s="6" t="str">
        <f>IFERROR('raw-Return'!AQ99-Table14[[#This Row],[RF]],"")</f>
        <v/>
      </c>
      <c r="AR98" s="6" t="str">
        <f>IFERROR('raw-Return'!AR99-Table14[[#This Row],[RF]],"")</f>
        <v/>
      </c>
      <c r="AS98" s="6" t="str">
        <f>IFERROR('raw-Return'!AS99-Table14[[#This Row],[RF]],"")</f>
        <v/>
      </c>
      <c r="AT98" s="6" t="str">
        <f>IFERROR('raw-Return'!AT99-Table14[[#This Row],[RF]],"")</f>
        <v/>
      </c>
      <c r="AU98" s="6" t="str">
        <f>IFERROR('raw-Return'!AU99-Table14[[#This Row],[RF]],"")</f>
        <v/>
      </c>
      <c r="AV98" s="6" t="str">
        <f>IFERROR('raw-Return'!AV99-Table14[[#This Row],[RF]],"")</f>
        <v/>
      </c>
    </row>
    <row r="99" spans="1:48" x14ac:dyDescent="0.2">
      <c r="A99" s="1">
        <v>40574</v>
      </c>
      <c r="B99" s="6" t="str">
        <f>IFERROR('raw-Return'!B100-Table14[[#This Row],[RF]],"")</f>
        <v/>
      </c>
      <c r="C99" s="6" t="str">
        <f>IFERROR('raw-Return'!C100-Table14[[#This Row],[RF]],"")</f>
        <v/>
      </c>
      <c r="D99" s="6" t="str">
        <f>IFERROR('raw-Return'!D100-Table14[[#This Row],[RF]],"")</f>
        <v/>
      </c>
      <c r="E99" s="6" t="str">
        <f>IFERROR('raw-Return'!E100-Table14[[#This Row],[RF]],"")</f>
        <v/>
      </c>
      <c r="F99" s="6" t="str">
        <f>IFERROR('raw-Return'!F100-Table14[[#This Row],[RF]],"")</f>
        <v/>
      </c>
      <c r="G99" s="6" t="str">
        <f>IFERROR('raw-Return'!G100-Table14[[#This Row],[RF]],"")</f>
        <v/>
      </c>
      <c r="H99" s="6" t="str">
        <f>IFERROR('raw-Return'!H100-Table14[[#This Row],[RF]],"")</f>
        <v/>
      </c>
      <c r="I99" s="6" t="str">
        <f>IFERROR('raw-Return'!I100-Table14[[#This Row],[RF]],"")</f>
        <v/>
      </c>
      <c r="J99" s="6" t="str">
        <f>IFERROR('raw-Return'!J100-Table14[[#This Row],[RF]],"")</f>
        <v/>
      </c>
      <c r="K99" s="6" t="str">
        <f>IFERROR('raw-Return'!K100-Table14[[#This Row],[RF]],"")</f>
        <v/>
      </c>
      <c r="L99" s="6" t="str">
        <f>IFERROR('raw-Return'!L100-Table14[[#This Row],[RF]],"")</f>
        <v/>
      </c>
      <c r="M99" s="6" t="str">
        <f>IFERROR('raw-Return'!M100-Table14[[#This Row],[RF]],"")</f>
        <v/>
      </c>
      <c r="N99" s="6" t="str">
        <f>IFERROR('raw-Return'!N100-Table14[[#This Row],[RF]],"")</f>
        <v/>
      </c>
      <c r="O99" s="6" t="str">
        <f>IFERROR('raw-Return'!O100-Table14[[#This Row],[RF]],"")</f>
        <v/>
      </c>
      <c r="P99" s="6" t="str">
        <f>IFERROR('raw-Return'!P100-Table14[[#This Row],[RF]],"")</f>
        <v/>
      </c>
      <c r="Q99" s="6" t="str">
        <f>IFERROR('raw-Return'!Q100-Table14[[#This Row],[RF]],"")</f>
        <v/>
      </c>
      <c r="R99" s="6" t="str">
        <f>IFERROR('raw-Return'!R100-Table14[[#This Row],[RF]],"")</f>
        <v/>
      </c>
      <c r="S99" s="6" t="str">
        <f>IFERROR('raw-Return'!S100-Table14[[#This Row],[RF]],"")</f>
        <v/>
      </c>
      <c r="T99" s="6" t="str">
        <f>IFERROR('raw-Return'!T100-Table14[[#This Row],[RF]],"")</f>
        <v/>
      </c>
      <c r="U99" s="6" t="str">
        <f>IFERROR('raw-Return'!U100-Table14[[#This Row],[RF]],"")</f>
        <v/>
      </c>
      <c r="V99" s="6" t="str">
        <f>IFERROR('raw-Return'!V100-Table14[[#This Row],[RF]],"")</f>
        <v/>
      </c>
      <c r="W99" s="6" t="str">
        <f>IFERROR('raw-Return'!W100-Table14[[#This Row],[RF]],"")</f>
        <v/>
      </c>
      <c r="X99" s="6" t="str">
        <f>IFERROR('raw-Return'!X100-Table14[[#This Row],[RF]],"")</f>
        <v/>
      </c>
      <c r="Y99" s="6" t="str">
        <f>IFERROR('raw-Return'!Y100-Table14[[#This Row],[RF]],"")</f>
        <v/>
      </c>
      <c r="Z99" s="6" t="str">
        <f>IFERROR('raw-Return'!Z100-Table14[[#This Row],[RF]],"")</f>
        <v/>
      </c>
      <c r="AA99" s="6" t="str">
        <f>IFERROR('raw-Return'!AA100-Table14[[#This Row],[RF]],"")</f>
        <v/>
      </c>
      <c r="AB99" s="6" t="str">
        <f>IFERROR('raw-Return'!AB100-Table14[[#This Row],[RF]],"")</f>
        <v/>
      </c>
      <c r="AC99" s="6" t="str">
        <f>IFERROR('raw-Return'!AC100-Table14[[#This Row],[RF]],"")</f>
        <v/>
      </c>
      <c r="AD99" s="6" t="str">
        <f>IFERROR('raw-Return'!AD100-Table14[[#This Row],[RF]],"")</f>
        <v/>
      </c>
      <c r="AE99" s="6" t="str">
        <f>IFERROR('raw-Return'!AE100-Table14[[#This Row],[RF]],"")</f>
        <v/>
      </c>
      <c r="AF99" s="6" t="str">
        <f>IFERROR('raw-Return'!AF100-Table14[[#This Row],[RF]],"")</f>
        <v/>
      </c>
      <c r="AG99" s="6" t="str">
        <f>IFERROR('raw-Return'!AG100-Table14[[#This Row],[RF]],"")</f>
        <v/>
      </c>
      <c r="AH99" s="6" t="str">
        <f>IFERROR('raw-Return'!AH100-Table14[[#This Row],[RF]],"")</f>
        <v/>
      </c>
      <c r="AI99" s="6" t="str">
        <f>IFERROR('raw-Return'!AI100-Table14[[#This Row],[RF]],"")</f>
        <v/>
      </c>
      <c r="AJ99" s="6" t="str">
        <f>IFERROR('raw-Return'!AJ100-Table14[[#This Row],[RF]],"")</f>
        <v/>
      </c>
      <c r="AK99" s="6" t="str">
        <f>IFERROR('raw-Return'!AK100-Table14[[#This Row],[RF]],"")</f>
        <v/>
      </c>
      <c r="AL99" s="6" t="str">
        <f>IFERROR('raw-Return'!AL100-Table14[[#This Row],[RF]],"")</f>
        <v/>
      </c>
      <c r="AM99" s="6" t="str">
        <f>IFERROR('raw-Return'!AM100-Table14[[#This Row],[RF]],"")</f>
        <v/>
      </c>
      <c r="AN99" s="6" t="str">
        <f>IFERROR('raw-Return'!AN100-Table14[[#This Row],[RF]],"")</f>
        <v/>
      </c>
      <c r="AO99" s="6" t="str">
        <f>IFERROR('raw-Return'!AO100-Table14[[#This Row],[RF]],"")</f>
        <v/>
      </c>
      <c r="AP99" s="6" t="str">
        <f>IFERROR('raw-Return'!AP100-Table14[[#This Row],[RF]],"")</f>
        <v/>
      </c>
      <c r="AQ99" s="6" t="str">
        <f>IFERROR('raw-Return'!AQ100-Table14[[#This Row],[RF]],"")</f>
        <v/>
      </c>
      <c r="AR99" s="6" t="str">
        <f>IFERROR('raw-Return'!AR100-Table14[[#This Row],[RF]],"")</f>
        <v/>
      </c>
      <c r="AS99" s="6" t="str">
        <f>IFERROR('raw-Return'!AS100-Table14[[#This Row],[RF]],"")</f>
        <v/>
      </c>
      <c r="AT99" s="6" t="str">
        <f>IFERROR('raw-Return'!AT100-Table14[[#This Row],[RF]],"")</f>
        <v/>
      </c>
      <c r="AU99" s="6" t="str">
        <f>IFERROR('raw-Return'!AU100-Table14[[#This Row],[RF]],"")</f>
        <v/>
      </c>
      <c r="AV99" s="6" t="str">
        <f>IFERROR('raw-Return'!AV100-Table14[[#This Row],[RF]],"")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BB119"/>
  <sheetViews>
    <sheetView showGridLines="0" zoomScale="58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2" sqref="H2"/>
    </sheetView>
  </sheetViews>
  <sheetFormatPr defaultColWidth="9" defaultRowHeight="14.25" x14ac:dyDescent="0.2"/>
  <cols>
    <col min="1" max="2" width="10.875" style="4" customWidth="1"/>
    <col min="3" max="5" width="8.5" style="4" customWidth="1"/>
    <col min="6" max="6" width="9" style="4" customWidth="1"/>
    <col min="7" max="7" width="8.5" style="4" customWidth="1"/>
    <col min="8" max="8" width="11.125" style="4" bestFit="1" customWidth="1"/>
    <col min="9" max="9" width="11.5" style="4" customWidth="1"/>
    <col min="10" max="10" width="11.125" style="4" bestFit="1" customWidth="1"/>
    <col min="11" max="11" width="10.5" style="4" customWidth="1"/>
    <col min="12" max="12" width="10.5" style="4" bestFit="1" customWidth="1"/>
    <col min="13" max="14" width="11.125" style="4" bestFit="1" customWidth="1"/>
    <col min="15" max="15" width="10.625" style="4" bestFit="1" customWidth="1"/>
    <col min="16" max="16" width="11.125" style="4" bestFit="1" customWidth="1"/>
    <col min="17" max="18" width="10.5" style="4" bestFit="1" customWidth="1"/>
    <col min="19" max="19" width="11.125" style="4" bestFit="1" customWidth="1"/>
    <col min="20" max="20" width="11.125" style="4" customWidth="1"/>
    <col min="21" max="22" width="11.125" style="4" bestFit="1" customWidth="1"/>
    <col min="23" max="23" width="11.125" style="4" customWidth="1"/>
    <col min="24" max="28" width="11.125" style="4" bestFit="1" customWidth="1"/>
    <col min="29" max="29" width="10.625" style="4" customWidth="1"/>
    <col min="30" max="31" width="11.125" style="4" bestFit="1" customWidth="1"/>
    <col min="32" max="32" width="11.125" style="4" customWidth="1"/>
    <col min="33" max="33" width="11.125" style="4" bestFit="1" customWidth="1"/>
    <col min="34" max="34" width="11.125" style="4" customWidth="1"/>
    <col min="35" max="38" width="11.125" style="4" bestFit="1" customWidth="1"/>
    <col min="39" max="39" width="10.625" style="4" bestFit="1" customWidth="1"/>
    <col min="40" max="46" width="11.125" style="4" bestFit="1" customWidth="1"/>
    <col min="47" max="47" width="10.625" style="4" bestFit="1" customWidth="1"/>
    <col min="48" max="51" width="11.125" style="4" bestFit="1" customWidth="1"/>
    <col min="52" max="54" width="11.125" style="4" customWidth="1"/>
    <col min="55" max="58" width="9" style="4"/>
    <col min="59" max="59" width="9.875" style="4" bestFit="1" customWidth="1"/>
    <col min="60" max="118" width="9" style="4"/>
    <col min="119" max="119" width="9.875" style="4" bestFit="1" customWidth="1"/>
    <col min="120" max="126" width="6.875" style="4" customWidth="1"/>
    <col min="127" max="127" width="9" style="4"/>
    <col min="128" max="132" width="6.875" style="4" customWidth="1"/>
    <col min="133" max="133" width="9" style="4"/>
    <col min="134" max="135" width="6.875" style="4" customWidth="1"/>
    <col min="136" max="136" width="5.875" style="4" customWidth="1"/>
    <col min="137" max="139" width="6.875" style="4" customWidth="1"/>
    <col min="140" max="140" width="7.875" style="4" customWidth="1"/>
    <col min="141" max="156" width="6.875" style="4" customWidth="1"/>
    <col min="157" max="157" width="5.875" style="4" customWidth="1"/>
    <col min="158" max="169" width="6.875" style="4" customWidth="1"/>
    <col min="170" max="16384" width="9" style="4"/>
  </cols>
  <sheetData>
    <row r="1" spans="1:54" x14ac:dyDescent="0.2">
      <c r="A1" s="4" t="s">
        <v>132</v>
      </c>
      <c r="B1" s="4" t="s">
        <v>143</v>
      </c>
      <c r="C1" s="4" t="s">
        <v>133</v>
      </c>
      <c r="D1" s="4" t="s">
        <v>134</v>
      </c>
      <c r="E1" s="4" t="s">
        <v>135</v>
      </c>
      <c r="F1" s="4" t="s">
        <v>136</v>
      </c>
      <c r="G1" s="4" t="s">
        <v>137</v>
      </c>
      <c r="H1" s="4" t="s">
        <v>73</v>
      </c>
      <c r="I1" s="4" t="s">
        <v>74</v>
      </c>
      <c r="J1" s="4" t="s">
        <v>75</v>
      </c>
      <c r="K1" s="4" t="s">
        <v>76</v>
      </c>
      <c r="L1" s="4" t="s">
        <v>77</v>
      </c>
      <c r="M1" s="4" t="s">
        <v>78</v>
      </c>
      <c r="N1" s="4" t="s">
        <v>79</v>
      </c>
      <c r="O1" s="4" t="s">
        <v>80</v>
      </c>
      <c r="P1" s="4" t="s">
        <v>81</v>
      </c>
      <c r="Q1" s="4" t="s">
        <v>82</v>
      </c>
      <c r="R1" s="4" t="s">
        <v>83</v>
      </c>
      <c r="S1" s="4" t="s">
        <v>84</v>
      </c>
      <c r="T1" s="4" t="s">
        <v>86</v>
      </c>
      <c r="U1" s="4" t="s">
        <v>88</v>
      </c>
      <c r="V1" s="4" t="s">
        <v>89</v>
      </c>
      <c r="W1" s="4" t="s">
        <v>90</v>
      </c>
      <c r="X1" s="4" t="s">
        <v>91</v>
      </c>
      <c r="Y1" s="4" t="s">
        <v>92</v>
      </c>
      <c r="Z1" s="4" t="s">
        <v>93</v>
      </c>
      <c r="AA1" s="4" t="s">
        <v>94</v>
      </c>
      <c r="AB1" s="4" t="s">
        <v>95</v>
      </c>
      <c r="AC1" s="4" t="s">
        <v>96</v>
      </c>
      <c r="AD1" s="4" t="s">
        <v>97</v>
      </c>
      <c r="AE1" s="4" t="s">
        <v>98</v>
      </c>
      <c r="AF1" s="4" t="s">
        <v>99</v>
      </c>
      <c r="AG1" s="4" t="s">
        <v>100</v>
      </c>
      <c r="AH1" s="4" t="s">
        <v>101</v>
      </c>
      <c r="AI1" s="4" t="s">
        <v>102</v>
      </c>
      <c r="AJ1" s="4" t="s">
        <v>106</v>
      </c>
      <c r="AK1" s="4" t="s">
        <v>108</v>
      </c>
      <c r="AL1" s="4" t="s">
        <v>109</v>
      </c>
      <c r="AM1" s="4" t="s">
        <v>110</v>
      </c>
      <c r="AN1" s="4" t="s">
        <v>111</v>
      </c>
      <c r="AO1" s="4" t="s">
        <v>112</v>
      </c>
      <c r="AP1" s="4" t="s">
        <v>113</v>
      </c>
      <c r="AQ1" s="4" t="s">
        <v>116</v>
      </c>
      <c r="AR1" s="4" t="s">
        <v>117</v>
      </c>
      <c r="AS1" s="4" t="s">
        <v>118</v>
      </c>
      <c r="AT1" s="4" t="s">
        <v>119</v>
      </c>
      <c r="AU1" s="4" t="s">
        <v>120</v>
      </c>
      <c r="AV1" s="4" t="s">
        <v>121</v>
      </c>
      <c r="AW1" s="4" t="s">
        <v>122</v>
      </c>
      <c r="AX1" s="4" t="s">
        <v>123</v>
      </c>
      <c r="AY1" s="4" t="s">
        <v>124</v>
      </c>
      <c r="AZ1" s="4" t="s">
        <v>125</v>
      </c>
      <c r="BA1" s="4" t="s">
        <v>126</v>
      </c>
      <c r="BB1" s="4" t="s">
        <v>127</v>
      </c>
    </row>
    <row r="2" spans="1:54" x14ac:dyDescent="0.2">
      <c r="A2" s="5">
        <v>43524</v>
      </c>
      <c r="B2" s="9">
        <v>1</v>
      </c>
      <c r="C2" s="4">
        <v>2.9500000000000002E-2</v>
      </c>
      <c r="D2" s="4">
        <v>2.9500000000000002E-2</v>
      </c>
      <c r="E2" s="4">
        <v>2.9500000000000002E-2</v>
      </c>
      <c r="F2" s="4">
        <v>2.9500000000000002E-2</v>
      </c>
      <c r="G2" s="4">
        <v>2.9500000000000002E-2</v>
      </c>
      <c r="H2" s="6" t="str">
        <f>IFERROR((('raw-PriceList'!#REF!/'raw-PriceList'!B2)-1)-Table14[[#This Row],[RF]],"")</f>
        <v/>
      </c>
      <c r="I2" s="6" t="str">
        <f>IFERROR((('raw-PriceList'!#REF!/'raw-PriceList'!C2)-1)-Table14[[#This Row],[RF]],"")</f>
        <v/>
      </c>
      <c r="J2" s="6" t="str">
        <f>IFERROR((('raw-PriceList'!#REF!/'raw-PriceList'!D2)-1)-Table14[[#This Row],[RF]],"")</f>
        <v/>
      </c>
      <c r="K2" s="6" t="str">
        <f>IFERROR((('raw-PriceList'!#REF!/'raw-PriceList'!#REF!)-1)-Table14[[#This Row],[RF]],"")</f>
        <v/>
      </c>
      <c r="L2" s="6" t="str">
        <f>IFERROR((('raw-PriceList'!#REF!/'raw-PriceList'!#REF!)-1)-Table14[[#This Row],[RF]],"")</f>
        <v/>
      </c>
      <c r="M2" s="6" t="str">
        <f>IFERROR((('raw-PriceList'!#REF!/'raw-PriceList'!G2)-1)-Table14[[#This Row],[RF]],"")</f>
        <v/>
      </c>
      <c r="N2" s="6" t="str">
        <f>IFERROR((('raw-PriceList'!#REF!/'raw-PriceList'!H2)-1)-Table14[[#This Row],[RF]],"")</f>
        <v/>
      </c>
      <c r="O2" s="6" t="str">
        <f>IFERROR((('raw-PriceList'!#REF!/'raw-PriceList'!#REF!)-1)-Table14[[#This Row],[RF]],"")</f>
        <v/>
      </c>
      <c r="P2" s="6" t="str">
        <f>IFERROR((('raw-PriceList'!#REF!/'raw-PriceList'!J2)-1)-Table14[[#This Row],[RF]],"")</f>
        <v/>
      </c>
      <c r="Q2" s="6" t="str">
        <f>IFERROR((('raw-PriceList'!#REF!/'raw-PriceList'!K2)-1)-Table14[[#This Row],[RF]],"")</f>
        <v/>
      </c>
      <c r="R2" s="6" t="str">
        <f>IFERROR((('raw-PriceList'!#REF!/'raw-PriceList'!L2)-1)-Table14[[#This Row],[RF]],"")</f>
        <v/>
      </c>
      <c r="S2" s="6" t="str">
        <f>IFERROR((('raw-PriceList'!#REF!/'raw-PriceList'!#REF!)-1)-Table14[[#This Row],[RF]],"")</f>
        <v/>
      </c>
      <c r="T2" s="6" t="str">
        <f>IFERROR((('raw-PriceList'!#REF!/'raw-PriceList'!M2)-1)-Table14[[#This Row],[RF]],"")</f>
        <v/>
      </c>
      <c r="U2" s="6" t="str">
        <f>IFERROR((('raw-PriceList'!#REF!/'raw-PriceList'!N2)-1)-Table14[[#This Row],[RF]],"")</f>
        <v/>
      </c>
      <c r="V2" s="6" t="str">
        <f>IFERROR((('raw-PriceList'!#REF!/'raw-PriceList'!O2)-1)-Table14[[#This Row],[RF]],"")</f>
        <v/>
      </c>
      <c r="W2" s="6" t="str">
        <f>IFERROR((('raw-PriceList'!#REF!/'raw-PriceList'!P2)-1)-Table14[[#This Row],[RF]],"")</f>
        <v/>
      </c>
      <c r="X2" s="6" t="str">
        <f>IFERROR((('raw-PriceList'!#REF!/'raw-PriceList'!Q2)-1)-Table14[[#This Row],[RF]],"")</f>
        <v/>
      </c>
      <c r="Y2" s="6" t="str">
        <f>IFERROR((('raw-PriceList'!#REF!/'raw-PriceList'!#REF!)-1)-Table14[[#This Row],[RF]],"")</f>
        <v/>
      </c>
      <c r="Z2" s="6" t="str">
        <f>IFERROR((('raw-PriceList'!#REF!/'raw-PriceList'!R2)-1)-Table14[[#This Row],[RF]],"")</f>
        <v/>
      </c>
      <c r="AA2" s="6" t="str">
        <f>IFERROR((('raw-PriceList'!#REF!/'raw-PriceList'!#REF!)-1)-Table14[[#This Row],[RF]],"")</f>
        <v/>
      </c>
      <c r="AB2" s="6" t="str">
        <f>IFERROR((('raw-PriceList'!#REF!/'raw-PriceList'!#REF!)-1)-Table14[[#This Row],[RF]],"")</f>
        <v/>
      </c>
      <c r="AC2" s="6" t="str">
        <f>IFERROR((('raw-PriceList'!#REF!/'raw-PriceList'!S2)-1)-Table14[[#This Row],[RF]],"")</f>
        <v/>
      </c>
      <c r="AD2" s="6" t="str">
        <f>IFERROR((('raw-PriceList'!#REF!/'raw-PriceList'!T2)-1)-Table14[[#This Row],[RF]],"")</f>
        <v/>
      </c>
      <c r="AE2" s="6" t="str">
        <f>IFERROR((('raw-PriceList'!#REF!/'raw-PriceList'!#REF!)-1)-Table14[[#This Row],[RF]],"")</f>
        <v/>
      </c>
      <c r="AF2" s="6" t="str">
        <f>IFERROR((('raw-PriceList'!#REF!/'raw-PriceList'!U2)-1)-Table14[[#This Row],[RF]],"")</f>
        <v/>
      </c>
      <c r="AG2" s="6" t="str">
        <f>IFERROR((('raw-PriceList'!#REF!/'raw-PriceList'!V2)-1)-Table14[[#This Row],[RF]],"")</f>
        <v/>
      </c>
      <c r="AH2" s="6" t="str">
        <f>IFERROR((('raw-PriceList'!#REF!/'raw-PriceList'!W2)-1)-Table14[[#This Row],[RF]],"")</f>
        <v/>
      </c>
      <c r="AI2" s="6" t="str">
        <f>IFERROR((('raw-PriceList'!#REF!/'raw-PriceList'!X2)-1)-Table14[[#This Row],[RF]],"")</f>
        <v/>
      </c>
      <c r="AJ2" s="6" t="str">
        <f>IFERROR((('raw-PriceList'!#REF!/'raw-PriceList'!#REF!)-1)-Table14[[#This Row],[RF]],"")</f>
        <v/>
      </c>
      <c r="AK2" s="6" t="str">
        <f>IFERROR((('raw-PriceList'!#REF!/'raw-PriceList'!#REF!)-1)-Table14[[#This Row],[RF]],"")</f>
        <v/>
      </c>
      <c r="AL2" s="6" t="str">
        <f>IFERROR((('raw-PriceList'!#REF!/'raw-PriceList'!Y2)-1)-Table14[[#This Row],[RF]],"")</f>
        <v/>
      </c>
      <c r="AM2" s="6" t="str">
        <f>IFERROR((('raw-PriceList'!#REF!/'raw-PriceList'!#REF!)-1)-Table14[[#This Row],[RF]],"")</f>
        <v/>
      </c>
      <c r="AN2" s="6" t="str">
        <f>IFERROR((('raw-PriceList'!#REF!/'raw-PriceList'!#REF!)-1)-Table14[[#This Row],[RF]],"")</f>
        <v/>
      </c>
      <c r="AO2" s="6" t="str">
        <f>IFERROR((('raw-PriceList'!#REF!/'raw-PriceList'!AA2)-1)-Table14[[#This Row],[RF]],"")</f>
        <v/>
      </c>
      <c r="AP2" s="6" t="str">
        <f>IFERROR((('raw-PriceList'!#REF!/'raw-PriceList'!#REF!)-1)-Table14[[#This Row],[RF]],"")</f>
        <v/>
      </c>
      <c r="AQ2" s="6" t="str">
        <f>IFERROR((('raw-PriceList'!#REF!/'raw-PriceList'!AB2)-1)-Table14[[#This Row],[RF]],"")</f>
        <v/>
      </c>
      <c r="AR2" s="6" t="str">
        <f>IFERROR((('raw-PriceList'!#REF!/'raw-PriceList'!AC2)-1)-Table14[[#This Row],[RF]],"")</f>
        <v/>
      </c>
      <c r="AS2" s="6" t="str">
        <f>IFERROR((('raw-PriceList'!#REF!/'raw-PriceList'!#REF!)-1)-Table14[[#This Row],[RF]],"")</f>
        <v/>
      </c>
      <c r="AT2" s="6" t="str">
        <f>IFERROR((('raw-PriceList'!#REF!/'raw-PriceList'!#REF!)-1)-Table14[[#This Row],[RF]],"")</f>
        <v/>
      </c>
      <c r="AU2" s="6" t="str">
        <f>IFERROR((('raw-PriceList'!#REF!/'raw-PriceList'!#REF!)-1)-Table14[[#This Row],[RF]],"")</f>
        <v/>
      </c>
      <c r="AV2" s="6" t="str">
        <f>IFERROR((('raw-PriceList'!#REF!/'raw-PriceList'!AD2)-1)-Table14[[#This Row],[RF]],"")</f>
        <v/>
      </c>
      <c r="AW2" s="6" t="str">
        <f>IFERROR((('raw-PriceList'!#REF!/'raw-PriceList'!AE2)-1)-Table14[[#This Row],[RF]],"")</f>
        <v/>
      </c>
      <c r="AX2" s="6" t="str">
        <f>IFERROR((('raw-PriceList'!#REF!/'raw-PriceList'!AF2)-1)-Table14[[#This Row],[RF]],"")</f>
        <v/>
      </c>
      <c r="AY2" s="6" t="str">
        <f>IFERROR((('raw-PriceList'!#REF!/'raw-PriceList'!AG2)-1)-Table14[[#This Row],[RF]],"")</f>
        <v/>
      </c>
      <c r="AZ2" s="6" t="str">
        <f>IFERROR((('raw-PriceList'!#REF!/'raw-PriceList'!AH2)-1)-Table14[[#This Row],[RF]],"")</f>
        <v/>
      </c>
      <c r="BA2" s="6" t="str">
        <f>IFERROR((('raw-PriceList'!#REF!/'raw-PriceList'!#REF!)-1)-Table14[[#This Row],[RF]],"")</f>
        <v/>
      </c>
      <c r="BB2" s="6" t="str">
        <f>IFERROR((('raw-PriceList'!#REF!/'raw-PriceList'!#REF!)-1)-Table14[[#This Row],[RF]],"")</f>
        <v/>
      </c>
    </row>
    <row r="3" spans="1:54" x14ac:dyDescent="0.2">
      <c r="A3" s="5">
        <v>43434</v>
      </c>
      <c r="B3" s="9">
        <v>1</v>
      </c>
      <c r="C3" s="4">
        <v>7.4700000000000003E-2</v>
      </c>
      <c r="D3" s="4">
        <v>7.4700000000000003E-2</v>
      </c>
      <c r="E3" s="4">
        <v>7.4700000000000003E-2</v>
      </c>
      <c r="F3" s="4">
        <v>7.4700000000000003E-2</v>
      </c>
      <c r="G3" s="4">
        <v>7.4700000000000003E-2</v>
      </c>
      <c r="H3" s="6">
        <f>IFERROR((('raw-PriceList'!B2/'raw-PriceList'!B3)-1)-Table14[[#This Row],[RF]],"")</f>
        <v>-7.8212826125276261E-2</v>
      </c>
      <c r="I3" s="6">
        <f>IFERROR((('raw-PriceList'!C2/'raw-PriceList'!C3)-1)-Table14[[#This Row],[RF]],"")</f>
        <v>-8.5809453300022445E-2</v>
      </c>
      <c r="J3" s="6">
        <f>IFERROR((('raw-PriceList'!D2/'raw-PriceList'!D3)-1)-Table14[[#This Row],[RF]],"")</f>
        <v>-7.8073198405397184E-2</v>
      </c>
      <c r="K3" s="6" t="str">
        <f>IFERROR((('raw-PriceList'!#REF!/'raw-PriceList'!#REF!)-1)-Table14[[#This Row],[RF]],"")</f>
        <v/>
      </c>
      <c r="L3" s="6" t="str">
        <f>IFERROR((('raw-PriceList'!#REF!/'raw-PriceList'!#REF!)-1)-Table14[[#This Row],[RF]],"")</f>
        <v/>
      </c>
      <c r="M3" s="6">
        <f>IFERROR((('raw-PriceList'!G2/'raw-PriceList'!G3)-1)-Table14[[#This Row],[RF]],"")</f>
        <v>-7.5836859808034243E-2</v>
      </c>
      <c r="N3" s="6">
        <f>IFERROR((('raw-PriceList'!H2/'raw-PriceList'!H3)-1)-Table14[[#This Row],[RF]],"")</f>
        <v>-9.2422656071286538E-2</v>
      </c>
      <c r="O3" s="6" t="str">
        <f>IFERROR((('raw-PriceList'!#REF!/'raw-PriceList'!#REF!)-1)-Table14[[#This Row],[RF]],"")</f>
        <v/>
      </c>
      <c r="P3" s="6">
        <f>IFERROR((('raw-PriceList'!J2/'raw-PriceList'!J3)-1)-Table14[[#This Row],[RF]],"")</f>
        <v>-4.4302483142459673E-2</v>
      </c>
      <c r="Q3" s="6">
        <f>IFERROR((('raw-PriceList'!K2/'raw-PriceList'!K3)-1)-Table14[[#This Row],[RF]],"")</f>
        <v>-4.0759412727982017E-2</v>
      </c>
      <c r="R3" s="6">
        <f>IFERROR((('raw-PriceList'!L2/'raw-PriceList'!L3)-1)-Table14[[#This Row],[RF]],"")</f>
        <v>-4.7220294140964528E-2</v>
      </c>
      <c r="S3" s="6" t="str">
        <f>IFERROR((('raw-PriceList'!#REF!/'raw-PriceList'!#REF!)-1)-Table14[[#This Row],[RF]],"")</f>
        <v/>
      </c>
      <c r="T3" s="6">
        <f>IFERROR((('raw-PriceList'!M2/'raw-PriceList'!M3)-1)-Table14[[#This Row],[RF]],"")</f>
        <v>-2.6121911839268389E-2</v>
      </c>
      <c r="U3" s="6">
        <f>IFERROR((('raw-PriceList'!N2/'raw-PriceList'!N3)-1)-Table14[[#This Row],[RF]],"")</f>
        <v>-1.6804351188403302E-2</v>
      </c>
      <c r="V3" s="6">
        <f>IFERROR((('raw-PriceList'!O2/'raw-PriceList'!O3)-1)-Table14[[#This Row],[RF]],"")</f>
        <v>-3.4845795082432587E-2</v>
      </c>
      <c r="W3" s="6">
        <f>IFERROR((('raw-PriceList'!P2/'raw-PriceList'!P3)-1)-Table14[[#This Row],[RF]],"")</f>
        <v>-7.6105242645961427E-2</v>
      </c>
      <c r="X3" s="6">
        <f>IFERROR((('raw-PriceList'!Q2/'raw-PriceList'!Q3)-1)-Table14[[#This Row],[RF]],"")</f>
        <v>-8.3055566429625097E-2</v>
      </c>
      <c r="Y3" s="6" t="str">
        <f>IFERROR((('raw-PriceList'!#REF!/'raw-PriceList'!#REF!)-1)-Table14[[#This Row],[RF]],"")</f>
        <v/>
      </c>
      <c r="Z3" s="6">
        <f>IFERROR((('raw-PriceList'!R2/'raw-PriceList'!R3)-1)-Table14[[#This Row],[RF]],"")</f>
        <v>-7.4314710487787941E-2</v>
      </c>
      <c r="AA3" s="6" t="str">
        <f>IFERROR((('raw-PriceList'!#REF!/'raw-PriceList'!#REF!)-1)-Table14[[#This Row],[RF]],"")</f>
        <v/>
      </c>
      <c r="AB3" s="6" t="str">
        <f>IFERROR((('raw-PriceList'!#REF!/'raw-PriceList'!#REF!)-1)-Table14[[#This Row],[RF]],"")</f>
        <v/>
      </c>
      <c r="AC3" s="6">
        <f>IFERROR((('raw-PriceList'!S2/'raw-PriceList'!S3)-1)-Table14[[#This Row],[RF]],"")</f>
        <v>-5.1352386780905604E-2</v>
      </c>
      <c r="AD3" s="6">
        <f>IFERROR((('raw-PriceList'!T2/'raw-PriceList'!T3)-1)-Table14[[#This Row],[RF]],"")</f>
        <v>-5.8385739232483816E-2</v>
      </c>
      <c r="AE3" s="6" t="str">
        <f>IFERROR((('raw-PriceList'!#REF!/'raw-PriceList'!#REF!)-1)-Table14[[#This Row],[RF]],"")</f>
        <v/>
      </c>
      <c r="AF3" s="6">
        <f>IFERROR((('raw-PriceList'!U2/'raw-PriceList'!U3)-1)-Table14[[#This Row],[RF]],"")</f>
        <v>-7.9096842054076646E-2</v>
      </c>
      <c r="AG3" s="6">
        <f>IFERROR((('raw-PriceList'!V2/'raw-PriceList'!V3)-1)-Table14[[#This Row],[RF]],"")</f>
        <v>-4.3072974836263281E-2</v>
      </c>
      <c r="AH3" s="6">
        <f>IFERROR((('raw-PriceList'!W2/'raw-PriceList'!W3)-1)-Table14[[#This Row],[RF]],"")</f>
        <v>-8.9753667186714195E-2</v>
      </c>
      <c r="AI3" s="6">
        <f>IFERROR((('raw-PriceList'!X2/'raw-PriceList'!X3)-1)-Table14[[#This Row],[RF]],"")</f>
        <v>-7.6026860771584617E-2</v>
      </c>
      <c r="AJ3" s="6" t="str">
        <f>IFERROR((('raw-PriceList'!#REF!/'raw-PriceList'!#REF!)-1)-Table14[[#This Row],[RF]],"")</f>
        <v/>
      </c>
      <c r="AK3" s="6" t="str">
        <f>IFERROR((('raw-PriceList'!#REF!/'raw-PriceList'!#REF!)-1)-Table14[[#This Row],[RF]],"")</f>
        <v/>
      </c>
      <c r="AL3" s="6">
        <f>IFERROR((('raw-PriceList'!Y2/'raw-PriceList'!Y3)-1)-Table14[[#This Row],[RF]],"")</f>
        <v>-2.8872640710149847E-2</v>
      </c>
      <c r="AM3" s="6" t="str">
        <f>IFERROR((('raw-PriceList'!#REF!/'raw-PriceList'!#REF!)-1)-Table14[[#This Row],[RF]],"")</f>
        <v/>
      </c>
      <c r="AN3" s="6" t="str">
        <f>IFERROR((('raw-PriceList'!#REF!/'raw-PriceList'!#REF!)-1)-Table14[[#This Row],[RF]],"")</f>
        <v/>
      </c>
      <c r="AO3" s="6">
        <f>IFERROR((('raw-PriceList'!AA2/'raw-PriceList'!AA3)-1)-Table14[[#This Row],[RF]],"")</f>
        <v>-7.7975995862102701E-2</v>
      </c>
      <c r="AP3" s="6" t="str">
        <f>IFERROR((('raw-PriceList'!#REF!/'raw-PriceList'!#REF!)-1)-Table14[[#This Row],[RF]],"")</f>
        <v/>
      </c>
      <c r="AQ3" s="6">
        <f>IFERROR((('raw-PriceList'!AB2/'raw-PriceList'!AB3)-1)-Table14[[#This Row],[RF]],"")</f>
        <v>-8.2195206553948089E-2</v>
      </c>
      <c r="AR3" s="6">
        <f>IFERROR((('raw-PriceList'!AC2/'raw-PriceList'!AC3)-1)-Table14[[#This Row],[RF]],"")</f>
        <v>-3.8972060203796635E-2</v>
      </c>
      <c r="AS3" s="6" t="str">
        <f>IFERROR((('raw-PriceList'!#REF!/'raw-PriceList'!#REF!)-1)-Table14[[#This Row],[RF]],"")</f>
        <v/>
      </c>
      <c r="AT3" s="6" t="str">
        <f>IFERROR((('raw-PriceList'!#REF!/'raw-PriceList'!#REF!)-1)-Table14[[#This Row],[RF]],"")</f>
        <v/>
      </c>
      <c r="AU3" s="6" t="str">
        <f>IFERROR((('raw-PriceList'!#REF!/'raw-PriceList'!#REF!)-1)-Table14[[#This Row],[RF]],"")</f>
        <v/>
      </c>
      <c r="AV3" s="6">
        <f>IFERROR((('raw-PriceList'!AD2/'raw-PriceList'!AD3)-1)-Table14[[#This Row],[RF]],"")</f>
        <v>-4.2220863619036889E-2</v>
      </c>
      <c r="AW3" s="6">
        <f>IFERROR((('raw-PriceList'!AE2/'raw-PriceList'!AE3)-1)-Table14[[#This Row],[RF]],"")</f>
        <v>-4.2220863619036889E-2</v>
      </c>
      <c r="AX3" s="6">
        <f>IFERROR((('raw-PriceList'!AF2/'raw-PriceList'!AF3)-1)-Table14[[#This Row],[RF]],"")</f>
        <v>-2.5871728949991693E-2</v>
      </c>
      <c r="AY3" s="6">
        <f>IFERROR((('raw-PriceList'!AG2/'raw-PriceList'!AG3)-1)-Table14[[#This Row],[RF]],"")</f>
        <v>-7.1042304068794429E-2</v>
      </c>
      <c r="AZ3" s="6">
        <f>IFERROR((('raw-PriceList'!AH2/'raw-PriceList'!AH3)-1)-Table14[[#This Row],[RF]],"")</f>
        <v>-6.6095942704339508E-2</v>
      </c>
      <c r="BA3" s="6" t="str">
        <f>IFERROR((('raw-PriceList'!#REF!/'raw-PriceList'!#REF!)-1)-Table14[[#This Row],[RF]],"")</f>
        <v/>
      </c>
      <c r="BB3" s="6" t="str">
        <f>IFERROR((('raw-PriceList'!#REF!/'raw-PriceList'!#REF!)-1)-Table14[[#This Row],[RF]],"")</f>
        <v/>
      </c>
    </row>
    <row r="4" spans="1:54" x14ac:dyDescent="0.2">
      <c r="A4" s="5">
        <v>43404</v>
      </c>
      <c r="B4" s="9">
        <v>1</v>
      </c>
      <c r="C4" s="4">
        <v>-9.5500000000000002E-2</v>
      </c>
      <c r="D4" s="4">
        <v>-9.5500000000000002E-2</v>
      </c>
      <c r="E4" s="4">
        <v>-9.5500000000000002E-2</v>
      </c>
      <c r="F4" s="4">
        <v>-9.5500000000000002E-2</v>
      </c>
      <c r="G4" s="4">
        <v>-9.5500000000000002E-2</v>
      </c>
      <c r="H4" s="6">
        <f>IFERROR((('raw-PriceList'!B3/'raw-PriceList'!B4)-1)-Table14[[#This Row],[RF]],"")</f>
        <v>0.11162148656071222</v>
      </c>
      <c r="I4" s="6">
        <f>IFERROR((('raw-PriceList'!C3/'raw-PriceList'!C4)-1)-Table14[[#This Row],[RF]],"")</f>
        <v>0.11413394494207205</v>
      </c>
      <c r="J4" s="6">
        <f>IFERROR((('raw-PriceList'!D3/'raw-PriceList'!D4)-1)-Table14[[#This Row],[RF]],"")</f>
        <v>0.10661198361620591</v>
      </c>
      <c r="K4" s="6" t="str">
        <f>IFERROR((('raw-PriceList'!#REF!/'raw-PriceList'!#REF!)-1)-Table14[[#This Row],[RF]],"")</f>
        <v/>
      </c>
      <c r="L4" s="6" t="str">
        <f>IFERROR((('raw-PriceList'!#REF!/'raw-PriceList'!#REF!)-1)-Table14[[#This Row],[RF]],"")</f>
        <v/>
      </c>
      <c r="M4" s="6">
        <f>IFERROR((('raw-PriceList'!G3/'raw-PriceList'!G4)-1)-Table14[[#This Row],[RF]],"")</f>
        <v>0.10173469358923434</v>
      </c>
      <c r="N4" s="6">
        <f>IFERROR((('raw-PriceList'!H3/'raw-PriceList'!H4)-1)-Table14[[#This Row],[RF]],"")</f>
        <v>9.7275456256297493E-2</v>
      </c>
      <c r="O4" s="6" t="str">
        <f>IFERROR((('raw-PriceList'!#REF!/'raw-PriceList'!#REF!)-1)-Table14[[#This Row],[RF]],"")</f>
        <v/>
      </c>
      <c r="P4" s="6">
        <f>IFERROR((('raw-PriceList'!J3/'raw-PriceList'!J4)-1)-Table14[[#This Row],[RF]],"")</f>
        <v>0.17089617178299962</v>
      </c>
      <c r="Q4" s="6">
        <f>IFERROR((('raw-PriceList'!K3/'raw-PriceList'!K4)-1)-Table14[[#This Row],[RF]],"")</f>
        <v>0.18387552505243518</v>
      </c>
      <c r="R4" s="6">
        <f>IFERROR((('raw-PriceList'!L3/'raw-PriceList'!L4)-1)-Table14[[#This Row],[RF]],"")</f>
        <v>0.15972814348334183</v>
      </c>
      <c r="S4" s="6" t="str">
        <f>IFERROR((('raw-PriceList'!#REF!/'raw-PriceList'!#REF!)-1)-Table14[[#This Row],[RF]],"")</f>
        <v/>
      </c>
      <c r="T4" s="6">
        <f>IFERROR((('raw-PriceList'!M3/'raw-PriceList'!M4)-1)-Table14[[#This Row],[RF]],"")</f>
        <v>0.21262393996767912</v>
      </c>
      <c r="U4" s="6">
        <f>IFERROR((('raw-PriceList'!N3/'raw-PriceList'!N4)-1)-Table14[[#This Row],[RF]],"")</f>
        <v>0.22104027551876756</v>
      </c>
      <c r="V4" s="6">
        <f>IFERROR((('raw-PriceList'!O3/'raw-PriceList'!O4)-1)-Table14[[#This Row],[RF]],"")</f>
        <v>0.20718860682782311</v>
      </c>
      <c r="W4" s="6">
        <f>IFERROR((('raw-PriceList'!P3/'raw-PriceList'!P4)-1)-Table14[[#This Row],[RF]],"")</f>
        <v>0.12325380494253033</v>
      </c>
      <c r="X4" s="6">
        <f>IFERROR((('raw-PriceList'!Q3/'raw-PriceList'!Q4)-1)-Table14[[#This Row],[RF]],"")</f>
        <v>0.13577566655537252</v>
      </c>
      <c r="Y4" s="6" t="str">
        <f>IFERROR((('raw-PriceList'!#REF!/'raw-PriceList'!#REF!)-1)-Table14[[#This Row],[RF]],"")</f>
        <v/>
      </c>
      <c r="Z4" s="6">
        <f>IFERROR((('raw-PriceList'!R3/'raw-PriceList'!R4)-1)-Table14[[#This Row],[RF]],"")</f>
        <v>0.10883678042496733</v>
      </c>
      <c r="AA4" s="6" t="str">
        <f>IFERROR((('raw-PriceList'!#REF!/'raw-PriceList'!#REF!)-1)-Table14[[#This Row],[RF]],"")</f>
        <v/>
      </c>
      <c r="AB4" s="6" t="str">
        <f>IFERROR((('raw-PriceList'!#REF!/'raw-PriceList'!#REF!)-1)-Table14[[#This Row],[RF]],"")</f>
        <v/>
      </c>
      <c r="AC4" s="6">
        <f>IFERROR((('raw-PriceList'!S3/'raw-PriceList'!S4)-1)-Table14[[#This Row],[RF]],"")</f>
        <v>0.17014968413823248</v>
      </c>
      <c r="AD4" s="6">
        <f>IFERROR((('raw-PriceList'!T3/'raw-PriceList'!T4)-1)-Table14[[#This Row],[RF]],"")</f>
        <v>0.1712017660293573</v>
      </c>
      <c r="AE4" s="6" t="str">
        <f>IFERROR((('raw-PriceList'!#REF!/'raw-PriceList'!#REF!)-1)-Table14[[#This Row],[RF]],"")</f>
        <v/>
      </c>
      <c r="AF4" s="6">
        <f>IFERROR((('raw-PriceList'!U3/'raw-PriceList'!U4)-1)-Table14[[#This Row],[RF]],"")</f>
        <v>9.9912303401987618E-2</v>
      </c>
      <c r="AG4" s="6">
        <f>IFERROR((('raw-PriceList'!V3/'raw-PriceList'!V4)-1)-Table14[[#This Row],[RF]],"")</f>
        <v>0.16234047684815076</v>
      </c>
      <c r="AH4" s="6">
        <f>IFERROR((('raw-PriceList'!W3/'raw-PriceList'!W4)-1)-Table14[[#This Row],[RF]],"")</f>
        <v>0.10031311258967798</v>
      </c>
      <c r="AI4" s="6">
        <f>IFERROR((('raw-PriceList'!X3/'raw-PriceList'!X4)-1)-Table14[[#This Row],[RF]],"")</f>
        <v>9.7503677011789941E-2</v>
      </c>
      <c r="AJ4" s="6" t="str">
        <f>IFERROR((('raw-PriceList'!#REF!/'raw-PriceList'!#REF!)-1)-Table14[[#This Row],[RF]],"")</f>
        <v/>
      </c>
      <c r="AK4" s="6" t="str">
        <f>IFERROR((('raw-PriceList'!#REF!/'raw-PriceList'!#REF!)-1)-Table14[[#This Row],[RF]],"")</f>
        <v/>
      </c>
      <c r="AL4" s="6">
        <f>IFERROR((('raw-PriceList'!Y3/'raw-PriceList'!Y4)-1)-Table14[[#This Row],[RF]],"")</f>
        <v>0.15867508288156359</v>
      </c>
      <c r="AM4" s="6" t="str">
        <f>IFERROR((('raw-PriceList'!#REF!/'raw-PriceList'!#REF!)-1)-Table14[[#This Row],[RF]],"")</f>
        <v/>
      </c>
      <c r="AN4" s="6" t="str">
        <f>IFERROR((('raw-PriceList'!#REF!/'raw-PriceList'!#REF!)-1)-Table14[[#This Row],[RF]],"")</f>
        <v/>
      </c>
      <c r="AO4" s="6">
        <f>IFERROR((('raw-PriceList'!AA3/'raw-PriceList'!AA4)-1)-Table14[[#This Row],[RF]],"")</f>
        <v>0.10385249238590308</v>
      </c>
      <c r="AP4" s="6" t="str">
        <f>IFERROR((('raw-PriceList'!#REF!/'raw-PriceList'!#REF!)-1)-Table14[[#This Row],[RF]],"")</f>
        <v/>
      </c>
      <c r="AQ4" s="6">
        <f>IFERROR((('raw-PriceList'!AB3/'raw-PriceList'!AB4)-1)-Table14[[#This Row],[RF]],"")</f>
        <v>0.19013842778095777</v>
      </c>
      <c r="AR4" s="6">
        <f>IFERROR((('raw-PriceList'!AC3/'raw-PriceList'!AC4)-1)-Table14[[#This Row],[RF]],"")</f>
        <v>0.19382388652237478</v>
      </c>
      <c r="AS4" s="6" t="str">
        <f>IFERROR((('raw-PriceList'!#REF!/'raw-PriceList'!#REF!)-1)-Table14[[#This Row],[RF]],"")</f>
        <v/>
      </c>
      <c r="AT4" s="6" t="str">
        <f>IFERROR((('raw-PriceList'!#REF!/'raw-PriceList'!#REF!)-1)-Table14[[#This Row],[RF]],"")</f>
        <v/>
      </c>
      <c r="AU4" s="6" t="str">
        <f>IFERROR((('raw-PriceList'!#REF!/'raw-PriceList'!#REF!)-1)-Table14[[#This Row],[RF]],"")</f>
        <v/>
      </c>
      <c r="AV4" s="6">
        <f>IFERROR((('raw-PriceList'!AD3/'raw-PriceList'!AD4)-1)-Table14[[#This Row],[RF]],"")</f>
        <v>0.17470532201225328</v>
      </c>
      <c r="AW4" s="6">
        <f>IFERROR((('raw-PriceList'!AE3/'raw-PriceList'!AE4)-1)-Table14[[#This Row],[RF]],"")</f>
        <v>0.17470532201225328</v>
      </c>
      <c r="AX4" s="6">
        <f>IFERROR((('raw-PriceList'!AF3/'raw-PriceList'!AF4)-1)-Table14[[#This Row],[RF]],"")</f>
        <v>0.2061369066413293</v>
      </c>
      <c r="AY4" s="6">
        <f>IFERROR((('raw-PriceList'!AG3/'raw-PriceList'!AG4)-1)-Table14[[#This Row],[RF]],"")</f>
        <v>0.20107351667945403</v>
      </c>
      <c r="AZ4" s="6">
        <f>IFERROR((('raw-PriceList'!AH3/'raw-PriceList'!AH4)-1)-Table14[[#This Row],[RF]],"")</f>
        <v>0.16922451390516477</v>
      </c>
      <c r="BA4" s="6" t="str">
        <f>IFERROR((('raw-PriceList'!#REF!/'raw-PriceList'!#REF!)-1)-Table14[[#This Row],[RF]],"")</f>
        <v/>
      </c>
      <c r="BB4" s="6" t="str">
        <f>IFERROR((('raw-PriceList'!#REF!/'raw-PriceList'!#REF!)-1)-Table14[[#This Row],[RF]],"")</f>
        <v/>
      </c>
    </row>
    <row r="5" spans="1:54" x14ac:dyDescent="0.2">
      <c r="A5" s="5">
        <v>43373</v>
      </c>
      <c r="B5" s="9">
        <v>1</v>
      </c>
      <c r="C5" s="4">
        <v>1.6899999999999998E-2</v>
      </c>
      <c r="D5" s="4">
        <v>1.6899999999999998E-2</v>
      </c>
      <c r="E5" s="4">
        <v>1.6899999999999998E-2</v>
      </c>
      <c r="F5" s="4">
        <v>1.6899999999999998E-2</v>
      </c>
      <c r="G5" s="4">
        <v>1.6899999999999998E-2</v>
      </c>
      <c r="H5" s="6">
        <f>IFERROR((('raw-PriceList'!B4/'raw-PriceList'!B5)-1)-Table14[[#This Row],[RF]],"")</f>
        <v>-1.9363067398548706E-3</v>
      </c>
      <c r="I5" s="6">
        <f>IFERROR((('raw-PriceList'!C4/'raw-PriceList'!C5)-1)-Table14[[#This Row],[RF]],"")</f>
        <v>2.0072955883621374E-2</v>
      </c>
      <c r="J5" s="6">
        <f>IFERROR((('raw-PriceList'!D4/'raw-PriceList'!D5)-1)-Table14[[#This Row],[RF]],"")</f>
        <v>-3.2122038904070782E-3</v>
      </c>
      <c r="K5" s="6" t="str">
        <f>IFERROR((('raw-PriceList'!#REF!/'raw-PriceList'!#REF!)-1)-Table14[[#This Row],[RF]],"")</f>
        <v/>
      </c>
      <c r="L5" s="6" t="str">
        <f>IFERROR((('raw-PriceList'!#REF!/'raw-PriceList'!#REF!)-1)-Table14[[#This Row],[RF]],"")</f>
        <v/>
      </c>
      <c r="M5" s="6">
        <f>IFERROR((('raw-PriceList'!G4/'raw-PriceList'!G5)-1)-Table14[[#This Row],[RF]],"")</f>
        <v>-1.0625933380754654E-2</v>
      </c>
      <c r="N5" s="6">
        <f>IFERROR((('raw-PriceList'!H4/'raw-PriceList'!H5)-1)-Table14[[#This Row],[RF]],"")</f>
        <v>5.5858120417113494E-2</v>
      </c>
      <c r="O5" s="6" t="str">
        <f>IFERROR((('raw-PriceList'!#REF!/'raw-PriceList'!#REF!)-1)-Table14[[#This Row],[RF]],"")</f>
        <v/>
      </c>
      <c r="P5" s="6">
        <f>IFERROR((('raw-PriceList'!J4/'raw-PriceList'!J5)-1)-Table14[[#This Row],[RF]],"")</f>
        <v>-0.10821499067150317</v>
      </c>
      <c r="Q5" s="6">
        <f>IFERROR((('raw-PriceList'!K4/'raw-PriceList'!K5)-1)-Table14[[#This Row],[RF]],"")</f>
        <v>-0.10129342166677865</v>
      </c>
      <c r="R5" s="6">
        <f>IFERROR((('raw-PriceList'!L4/'raw-PriceList'!L5)-1)-Table14[[#This Row],[RF]],"")</f>
        <v>-0.11278942666521627</v>
      </c>
      <c r="S5" s="6" t="str">
        <f>IFERROR((('raw-PriceList'!#REF!/'raw-PriceList'!#REF!)-1)-Table14[[#This Row],[RF]],"")</f>
        <v/>
      </c>
      <c r="T5" s="6">
        <f>IFERROR((('raw-PriceList'!M4/'raw-PriceList'!M5)-1)-Table14[[#This Row],[RF]],"")</f>
        <v>-0.13305230887128247</v>
      </c>
      <c r="U5" s="6">
        <f>IFERROR((('raw-PriceList'!N4/'raw-PriceList'!N5)-1)-Table14[[#This Row],[RF]],"")</f>
        <v>-0.1266855662911984</v>
      </c>
      <c r="V5" s="6">
        <f>IFERROR((('raw-PriceList'!O4/'raw-PriceList'!O5)-1)-Table14[[#This Row],[RF]],"")</f>
        <v>-0.13777359154082788</v>
      </c>
      <c r="W5" s="6">
        <f>IFERROR((('raw-PriceList'!P4/'raw-PriceList'!P5)-1)-Table14[[#This Row],[RF]],"")</f>
        <v>-7.7700890618757901E-3</v>
      </c>
      <c r="X5" s="6">
        <f>IFERROR((('raw-PriceList'!Q4/'raw-PriceList'!Q5)-1)-Table14[[#This Row],[RF]],"")</f>
        <v>3.205656371525839E-3</v>
      </c>
      <c r="Y5" s="6" t="str">
        <f>IFERROR((('raw-PriceList'!#REF!/'raw-PriceList'!#REF!)-1)-Table14[[#This Row],[RF]],"")</f>
        <v/>
      </c>
      <c r="Z5" s="6">
        <f>IFERROR((('raw-PriceList'!R4/'raw-PriceList'!R5)-1)-Table14[[#This Row],[RF]],"")</f>
        <v>-1.3556814331543071E-2</v>
      </c>
      <c r="AA5" s="6" t="str">
        <f>IFERROR((('raw-PriceList'!#REF!/'raw-PriceList'!#REF!)-1)-Table14[[#This Row],[RF]],"")</f>
        <v/>
      </c>
      <c r="AB5" s="6" t="str">
        <f>IFERROR((('raw-PriceList'!#REF!/'raw-PriceList'!#REF!)-1)-Table14[[#This Row],[RF]],"")</f>
        <v/>
      </c>
      <c r="AC5" s="6">
        <f>IFERROR((('raw-PriceList'!S4/'raw-PriceList'!S5)-1)-Table14[[#This Row],[RF]],"")</f>
        <v>-8.358506458221801E-2</v>
      </c>
      <c r="AD5" s="6">
        <f>IFERROR((('raw-PriceList'!T4/'raw-PriceList'!T5)-1)-Table14[[#This Row],[RF]],"")</f>
        <v>-7.5761267074014843E-2</v>
      </c>
      <c r="AE5" s="6" t="str">
        <f>IFERROR((('raw-PriceList'!#REF!/'raw-PriceList'!#REF!)-1)-Table14[[#This Row],[RF]],"")</f>
        <v/>
      </c>
      <c r="AF5" s="6">
        <f>IFERROR((('raw-PriceList'!U4/'raw-PriceList'!U5)-1)-Table14[[#This Row],[RF]],"")</f>
        <v>-2.5117974527008591E-4</v>
      </c>
      <c r="AG5" s="6">
        <f>IFERROR((('raw-PriceList'!V4/'raw-PriceList'!V5)-1)-Table14[[#This Row],[RF]],"")</f>
        <v>-7.1544260493827866E-2</v>
      </c>
      <c r="AH5" s="6">
        <f>IFERROR((('raw-PriceList'!W4/'raw-PriceList'!W5)-1)-Table14[[#This Row],[RF]],"")</f>
        <v>3.4326814873994943E-2</v>
      </c>
      <c r="AI5" s="6">
        <f>IFERROR((('raw-PriceList'!X4/'raw-PriceList'!X5)-1)-Table14[[#This Row],[RF]],"")</f>
        <v>-1.223088781480372E-2</v>
      </c>
      <c r="AJ5" s="6" t="str">
        <f>IFERROR((('raw-PriceList'!#REF!/'raw-PriceList'!#REF!)-1)-Table14[[#This Row],[RF]],"")</f>
        <v/>
      </c>
      <c r="AK5" s="6" t="str">
        <f>IFERROR((('raw-PriceList'!#REF!/'raw-PriceList'!#REF!)-1)-Table14[[#This Row],[RF]],"")</f>
        <v/>
      </c>
      <c r="AL5" s="6">
        <f>IFERROR((('raw-PriceList'!Y4/'raw-PriceList'!Y5)-1)-Table14[[#This Row],[RF]],"")</f>
        <v>-0.10951916401099157</v>
      </c>
      <c r="AM5" s="6" t="str">
        <f>IFERROR((('raw-PriceList'!#REF!/'raw-PriceList'!#REF!)-1)-Table14[[#This Row],[RF]],"")</f>
        <v/>
      </c>
      <c r="AN5" s="6" t="str">
        <f>IFERROR((('raw-PriceList'!#REF!/'raw-PriceList'!#REF!)-1)-Table14[[#This Row],[RF]],"")</f>
        <v/>
      </c>
      <c r="AO5" s="6">
        <f>IFERROR((('raw-PriceList'!AA4/'raw-PriceList'!AA5)-1)-Table14[[#This Row],[RF]],"")</f>
        <v>-5.512913300451977E-3</v>
      </c>
      <c r="AP5" s="6" t="str">
        <f>IFERROR((('raw-PriceList'!#REF!/'raw-PriceList'!#REF!)-1)-Table14[[#This Row],[RF]],"")</f>
        <v/>
      </c>
      <c r="AQ5" s="6">
        <f>IFERROR((('raw-PriceList'!AB4/'raw-PriceList'!AB5)-1)-Table14[[#This Row],[RF]],"")</f>
        <v>-6.5022916917531121E-2</v>
      </c>
      <c r="AR5" s="6">
        <f>IFERROR((('raw-PriceList'!AC4/'raw-PriceList'!AC5)-1)-Table14[[#This Row],[RF]],"")</f>
        <v>-0.13086319371739438</v>
      </c>
      <c r="AS5" s="6" t="str">
        <f>IFERROR((('raw-PriceList'!#REF!/'raw-PriceList'!#REF!)-1)-Table14[[#This Row],[RF]],"")</f>
        <v/>
      </c>
      <c r="AT5" s="6" t="str">
        <f>IFERROR((('raw-PriceList'!#REF!/'raw-PriceList'!#REF!)-1)-Table14[[#This Row],[RF]],"")</f>
        <v/>
      </c>
      <c r="AU5" s="6" t="str">
        <f>IFERROR((('raw-PriceList'!#REF!/'raw-PriceList'!#REF!)-1)-Table14[[#This Row],[RF]],"")</f>
        <v/>
      </c>
      <c r="AV5" s="6">
        <f>IFERROR((('raw-PriceList'!AD4/'raw-PriceList'!AD5)-1)-Table14[[#This Row],[RF]],"")</f>
        <v>-0.11024826305660049</v>
      </c>
      <c r="AW5" s="6">
        <f>IFERROR((('raw-PriceList'!AE4/'raw-PriceList'!AE5)-1)-Table14[[#This Row],[RF]],"")</f>
        <v>-0.11024826305660049</v>
      </c>
      <c r="AX5" s="6">
        <f>IFERROR((('raw-PriceList'!AF4/'raw-PriceList'!AF5)-1)-Table14[[#This Row],[RF]],"")</f>
        <v>-0.10937328640073615</v>
      </c>
      <c r="AY5" s="6">
        <f>IFERROR((('raw-PriceList'!AG4/'raw-PriceList'!AG5)-1)-Table14[[#This Row],[RF]],"")</f>
        <v>-0.10257064774521793</v>
      </c>
      <c r="AZ5" s="6">
        <f>IFERROR((('raw-PriceList'!AH4/'raw-PriceList'!AH5)-1)-Table14[[#This Row],[RF]],"")</f>
        <v>-9.2808843787708678E-2</v>
      </c>
      <c r="BA5" s="6" t="str">
        <f>IFERROR((('raw-PriceList'!#REF!/'raw-PriceList'!#REF!)-1)-Table14[[#This Row],[RF]],"")</f>
        <v/>
      </c>
      <c r="BB5" s="6" t="str">
        <f>IFERROR((('raw-PriceList'!#REF!/'raw-PriceList'!#REF!)-1)-Table14[[#This Row],[RF]],"")</f>
        <v/>
      </c>
    </row>
    <row r="6" spans="1:54" x14ac:dyDescent="0.2">
      <c r="A6" s="5">
        <v>43343</v>
      </c>
      <c r="B6" s="9">
        <v>1</v>
      </c>
      <c r="C6" s="4">
        <v>-7.6799999999999993E-2</v>
      </c>
      <c r="D6" s="4">
        <v>-7.6799999999999993E-2</v>
      </c>
      <c r="E6" s="4">
        <v>-7.6799999999999993E-2</v>
      </c>
      <c r="F6" s="4">
        <v>-7.6799999999999993E-2</v>
      </c>
      <c r="G6" s="4">
        <v>-7.6799999999999993E-2</v>
      </c>
      <c r="H6" s="6">
        <f>IFERROR((('raw-PriceList'!B5/'raw-PriceList'!B6)-1)-Table14[[#This Row],[RF]],"")</f>
        <v>7.9315577000538942E-2</v>
      </c>
      <c r="I6" s="6">
        <f>IFERROR((('raw-PriceList'!C5/'raw-PriceList'!C6)-1)-Table14[[#This Row],[RF]],"")</f>
        <v>7.7397468814297779E-2</v>
      </c>
      <c r="J6" s="6">
        <f>IFERROR((('raw-PriceList'!D5/'raw-PriceList'!D6)-1)-Table14[[#This Row],[RF]],"")</f>
        <v>8.0663711634917382E-2</v>
      </c>
      <c r="K6" s="6" t="str">
        <f>IFERROR((('raw-PriceList'!#REF!/'raw-PriceList'!#REF!)-1)-Table14[[#This Row],[RF]],"")</f>
        <v/>
      </c>
      <c r="L6" s="6" t="str">
        <f>IFERROR((('raw-PriceList'!#REF!/'raw-PriceList'!#REF!)-1)-Table14[[#This Row],[RF]],"")</f>
        <v/>
      </c>
      <c r="M6" s="6">
        <f>IFERROR((('raw-PriceList'!G5/'raw-PriceList'!G6)-1)-Table14[[#This Row],[RF]],"")</f>
        <v>7.8597021506778178E-2</v>
      </c>
      <c r="N6" s="6">
        <f>IFERROR((('raw-PriceList'!H5/'raw-PriceList'!H6)-1)-Table14[[#This Row],[RF]],"")</f>
        <v>9.8564721282942594E-2</v>
      </c>
      <c r="O6" s="6" t="str">
        <f>IFERROR((('raw-PriceList'!#REF!/'raw-PriceList'!#REF!)-1)-Table14[[#This Row],[RF]],"")</f>
        <v/>
      </c>
      <c r="P6" s="6">
        <f>IFERROR((('raw-PriceList'!J5/'raw-PriceList'!J6)-1)-Table14[[#This Row],[RF]],"")</f>
        <v>9.5985167884742997E-2</v>
      </c>
      <c r="Q6" s="6">
        <f>IFERROR((('raw-PriceList'!K5/'raw-PriceList'!K6)-1)-Table14[[#This Row],[RF]],"")</f>
        <v>7.6285939051921506E-2</v>
      </c>
      <c r="R6" s="6">
        <f>IFERROR((('raw-PriceList'!L5/'raw-PriceList'!L6)-1)-Table14[[#This Row],[RF]],"")</f>
        <v>0.11270626629869308</v>
      </c>
      <c r="S6" s="6" t="str">
        <f>IFERROR((('raw-PriceList'!#REF!/'raw-PriceList'!#REF!)-1)-Table14[[#This Row],[RF]],"")</f>
        <v/>
      </c>
      <c r="T6" s="6">
        <f>IFERROR((('raw-PriceList'!M5/'raw-PriceList'!M6)-1)-Table14[[#This Row],[RF]],"")</f>
        <v>9.8755198865419183E-2</v>
      </c>
      <c r="U6" s="6">
        <f>IFERROR((('raw-PriceList'!N5/'raw-PriceList'!N6)-1)-Table14[[#This Row],[RF]],"")</f>
        <v>9.6537270411201984E-2</v>
      </c>
      <c r="V6" s="6">
        <f>IFERROR((('raw-PriceList'!O5/'raw-PriceList'!O6)-1)-Table14[[#This Row],[RF]],"")</f>
        <v>0.10035475353389157</v>
      </c>
      <c r="W6" s="6">
        <f>IFERROR((('raw-PriceList'!P5/'raw-PriceList'!P6)-1)-Table14[[#This Row],[RF]],"")</f>
        <v>7.1482088235251498E-2</v>
      </c>
      <c r="X6" s="6">
        <f>IFERROR((('raw-PriceList'!Q5/'raw-PriceList'!Q6)-1)-Table14[[#This Row],[RF]],"")</f>
        <v>6.4636606212492134E-2</v>
      </c>
      <c r="Y6" s="6" t="str">
        <f>IFERROR((('raw-PriceList'!#REF!/'raw-PriceList'!#REF!)-1)-Table14[[#This Row],[RF]],"")</f>
        <v/>
      </c>
      <c r="Z6" s="6">
        <f>IFERROR((('raw-PriceList'!R5/'raw-PriceList'!R6)-1)-Table14[[#This Row],[RF]],"")</f>
        <v>7.3597765172440113E-2</v>
      </c>
      <c r="AA6" s="6" t="str">
        <f>IFERROR((('raw-PriceList'!#REF!/'raw-PriceList'!#REF!)-1)-Table14[[#This Row],[RF]],"")</f>
        <v/>
      </c>
      <c r="AB6" s="6" t="str">
        <f>IFERROR((('raw-PriceList'!#REF!/'raw-PriceList'!#REF!)-1)-Table14[[#This Row],[RF]],"")</f>
        <v/>
      </c>
      <c r="AC6" s="6">
        <f>IFERROR((('raw-PriceList'!S5/'raw-PriceList'!S6)-1)-Table14[[#This Row],[RF]],"")</f>
        <v>8.1879902715476197E-2</v>
      </c>
      <c r="AD6" s="6">
        <f>IFERROR((('raw-PriceList'!T5/'raw-PriceList'!T6)-1)-Table14[[#This Row],[RF]],"")</f>
        <v>9.1476146971401398E-2</v>
      </c>
      <c r="AE6" s="6" t="str">
        <f>IFERROR((('raw-PriceList'!#REF!/'raw-PriceList'!#REF!)-1)-Table14[[#This Row],[RF]],"")</f>
        <v/>
      </c>
      <c r="AF6" s="6">
        <f>IFERROR((('raw-PriceList'!U5/'raw-PriceList'!U6)-1)-Table14[[#This Row],[RF]],"")</f>
        <v>8.4558488631434794E-2</v>
      </c>
      <c r="AG6" s="6">
        <f>IFERROR((('raw-PriceList'!V5/'raw-PriceList'!V6)-1)-Table14[[#This Row],[RF]],"")</f>
        <v>7.0035323937949992E-2</v>
      </c>
      <c r="AH6" s="6">
        <f>IFERROR((('raw-PriceList'!W5/'raw-PriceList'!W6)-1)-Table14[[#This Row],[RF]],"")</f>
        <v>9.2809446754429384E-2</v>
      </c>
      <c r="AI6" s="6">
        <f>IFERROR((('raw-PriceList'!X5/'raw-PriceList'!X6)-1)-Table14[[#This Row],[RF]],"")</f>
        <v>7.8972991201520917E-2</v>
      </c>
      <c r="AJ6" s="6" t="str">
        <f>IFERROR((('raw-PriceList'!#REF!/'raw-PriceList'!#REF!)-1)-Table14[[#This Row],[RF]],"")</f>
        <v/>
      </c>
      <c r="AK6" s="6" t="str">
        <f>IFERROR((('raw-PriceList'!#REF!/'raw-PriceList'!#REF!)-1)-Table14[[#This Row],[RF]],"")</f>
        <v/>
      </c>
      <c r="AL6" s="6">
        <f>IFERROR((('raw-PriceList'!Y5/'raw-PriceList'!Y6)-1)-Table14[[#This Row],[RF]],"")</f>
        <v>0.11812951071590151</v>
      </c>
      <c r="AM6" s="6" t="str">
        <f>IFERROR((('raw-PriceList'!#REF!/'raw-PriceList'!#REF!)-1)-Table14[[#This Row],[RF]],"")</f>
        <v/>
      </c>
      <c r="AN6" s="6" t="str">
        <f>IFERROR((('raw-PriceList'!#REF!/'raw-PriceList'!#REF!)-1)-Table14[[#This Row],[RF]],"")</f>
        <v/>
      </c>
      <c r="AO6" s="6">
        <f>IFERROR((('raw-PriceList'!AA5/'raw-PriceList'!AA6)-1)-Table14[[#This Row],[RF]],"")</f>
        <v>8.3134274562980628E-2</v>
      </c>
      <c r="AP6" s="6" t="str">
        <f>IFERROR((('raw-PriceList'!#REF!/'raw-PriceList'!#REF!)-1)-Table14[[#This Row],[RF]],"")</f>
        <v/>
      </c>
      <c r="AQ6" s="6">
        <f>IFERROR((('raw-PriceList'!AB5/'raw-PriceList'!AB6)-1)-Table14[[#This Row],[RF]],"")</f>
        <v>0.11704211013755429</v>
      </c>
      <c r="AR6" s="6">
        <f>IFERROR((('raw-PriceList'!AC5/'raw-PriceList'!AC6)-1)-Table14[[#This Row],[RF]],"")</f>
        <v>9.9551426839537452E-2</v>
      </c>
      <c r="AS6" s="6" t="str">
        <f>IFERROR((('raw-PriceList'!#REF!/'raw-PriceList'!#REF!)-1)-Table14[[#This Row],[RF]],"")</f>
        <v/>
      </c>
      <c r="AT6" s="6" t="str">
        <f>IFERROR((('raw-PriceList'!#REF!/'raw-PriceList'!#REF!)-1)-Table14[[#This Row],[RF]],"")</f>
        <v/>
      </c>
      <c r="AU6" s="6" t="str">
        <f>IFERROR((('raw-PriceList'!#REF!/'raw-PriceList'!#REF!)-1)-Table14[[#This Row],[RF]],"")</f>
        <v/>
      </c>
      <c r="AV6" s="6">
        <f>IFERROR((('raw-PriceList'!AD5/'raw-PriceList'!AD6)-1)-Table14[[#This Row],[RF]],"")</f>
        <v>9.561654617109562E-2</v>
      </c>
      <c r="AW6" s="6">
        <f>IFERROR((('raw-PriceList'!AE5/'raw-PriceList'!AE6)-1)-Table14[[#This Row],[RF]],"")</f>
        <v>9.561654617109562E-2</v>
      </c>
      <c r="AX6" s="6">
        <f>IFERROR((('raw-PriceList'!AF5/'raw-PriceList'!AF6)-1)-Table14[[#This Row],[RF]],"")</f>
        <v>0.10161857405098186</v>
      </c>
      <c r="AY6" s="6">
        <f>IFERROR((('raw-PriceList'!AG5/'raw-PriceList'!AG6)-1)-Table14[[#This Row],[RF]],"")</f>
        <v>6.9448510298959723E-2</v>
      </c>
      <c r="AZ6" s="6">
        <f>IFERROR((('raw-PriceList'!AH5/'raw-PriceList'!AH6)-1)-Table14[[#This Row],[RF]],"")</f>
        <v>0.10099670193414069</v>
      </c>
      <c r="BA6" s="6" t="str">
        <f>IFERROR((('raw-PriceList'!#REF!/'raw-PriceList'!#REF!)-1)-Table14[[#This Row],[RF]],"")</f>
        <v/>
      </c>
      <c r="BB6" s="6" t="str">
        <f>IFERROR((('raw-PriceList'!#REF!/'raw-PriceList'!#REF!)-1)-Table14[[#This Row],[RF]],"")</f>
        <v/>
      </c>
    </row>
    <row r="7" spans="1:54" x14ac:dyDescent="0.2">
      <c r="A7" s="5">
        <v>43312</v>
      </c>
      <c r="B7" s="9">
        <v>1</v>
      </c>
      <c r="C7" s="4">
        <v>5.9999999999999995E-4</v>
      </c>
      <c r="D7" s="4">
        <v>5.9999999999999995E-4</v>
      </c>
      <c r="E7" s="4">
        <v>5.9999999999999995E-4</v>
      </c>
      <c r="F7" s="4">
        <v>5.9999999999999995E-4</v>
      </c>
      <c r="G7" s="4">
        <v>5.9999999999999995E-4</v>
      </c>
      <c r="H7" s="6">
        <f>IFERROR((('raw-PriceList'!B6/'raw-PriceList'!B7)-1)-Table14[[#This Row],[RF]],"")</f>
        <v>-7.9413545994548411E-3</v>
      </c>
      <c r="I7" s="6">
        <f>IFERROR((('raw-PriceList'!C6/'raw-PriceList'!C7)-1)-Table14[[#This Row],[RF]],"")</f>
        <v>-3.5951627909530284E-2</v>
      </c>
      <c r="J7" s="6">
        <f>IFERROR((('raw-PriceList'!D6/'raw-PriceList'!D7)-1)-Table14[[#This Row],[RF]],"")</f>
        <v>-1.153051083044716E-2</v>
      </c>
      <c r="K7" s="6" t="str">
        <f>IFERROR((('raw-PriceList'!#REF!/'raw-PriceList'!#REF!)-1)-Table14[[#This Row],[RF]],"")</f>
        <v/>
      </c>
      <c r="L7" s="6" t="str">
        <f>IFERROR((('raw-PriceList'!#REF!/'raw-PriceList'!#REF!)-1)-Table14[[#This Row],[RF]],"")</f>
        <v/>
      </c>
      <c r="M7" s="6">
        <f>IFERROR((('raw-PriceList'!G6/'raw-PriceList'!G7)-1)-Table14[[#This Row],[RF]],"")</f>
        <v>-1.7615937928037832E-3</v>
      </c>
      <c r="N7" s="6">
        <f>IFERROR((('raw-PriceList'!H6/'raw-PriceList'!H7)-1)-Table14[[#This Row],[RF]],"")</f>
        <v>-4.6615769883640093E-2</v>
      </c>
      <c r="O7" s="6" t="str">
        <f>IFERROR((('raw-PriceList'!#REF!/'raw-PriceList'!#REF!)-1)-Table14[[#This Row],[RF]],"")</f>
        <v/>
      </c>
      <c r="P7" s="6">
        <f>IFERROR((('raw-PriceList'!J6/'raw-PriceList'!J7)-1)-Table14[[#This Row],[RF]],"")</f>
        <v>-6.7068192266543883E-2</v>
      </c>
      <c r="Q7" s="6">
        <f>IFERROR((('raw-PriceList'!K6/'raw-PriceList'!K7)-1)-Table14[[#This Row],[RF]],"")</f>
        <v>-8.8297312985675516E-2</v>
      </c>
      <c r="R7" s="6">
        <f>IFERROR((('raw-PriceList'!L6/'raw-PriceList'!L7)-1)-Table14[[#This Row],[RF]],"")</f>
        <v>-4.7211582968747681E-2</v>
      </c>
      <c r="S7" s="6" t="str">
        <f>IFERROR((('raw-PriceList'!#REF!/'raw-PriceList'!#REF!)-1)-Table14[[#This Row],[RF]],"")</f>
        <v/>
      </c>
      <c r="T7" s="6">
        <f>IFERROR((('raw-PriceList'!M6/'raw-PriceList'!M7)-1)-Table14[[#This Row],[RF]],"")</f>
        <v>-0.1018100180931308</v>
      </c>
      <c r="U7" s="6">
        <f>IFERROR((('raw-PriceList'!N6/'raw-PriceList'!N7)-1)-Table14[[#This Row],[RF]],"")</f>
        <v>-0.11501748792850271</v>
      </c>
      <c r="V7" s="6">
        <f>IFERROR((('raw-PriceList'!O6/'raw-PriceList'!O7)-1)-Table14[[#This Row],[RF]],"")</f>
        <v>-9.1086510270495039E-2</v>
      </c>
      <c r="W7" s="6">
        <f>IFERROR((('raw-PriceList'!P6/'raw-PriceList'!P7)-1)-Table14[[#This Row],[RF]],"")</f>
        <v>-1.2355951151729893E-2</v>
      </c>
      <c r="X7" s="6">
        <f>IFERROR((('raw-PriceList'!Q6/'raw-PriceList'!Q7)-1)-Table14[[#This Row],[RF]],"")</f>
        <v>-3.9920786513469933E-2</v>
      </c>
      <c r="Y7" s="6" t="str">
        <f>IFERROR((('raw-PriceList'!#REF!/'raw-PriceList'!#REF!)-1)-Table14[[#This Row],[RF]],"")</f>
        <v/>
      </c>
      <c r="Z7" s="6">
        <f>IFERROR((('raw-PriceList'!R6/'raw-PriceList'!R7)-1)-Table14[[#This Row],[RF]],"")</f>
        <v>-3.5516131199011085E-3</v>
      </c>
      <c r="AA7" s="6" t="str">
        <f>IFERROR((('raw-PriceList'!#REF!/'raw-PriceList'!#REF!)-1)-Table14[[#This Row],[RF]],"")</f>
        <v/>
      </c>
      <c r="AB7" s="6" t="str">
        <f>IFERROR((('raw-PriceList'!#REF!/'raw-PriceList'!#REF!)-1)-Table14[[#This Row],[RF]],"")</f>
        <v/>
      </c>
      <c r="AC7" s="6">
        <f>IFERROR((('raw-PriceList'!S6/'raw-PriceList'!S7)-1)-Table14[[#This Row],[RF]],"")</f>
        <v>-8.6569540922942625E-2</v>
      </c>
      <c r="AD7" s="6">
        <f>IFERROR((('raw-PriceList'!T6/'raw-PriceList'!T7)-1)-Table14[[#This Row],[RF]],"")</f>
        <v>-8.3607078910855129E-2</v>
      </c>
      <c r="AE7" s="6" t="str">
        <f>IFERROR((('raw-PriceList'!#REF!/'raw-PriceList'!#REF!)-1)-Table14[[#This Row],[RF]],"")</f>
        <v/>
      </c>
      <c r="AF7" s="6">
        <f>IFERROR((('raw-PriceList'!U6/'raw-PriceList'!U7)-1)-Table14[[#This Row],[RF]],"")</f>
        <v>-2.8578369603031277E-3</v>
      </c>
      <c r="AG7" s="6">
        <f>IFERROR((('raw-PriceList'!V6/'raw-PriceList'!V7)-1)-Table14[[#This Row],[RF]],"")</f>
        <v>-7.956211312700108E-2</v>
      </c>
      <c r="AH7" s="6">
        <f>IFERROR((('raw-PriceList'!W6/'raw-PriceList'!W7)-1)-Table14[[#This Row],[RF]],"")</f>
        <v>-3.1357904905851178E-2</v>
      </c>
      <c r="AI7" s="6">
        <f>IFERROR((('raw-PriceList'!X6/'raw-PriceList'!X7)-1)-Table14[[#This Row],[RF]],"")</f>
        <v>-1.1081964249485925E-3</v>
      </c>
      <c r="AJ7" s="6" t="str">
        <f>IFERROR((('raw-PriceList'!#REF!/'raw-PriceList'!#REF!)-1)-Table14[[#This Row],[RF]],"")</f>
        <v/>
      </c>
      <c r="AK7" s="6" t="str">
        <f>IFERROR((('raw-PriceList'!#REF!/'raw-PriceList'!#REF!)-1)-Table14[[#This Row],[RF]],"")</f>
        <v/>
      </c>
      <c r="AL7" s="6">
        <f>IFERROR((('raw-PriceList'!Y6/'raw-PriceList'!Y7)-1)-Table14[[#This Row],[RF]],"")</f>
        <v>-6.4132609058964188E-2</v>
      </c>
      <c r="AM7" s="6" t="str">
        <f>IFERROR((('raw-PriceList'!#REF!/'raw-PriceList'!#REF!)-1)-Table14[[#This Row],[RF]],"")</f>
        <v/>
      </c>
      <c r="AN7" s="6" t="str">
        <f>IFERROR((('raw-PriceList'!#REF!/'raw-PriceList'!#REF!)-1)-Table14[[#This Row],[RF]],"")</f>
        <v/>
      </c>
      <c r="AO7" s="6">
        <f>IFERROR((('raw-PriceList'!AA6/'raw-PriceList'!AA7)-1)-Table14[[#This Row],[RF]],"")</f>
        <v>-8.6314591627950181E-3</v>
      </c>
      <c r="AP7" s="6" t="str">
        <f>IFERROR((('raw-PriceList'!#REF!/'raw-PriceList'!#REF!)-1)-Table14[[#This Row],[RF]],"")</f>
        <v/>
      </c>
      <c r="AQ7" s="6">
        <f>IFERROR((('raw-PriceList'!AB6/'raw-PriceList'!AB7)-1)-Table14[[#This Row],[RF]],"")</f>
        <v>-5.8293824370917638E-2</v>
      </c>
      <c r="AR7" s="6">
        <f>IFERROR((('raw-PriceList'!AC6/'raw-PriceList'!AC7)-1)-Table14[[#This Row],[RF]],"")</f>
        <v>-7.0953153777465985E-2</v>
      </c>
      <c r="AS7" s="6" t="str">
        <f>IFERROR((('raw-PriceList'!#REF!/'raw-PriceList'!#REF!)-1)-Table14[[#This Row],[RF]],"")</f>
        <v/>
      </c>
      <c r="AT7" s="6" t="str">
        <f>IFERROR((('raw-PriceList'!#REF!/'raw-PriceList'!#REF!)-1)-Table14[[#This Row],[RF]],"")</f>
        <v/>
      </c>
      <c r="AU7" s="6" t="str">
        <f>IFERROR((('raw-PriceList'!#REF!/'raw-PriceList'!#REF!)-1)-Table14[[#This Row],[RF]],"")</f>
        <v/>
      </c>
      <c r="AV7" s="6">
        <f>IFERROR((('raw-PriceList'!AD6/'raw-PriceList'!AD7)-1)-Table14[[#This Row],[RF]],"")</f>
        <v>-6.8978017489766022E-2</v>
      </c>
      <c r="AW7" s="6">
        <f>IFERROR((('raw-PriceList'!AE6/'raw-PriceList'!AE7)-1)-Table14[[#This Row],[RF]],"")</f>
        <v>-6.8978017489766022E-2</v>
      </c>
      <c r="AX7" s="6">
        <f>IFERROR((('raw-PriceList'!AF6/'raw-PriceList'!AF7)-1)-Table14[[#This Row],[RF]],"")</f>
        <v>-9.7576535106678033E-2</v>
      </c>
      <c r="AY7" s="6">
        <f>IFERROR((('raw-PriceList'!AG6/'raw-PriceList'!AG7)-1)-Table14[[#This Row],[RF]],"")</f>
        <v>-6.2549879960225499E-2</v>
      </c>
      <c r="AZ7" s="6">
        <f>IFERROR((('raw-PriceList'!AH6/'raw-PriceList'!AH7)-1)-Table14[[#This Row],[RF]],"")</f>
        <v>-9.9620201591159654E-2</v>
      </c>
      <c r="BA7" s="6" t="str">
        <f>IFERROR((('raw-PriceList'!#REF!/'raw-PriceList'!#REF!)-1)-Table14[[#This Row],[RF]],"")</f>
        <v/>
      </c>
      <c r="BB7" s="6" t="str">
        <f>IFERROR((('raw-PriceList'!#REF!/'raw-PriceList'!#REF!)-1)-Table14[[#This Row],[RF]],"")</f>
        <v/>
      </c>
    </row>
    <row r="8" spans="1:54" x14ac:dyDescent="0.2">
      <c r="A8" s="5">
        <v>43281</v>
      </c>
      <c r="B8" s="9">
        <v>1</v>
      </c>
      <c r="C8" s="4">
        <v>3.44E-2</v>
      </c>
      <c r="D8" s="4">
        <v>3.44E-2</v>
      </c>
      <c r="E8" s="4">
        <v>3.44E-2</v>
      </c>
      <c r="F8" s="4">
        <v>3.44E-2</v>
      </c>
      <c r="G8" s="4">
        <v>3.44E-2</v>
      </c>
      <c r="H8" s="6">
        <f>IFERROR((('raw-PriceList'!B7/'raw-PriceList'!B8)-1)-Table14[[#This Row],[RF]],"")</f>
        <v>-4.3622554022696783E-2</v>
      </c>
      <c r="I8" s="6">
        <f>IFERROR((('raw-PriceList'!C7/'raw-PriceList'!C8)-1)-Table14[[#This Row],[RF]],"")</f>
        <v>-5.0381674259810674E-2</v>
      </c>
      <c r="J8" s="6">
        <f>IFERROR((('raw-PriceList'!D7/'raw-PriceList'!D8)-1)-Table14[[#This Row],[RF]],"")</f>
        <v>-4.2218577040915042E-2</v>
      </c>
      <c r="K8" s="6" t="str">
        <f>IFERROR((('raw-PriceList'!#REF!/'raw-PriceList'!E8)-1)-Table14[[#This Row],[RF]],"")</f>
        <v/>
      </c>
      <c r="L8" s="6" t="str">
        <f>IFERROR((('raw-PriceList'!#REF!/'raw-PriceList'!#REF!)-1)-Table14[[#This Row],[RF]],"")</f>
        <v/>
      </c>
      <c r="M8" s="6">
        <f>IFERROR((('raw-PriceList'!G7/'raw-PriceList'!G8)-1)-Table14[[#This Row],[RF]],"")</f>
        <v>-3.7711916807776538E-2</v>
      </c>
      <c r="N8" s="6">
        <f>IFERROR((('raw-PriceList'!H7/'raw-PriceList'!H8)-1)-Table14[[#This Row],[RF]],"")</f>
        <v>-8.2850499580277473E-2</v>
      </c>
      <c r="O8" s="6" t="str">
        <f>IFERROR((('raw-PriceList'!#REF!/'raw-PriceList'!I8)-1)-Table14[[#This Row],[RF]],"")</f>
        <v/>
      </c>
      <c r="P8" s="6">
        <f>IFERROR((('raw-PriceList'!J7/'raw-PriceList'!J8)-1)-Table14[[#This Row],[RF]],"")</f>
        <v>-3.217133738008561E-2</v>
      </c>
      <c r="Q8" s="6">
        <f>IFERROR((('raw-PriceList'!K7/'raw-PriceList'!K8)-1)-Table14[[#This Row],[RF]],"")</f>
        <v>-3.155252722304637E-2</v>
      </c>
      <c r="R8" s="6">
        <f>IFERROR((('raw-PriceList'!L7/'raw-PriceList'!L8)-1)-Table14[[#This Row],[RF]],"")</f>
        <v>-3.2645065106057039E-2</v>
      </c>
      <c r="S8" s="6" t="str">
        <f>IFERROR((('raw-PriceList'!#REF!/'raw-PriceList'!#REF!)-1)-Table14[[#This Row],[RF]],"")</f>
        <v/>
      </c>
      <c r="T8" s="6">
        <f>IFERROR((('raw-PriceList'!M7/'raw-PriceList'!M8)-1)-Table14[[#This Row],[RF]],"")</f>
        <v>-5.3015699235463135E-2</v>
      </c>
      <c r="U8" s="6">
        <f>IFERROR((('raw-PriceList'!N7/'raw-PriceList'!N8)-1)-Table14[[#This Row],[RF]],"")</f>
        <v>-4.8115746699057507E-2</v>
      </c>
      <c r="V8" s="6">
        <f>IFERROR((('raw-PriceList'!O7/'raw-PriceList'!O8)-1)-Table14[[#This Row],[RF]],"")</f>
        <v>-5.6602015482011395E-2</v>
      </c>
      <c r="W8" s="6">
        <f>IFERROR((('raw-PriceList'!P7/'raw-PriceList'!P8)-1)-Table14[[#This Row],[RF]],"")</f>
        <v>-4.1979606241136849E-2</v>
      </c>
      <c r="X8" s="6">
        <f>IFERROR((('raw-PriceList'!Q7/'raw-PriceList'!Q8)-1)-Table14[[#This Row],[RF]],"")</f>
        <v>-4.060444337221393E-2</v>
      </c>
      <c r="Y8" s="6" t="str">
        <f>IFERROR((('raw-PriceList'!#REF!/'raw-PriceList'!#REF!)-1)-Table14[[#This Row],[RF]],"")</f>
        <v/>
      </c>
      <c r="Z8" s="6">
        <f>IFERROR((('raw-PriceList'!R7/'raw-PriceList'!R8)-1)-Table14[[#This Row],[RF]],"")</f>
        <v>-3.7460690471668459E-2</v>
      </c>
      <c r="AA8" s="6" t="str">
        <f>IFERROR((('raw-PriceList'!#REF!/'raw-PriceList'!#REF!)-1)-Table14[[#This Row],[RF]],"")</f>
        <v/>
      </c>
      <c r="AB8" s="6" t="str">
        <f>IFERROR((('raw-PriceList'!#REF!/'raw-PriceList'!#REF!)-1)-Table14[[#This Row],[RF]],"")</f>
        <v/>
      </c>
      <c r="AC8" s="6">
        <f>IFERROR((('raw-PriceList'!S7/'raw-PriceList'!S8)-1)-Table14[[#This Row],[RF]],"")</f>
        <v>-3.0919462761637387E-2</v>
      </c>
      <c r="AD8" s="6">
        <f>IFERROR((('raw-PriceList'!T7/'raw-PriceList'!T8)-1)-Table14[[#This Row],[RF]],"")</f>
        <v>-3.5163100418447849E-2</v>
      </c>
      <c r="AE8" s="6" t="str">
        <f>IFERROR((('raw-PriceList'!#REF!/'raw-PriceList'!#REF!)-1)-Table14[[#This Row],[RF]],"")</f>
        <v/>
      </c>
      <c r="AF8" s="6">
        <f>IFERROR((('raw-PriceList'!U7/'raw-PriceList'!U8)-1)-Table14[[#This Row],[RF]],"")</f>
        <v>-4.3803822569397535E-2</v>
      </c>
      <c r="AG8" s="6">
        <f>IFERROR((('raw-PriceList'!V7/'raw-PriceList'!V8)-1)-Table14[[#This Row],[RF]],"")</f>
        <v>-3.7584596489231084E-2</v>
      </c>
      <c r="AH8" s="6">
        <f>IFERROR((('raw-PriceList'!W7/'raw-PriceList'!W8)-1)-Table14[[#This Row],[RF]],"")</f>
        <v>-6.4250389136651057E-2</v>
      </c>
      <c r="AI8" s="6">
        <f>IFERROR((('raw-PriceList'!X7/'raw-PriceList'!X8)-1)-Table14[[#This Row],[RF]],"")</f>
        <v>-3.7569996792960483E-2</v>
      </c>
      <c r="AJ8" s="6" t="str">
        <f>IFERROR((('raw-PriceList'!#REF!/'raw-PriceList'!#REF!)-1)-Table14[[#This Row],[RF]],"")</f>
        <v/>
      </c>
      <c r="AK8" s="6" t="str">
        <f>IFERROR((('raw-PriceList'!#REF!/'raw-PriceList'!#REF!)-1)-Table14[[#This Row],[RF]],"")</f>
        <v/>
      </c>
      <c r="AL8" s="6">
        <f>IFERROR((('raw-PriceList'!Y7/'raw-PriceList'!Y8)-1)-Table14[[#This Row],[RF]],"")</f>
        <v>-2.2165293565927127E-2</v>
      </c>
      <c r="AM8" s="6" t="str">
        <f>IFERROR((('raw-PriceList'!#REF!/'raw-PriceList'!#REF!)-1)-Table14[[#This Row],[RF]],"")</f>
        <v/>
      </c>
      <c r="AN8" s="6" t="str">
        <f>IFERROR((('raw-PriceList'!#REF!/'raw-PriceList'!#REF!)-1)-Table14[[#This Row],[RF]],"")</f>
        <v/>
      </c>
      <c r="AO8" s="6">
        <f>IFERROR((('raw-PriceList'!AA7/'raw-PriceList'!AA8)-1)-Table14[[#This Row],[RF]],"")</f>
        <v>-4.27719586342762E-2</v>
      </c>
      <c r="AP8" s="6" t="str">
        <f>IFERROR((('raw-PriceList'!#REF!/'raw-PriceList'!#REF!)-1)-Table14[[#This Row],[RF]],"")</f>
        <v/>
      </c>
      <c r="AQ8" s="6">
        <f>IFERROR((('raw-PriceList'!AB7/'raw-PriceList'!AB8)-1)-Table14[[#This Row],[RF]],"")</f>
        <v>-6.2600708923410756E-2</v>
      </c>
      <c r="AR8" s="6">
        <f>IFERROR((('raw-PriceList'!AC7/'raw-PriceList'!AC8)-1)-Table14[[#This Row],[RF]],"")</f>
        <v>-4.7904891878770131E-2</v>
      </c>
      <c r="AS8" s="6" t="str">
        <f>IFERROR((('raw-PriceList'!#REF!/'raw-PriceList'!#REF!)-1)-Table14[[#This Row],[RF]],"")</f>
        <v/>
      </c>
      <c r="AT8" s="6" t="str">
        <f>IFERROR((('raw-PriceList'!#REF!/'raw-PriceList'!#REF!)-1)-Table14[[#This Row],[RF]],"")</f>
        <v/>
      </c>
      <c r="AU8" s="6" t="str">
        <f>IFERROR((('raw-PriceList'!#REF!/'raw-PriceList'!#REF!)-1)-Table14[[#This Row],[RF]],"")</f>
        <v/>
      </c>
      <c r="AV8" s="6">
        <f>IFERROR((('raw-PriceList'!AD7/'raw-PriceList'!AD8)-1)-Table14[[#This Row],[RF]],"")</f>
        <v>-3.3185350042299847E-2</v>
      </c>
      <c r="AW8" s="6">
        <f>IFERROR((('raw-PriceList'!AE7/'raw-PriceList'!AE8)-1)-Table14[[#This Row],[RF]],"")</f>
        <v>-3.3185350042299847E-2</v>
      </c>
      <c r="AX8" s="6">
        <f>IFERROR((('raw-PriceList'!AF7/'raw-PriceList'!AF8)-1)-Table14[[#This Row],[RF]],"")</f>
        <v>-3.9309071192390369E-2</v>
      </c>
      <c r="AY8" s="6">
        <f>IFERROR((('raw-PriceList'!AG7/'raw-PriceList'!AG8)-1)-Table14[[#This Row],[RF]],"")</f>
        <v>-3.2210281367727869E-2</v>
      </c>
      <c r="AZ8" s="6">
        <f>IFERROR((('raw-PriceList'!AH7/'raw-PriceList'!AH8)-1)-Table14[[#This Row],[RF]],"")</f>
        <v>-1.6791740094647137E-2</v>
      </c>
      <c r="BA8" s="6" t="str">
        <f>IFERROR((('raw-PriceList'!#REF!/'raw-PriceList'!#REF!)-1)-Table14[[#This Row],[RF]],"")</f>
        <v/>
      </c>
      <c r="BB8" s="6" t="str">
        <f>IFERROR((('raw-PriceList'!#REF!/'raw-PriceList'!AI8)-1)-Table14[[#This Row],[RF]],"")</f>
        <v/>
      </c>
    </row>
    <row r="9" spans="1:54" x14ac:dyDescent="0.2">
      <c r="A9" s="5">
        <v>43251</v>
      </c>
      <c r="B9" s="9">
        <v>1</v>
      </c>
      <c r="C9" s="4">
        <v>3.1899999999999998E-2</v>
      </c>
      <c r="D9" s="4">
        <v>3.1899999999999998E-2</v>
      </c>
      <c r="E9" s="4">
        <v>3.1899999999999998E-2</v>
      </c>
      <c r="F9" s="4">
        <v>3.1899999999999998E-2</v>
      </c>
      <c r="G9" s="4">
        <v>3.1899999999999998E-2</v>
      </c>
      <c r="H9" s="6">
        <f>IFERROR((('raw-PriceList'!B8/'raw-PriceList'!B9)-1)-Table14[[#This Row],[RF]],"")</f>
        <v>-2.6832980651365371E-2</v>
      </c>
      <c r="I9" s="6">
        <f>IFERROR((('raw-PriceList'!C8/'raw-PriceList'!C9)-1)-Table14[[#This Row],[RF]],"")</f>
        <v>-3.0440358084539335E-2</v>
      </c>
      <c r="J9" s="6">
        <f>IFERROR((('raw-PriceList'!D8/'raw-PriceList'!D9)-1)-Table14[[#This Row],[RF]],"")</f>
        <v>-2.7597023342936081E-2</v>
      </c>
      <c r="K9" s="6" t="str">
        <f>IFERROR((('raw-PriceList'!E8/'raw-PriceList'!E9)-1)-Table14[[#This Row],[RF]],"")</f>
        <v/>
      </c>
      <c r="L9" s="6" t="str">
        <f>IFERROR((('raw-PriceList'!#REF!/'raw-PriceList'!#REF!)-1)-Table14[[#This Row],[RF]],"")</f>
        <v/>
      </c>
      <c r="M9" s="6">
        <f>IFERROR((('raw-PriceList'!G8/'raw-PriceList'!G9)-1)-Table14[[#This Row],[RF]],"")</f>
        <v>-2.9856748444938977E-2</v>
      </c>
      <c r="N9" s="6">
        <f>IFERROR((('raw-PriceList'!H8/'raw-PriceList'!H9)-1)-Table14[[#This Row],[RF]],"")</f>
        <v>-1.5398978263665833E-2</v>
      </c>
      <c r="O9" s="6" t="str">
        <f>IFERROR((('raw-PriceList'!I8/'raw-PriceList'!I9)-1)-Table14[[#This Row],[RF]],"")</f>
        <v/>
      </c>
      <c r="P9" s="6">
        <f>IFERROR((('raw-PriceList'!J8/'raw-PriceList'!J9)-1)-Table14[[#This Row],[RF]],"")</f>
        <v>2.2055625773840654E-3</v>
      </c>
      <c r="Q9" s="6">
        <f>IFERROR((('raw-PriceList'!K8/'raw-PriceList'!K9)-1)-Table14[[#This Row],[RF]],"")</f>
        <v>1.5107504800324675E-2</v>
      </c>
      <c r="R9" s="6">
        <f>IFERROR((('raw-PriceList'!L8/'raw-PriceList'!L9)-1)-Table14[[#This Row],[RF]],"")</f>
        <v>-9.2417700295059496E-3</v>
      </c>
      <c r="S9" s="6" t="str">
        <f>IFERROR((('raw-PriceList'!#REF!/'raw-PriceList'!#REF!)-1)-Table14[[#This Row],[RF]],"")</f>
        <v/>
      </c>
      <c r="T9" s="6">
        <f>IFERROR((('raw-PriceList'!M8/'raw-PriceList'!M9)-1)-Table14[[#This Row],[RF]],"")</f>
        <v>1.328150315595393E-2</v>
      </c>
      <c r="U9" s="6">
        <f>IFERROR((('raw-PriceList'!N8/'raw-PriceList'!N9)-1)-Table14[[#This Row],[RF]],"")</f>
        <v>3.8148187791539764E-2</v>
      </c>
      <c r="V9" s="6">
        <f>IFERROR((('raw-PriceList'!O8/'raw-PriceList'!O9)-1)-Table14[[#This Row],[RF]],"")</f>
        <v>-7.7665958650007944E-3</v>
      </c>
      <c r="W9" s="6">
        <f>IFERROR((('raw-PriceList'!P8/'raw-PriceList'!P9)-1)-Table14[[#This Row],[RF]],"")</f>
        <v>-2.9169241885221367E-2</v>
      </c>
      <c r="X9" s="6">
        <f>IFERROR((('raw-PriceList'!Q8/'raw-PriceList'!Q9)-1)-Table14[[#This Row],[RF]],"")</f>
        <v>-3.8859169291856469E-2</v>
      </c>
      <c r="Y9" s="6" t="str">
        <f>IFERROR((('raw-PriceList'!#REF!/'raw-PriceList'!#REF!)-1)-Table14[[#This Row],[RF]],"")</f>
        <v/>
      </c>
      <c r="Z9" s="6">
        <f>IFERROR((('raw-PriceList'!R8/'raw-PriceList'!R9)-1)-Table14[[#This Row],[RF]],"")</f>
        <v>-2.884698112816482E-2</v>
      </c>
      <c r="AA9" s="6" t="str">
        <f>IFERROR((('raw-PriceList'!#REF!/'raw-PriceList'!#REF!)-1)-Table14[[#This Row],[RF]],"")</f>
        <v/>
      </c>
      <c r="AB9" s="6" t="str">
        <f>IFERROR((('raw-PriceList'!#REF!/'raw-PriceList'!#REF!)-1)-Table14[[#This Row],[RF]],"")</f>
        <v/>
      </c>
      <c r="AC9" s="6">
        <f>IFERROR((('raw-PriceList'!S8/'raw-PriceList'!S9)-1)-Table14[[#This Row],[RF]],"")</f>
        <v>-4.9214003734317127E-2</v>
      </c>
      <c r="AD9" s="6">
        <f>IFERROR((('raw-PriceList'!T8/'raw-PriceList'!T9)-1)-Table14[[#This Row],[RF]],"")</f>
        <v>-5.5339273691099658E-2</v>
      </c>
      <c r="AE9" s="6" t="str">
        <f>IFERROR((('raw-PriceList'!#REF!/'raw-PriceList'!#REF!)-1)-Table14[[#This Row],[RF]],"")</f>
        <v/>
      </c>
      <c r="AF9" s="6">
        <f>IFERROR((('raw-PriceList'!U8/'raw-PriceList'!U9)-1)-Table14[[#This Row],[RF]],"")</f>
        <v>-2.662501853621109E-2</v>
      </c>
      <c r="AG9" s="6">
        <f>IFERROR((('raw-PriceList'!V8/'raw-PriceList'!V9)-1)-Table14[[#This Row],[RF]],"")</f>
        <v>-6.0177660207367548E-2</v>
      </c>
      <c r="AH9" s="6">
        <f>IFERROR((('raw-PriceList'!W8/'raw-PriceList'!W9)-1)-Table14[[#This Row],[RF]],"")</f>
        <v>-2.1144790162876251E-2</v>
      </c>
      <c r="AI9" s="6">
        <f>IFERROR((('raw-PriceList'!X8/'raw-PriceList'!X9)-1)-Table14[[#This Row],[RF]],"")</f>
        <v>-2.9866193059173887E-2</v>
      </c>
      <c r="AJ9" s="6" t="str">
        <f>IFERROR((('raw-PriceList'!#REF!/'raw-PriceList'!#REF!)-1)-Table14[[#This Row],[RF]],"")</f>
        <v/>
      </c>
      <c r="AK9" s="6" t="str">
        <f>IFERROR((('raw-PriceList'!#REF!/'raw-PriceList'!#REF!)-1)-Table14[[#This Row],[RF]],"")</f>
        <v/>
      </c>
      <c r="AL9" s="6">
        <f>IFERROR((('raw-PriceList'!Y8/'raw-PriceList'!Y9)-1)-Table14[[#This Row],[RF]],"")</f>
        <v>-3.9446249008902728E-3</v>
      </c>
      <c r="AM9" s="6" t="str">
        <f>IFERROR((('raw-PriceList'!#REF!/'raw-PriceList'!#REF!)-1)-Table14[[#This Row],[RF]],"")</f>
        <v/>
      </c>
      <c r="AN9" s="6" t="str">
        <f>IFERROR((('raw-PriceList'!#REF!/'raw-PriceList'!#REF!)-1)-Table14[[#This Row],[RF]],"")</f>
        <v/>
      </c>
      <c r="AO9" s="6">
        <f>IFERROR((('raw-PriceList'!AA8/'raw-PriceList'!AA9)-1)-Table14[[#This Row],[RF]],"")</f>
        <v>-2.9162017497117845E-2</v>
      </c>
      <c r="AP9" s="6" t="str">
        <f>IFERROR((('raw-PriceList'!#REF!/'raw-PriceList'!#REF!)-1)-Table14[[#This Row],[RF]],"")</f>
        <v/>
      </c>
      <c r="AQ9" s="6">
        <f>IFERROR((('raw-PriceList'!AB8/'raw-PriceList'!AB9)-1)-Table14[[#This Row],[RF]],"")</f>
        <v>-5.2223596511151008E-2</v>
      </c>
      <c r="AR9" s="6">
        <f>IFERROR((('raw-PriceList'!AC8/'raw-PriceList'!AC9)-1)-Table14[[#This Row],[RF]],"")</f>
        <v>-2.6529922972614986E-2</v>
      </c>
      <c r="AS9" s="6" t="str">
        <f>IFERROR((('raw-PriceList'!#REF!/'raw-PriceList'!#REF!)-1)-Table14[[#This Row],[RF]],"")</f>
        <v/>
      </c>
      <c r="AT9" s="6" t="str">
        <f>IFERROR((('raw-PriceList'!#REF!/'raw-PriceList'!#REF!)-1)-Table14[[#This Row],[RF]],"")</f>
        <v/>
      </c>
      <c r="AU9" s="6" t="str">
        <f>IFERROR((('raw-PriceList'!#REF!/'raw-PriceList'!#REF!)-1)-Table14[[#This Row],[RF]],"")</f>
        <v/>
      </c>
      <c r="AV9" s="6">
        <f>IFERROR((('raw-PriceList'!AD8/'raw-PriceList'!AD9)-1)-Table14[[#This Row],[RF]],"")</f>
        <v>3.720457228080648E-4</v>
      </c>
      <c r="AW9" s="6">
        <f>IFERROR((('raw-PriceList'!AE8/'raw-PriceList'!AE9)-1)-Table14[[#This Row],[RF]],"")</f>
        <v>3.720457228080648E-4</v>
      </c>
      <c r="AX9" s="6">
        <f>IFERROR((('raw-PriceList'!AF8/'raw-PriceList'!AF9)-1)-Table14[[#This Row],[RF]],"")</f>
        <v>1.4560345282015372E-2</v>
      </c>
      <c r="AY9" s="6">
        <f>IFERROR((('raw-PriceList'!AG8/'raw-PriceList'!AG9)-1)-Table14[[#This Row],[RF]],"")</f>
        <v>-3.5896190926658217E-3</v>
      </c>
      <c r="AZ9" s="6">
        <f>IFERROR((('raw-PriceList'!AH8/'raw-PriceList'!AH9)-1)-Table14[[#This Row],[RF]],"")</f>
        <v>-4.1402924494746876E-2</v>
      </c>
      <c r="BA9" s="6" t="str">
        <f>IFERROR((('raw-PriceList'!#REF!/'raw-PriceList'!#REF!)-1)-Table14[[#This Row],[RF]],"")</f>
        <v/>
      </c>
      <c r="BB9" s="6" t="str">
        <f>IFERROR((('raw-PriceList'!AI8/'raw-PriceList'!AI9)-1)-Table14[[#This Row],[RF]],"")</f>
        <v/>
      </c>
    </row>
    <row r="10" spans="1:54" x14ac:dyDescent="0.2">
      <c r="A10" s="5">
        <v>43220</v>
      </c>
      <c r="B10" s="9">
        <v>1</v>
      </c>
      <c r="C10" s="4">
        <v>4.7999999999999996E-3</v>
      </c>
      <c r="D10" s="4">
        <v>4.7999999999999996E-3</v>
      </c>
      <c r="E10" s="4">
        <v>4.7999999999999996E-3</v>
      </c>
      <c r="F10" s="4">
        <v>4.7999999999999996E-3</v>
      </c>
      <c r="G10" s="4">
        <v>4.7999999999999996E-3</v>
      </c>
      <c r="H10" s="6">
        <f>IFERROR((('raw-PriceList'!B9/'raw-PriceList'!B10)-1)-Table14[[#This Row],[RF]],"")</f>
        <v>-6.6400714934281299E-3</v>
      </c>
      <c r="I10" s="6">
        <f>IFERROR((('raw-PriceList'!C9/'raw-PriceList'!C10)-1)-Table14[[#This Row],[RF]],"")</f>
        <v>-3.891040572961608E-3</v>
      </c>
      <c r="J10" s="6">
        <f>IFERROR((('raw-PriceList'!D9/'raw-PriceList'!D10)-1)-Table14[[#This Row],[RF]],"")</f>
        <v>-7.4591476104734775E-3</v>
      </c>
      <c r="K10" s="6" t="str">
        <f>IFERROR((('raw-PriceList'!E9/'raw-PriceList'!E10)-1)-Table14[[#This Row],[RF]],"")</f>
        <v/>
      </c>
      <c r="L10" s="6" t="str">
        <f>IFERROR((('raw-PriceList'!#REF!/'raw-PriceList'!#REF!)-1)-Table14[[#This Row],[RF]],"")</f>
        <v/>
      </c>
      <c r="M10" s="6">
        <f>IFERROR((('raw-PriceList'!G9/'raw-PriceList'!G10)-1)-Table14[[#This Row],[RF]],"")</f>
        <v>-5.8154738939971426E-3</v>
      </c>
      <c r="N10" s="6">
        <f>IFERROR((('raw-PriceList'!H9/'raw-PriceList'!H10)-1)-Table14[[#This Row],[RF]],"")</f>
        <v>-2.6996481023793567E-2</v>
      </c>
      <c r="O10" s="6" t="str">
        <f>IFERROR((('raw-PriceList'!I9/'raw-PriceList'!I10)-1)-Table14[[#This Row],[RF]],"")</f>
        <v/>
      </c>
      <c r="P10" s="6">
        <f>IFERROR((('raw-PriceList'!J9/'raw-PriceList'!J10)-1)-Table14[[#This Row],[RF]],"")</f>
        <v>3.3426752730524228E-2</v>
      </c>
      <c r="Q10" s="6">
        <f>IFERROR((('raw-PriceList'!K9/'raw-PriceList'!K10)-1)-Table14[[#This Row],[RF]],"")</f>
        <v>2.1302384566300875E-2</v>
      </c>
      <c r="R10" s="6">
        <f>IFERROR((('raw-PriceList'!L9/'raw-PriceList'!L10)-1)-Table14[[#This Row],[RF]],"")</f>
        <v>4.5198709845971768E-2</v>
      </c>
      <c r="S10" s="6" t="str">
        <f>IFERROR((('raw-PriceList'!#REF!/'raw-PriceList'!#REF!)-1)-Table14[[#This Row],[RF]],"")</f>
        <v/>
      </c>
      <c r="T10" s="6">
        <f>IFERROR((('raw-PriceList'!M9/'raw-PriceList'!M10)-1)-Table14[[#This Row],[RF]],"")</f>
        <v>1.3419616723812006E-2</v>
      </c>
      <c r="U10" s="6">
        <f>IFERROR((('raw-PriceList'!N9/'raw-PriceList'!N10)-1)-Table14[[#This Row],[RF]],"")</f>
        <v>4.8704037566921479E-3</v>
      </c>
      <c r="V10" s="6">
        <f>IFERROR((('raw-PriceList'!O9/'raw-PriceList'!O10)-1)-Table14[[#This Row],[RF]],"")</f>
        <v>2.0083875102235776E-2</v>
      </c>
      <c r="W10" s="6">
        <f>IFERROR((('raw-PriceList'!P9/'raw-PriceList'!P10)-1)-Table14[[#This Row],[RF]],"")</f>
        <v>2.2596434950120006E-4</v>
      </c>
      <c r="X10" s="6">
        <f>IFERROR((('raw-PriceList'!Q9/'raw-PriceList'!Q10)-1)-Table14[[#This Row],[RF]],"")</f>
        <v>1.3338351780427665E-2</v>
      </c>
      <c r="Y10" s="6" t="str">
        <f>IFERROR((('raw-PriceList'!#REF!/'raw-PriceList'!#REF!)-1)-Table14[[#This Row],[RF]],"")</f>
        <v/>
      </c>
      <c r="Z10" s="6">
        <f>IFERROR((('raw-PriceList'!R9/'raw-PriceList'!R10)-1)-Table14[[#This Row],[RF]],"")</f>
        <v>-4.0057613353146901E-3</v>
      </c>
      <c r="AA10" s="6" t="str">
        <f>IFERROR((('raw-PriceList'!#REF!/'raw-PriceList'!#REF!)-1)-Table14[[#This Row],[RF]],"")</f>
        <v/>
      </c>
      <c r="AB10" s="6" t="str">
        <f>IFERROR((('raw-PriceList'!#REF!/'raw-PriceList'!#REF!)-1)-Table14[[#This Row],[RF]],"")</f>
        <v/>
      </c>
      <c r="AC10" s="6">
        <f>IFERROR((('raw-PriceList'!S9/'raw-PriceList'!S10)-1)-Table14[[#This Row],[RF]],"")</f>
        <v>1.806148930109433E-2</v>
      </c>
      <c r="AD10" s="6">
        <f>IFERROR((('raw-PriceList'!T9/'raw-PriceList'!T10)-1)-Table14[[#This Row],[RF]],"")</f>
        <v>2.4133181174248369E-2</v>
      </c>
      <c r="AE10" s="6" t="str">
        <f>IFERROR((('raw-PriceList'!#REF!/'raw-PriceList'!#REF!)-1)-Table14[[#This Row],[RF]],"")</f>
        <v/>
      </c>
      <c r="AF10" s="6">
        <f>IFERROR((('raw-PriceList'!U9/'raw-PriceList'!U10)-1)-Table14[[#This Row],[RF]],"")</f>
        <v>-9.589071901041607E-3</v>
      </c>
      <c r="AG10" s="6">
        <f>IFERROR((('raw-PriceList'!V9/'raw-PriceList'!V10)-1)-Table14[[#This Row],[RF]],"")</f>
        <v>2.9238122012531648E-2</v>
      </c>
      <c r="AH10" s="6">
        <f>IFERROR((('raw-PriceList'!W9/'raw-PriceList'!W10)-1)-Table14[[#This Row],[RF]],"")</f>
        <v>-2.0601995254640876E-2</v>
      </c>
      <c r="AI10" s="6">
        <f>IFERROR((('raw-PriceList'!X9/'raw-PriceList'!X10)-1)-Table14[[#This Row],[RF]],"")</f>
        <v>-6.6404754394660823E-3</v>
      </c>
      <c r="AJ10" s="6" t="str">
        <f>IFERROR((('raw-PriceList'!#REF!/'raw-PriceList'!#REF!)-1)-Table14[[#This Row],[RF]],"")</f>
        <v/>
      </c>
      <c r="AK10" s="6" t="str">
        <f>IFERROR((('raw-PriceList'!#REF!/'raw-PriceList'!#REF!)-1)-Table14[[#This Row],[RF]],"")</f>
        <v/>
      </c>
      <c r="AL10" s="6">
        <f>IFERROR((('raw-PriceList'!Y9/'raw-PriceList'!Y10)-1)-Table14[[#This Row],[RF]],"")</f>
        <v>4.2148381294928733E-2</v>
      </c>
      <c r="AM10" s="6" t="str">
        <f>IFERROR((('raw-PriceList'!#REF!/'raw-PriceList'!#REF!)-1)-Table14[[#This Row],[RF]],"")</f>
        <v/>
      </c>
      <c r="AN10" s="6" t="str">
        <f>IFERROR((('raw-PriceList'!#REF!/'raw-PriceList'!#REF!)-1)-Table14[[#This Row],[RF]],"")</f>
        <v/>
      </c>
      <c r="AO10" s="6">
        <f>IFERROR((('raw-PriceList'!AA9/'raw-PriceList'!AA10)-1)-Table14[[#This Row],[RF]],"")</f>
        <v>-7.141763214068537E-3</v>
      </c>
      <c r="AP10" s="6" t="str">
        <f>IFERROR((('raw-PriceList'!#REF!/'raw-PriceList'!#REF!)-1)-Table14[[#This Row],[RF]],"")</f>
        <v/>
      </c>
      <c r="AQ10" s="6">
        <f>IFERROR((('raw-PriceList'!AB9/'raw-PriceList'!AB10)-1)-Table14[[#This Row],[RF]],"")</f>
        <v>1.1034787082306791E-2</v>
      </c>
      <c r="AR10" s="6">
        <f>IFERROR((('raw-PriceList'!AC9/'raw-PriceList'!AC10)-1)-Table14[[#This Row],[RF]],"")</f>
        <v>2.7347827899135396E-2</v>
      </c>
      <c r="AS10" s="6" t="str">
        <f>IFERROR((('raw-PriceList'!#REF!/'raw-PriceList'!#REF!)-1)-Table14[[#This Row],[RF]],"")</f>
        <v/>
      </c>
      <c r="AT10" s="6" t="str">
        <f>IFERROR((('raw-PriceList'!#REF!/'raw-PriceList'!#REF!)-1)-Table14[[#This Row],[RF]],"")</f>
        <v/>
      </c>
      <c r="AU10" s="6" t="str">
        <f>IFERROR((('raw-PriceList'!#REF!/'raw-PriceList'!#REF!)-1)-Table14[[#This Row],[RF]],"")</f>
        <v/>
      </c>
      <c r="AV10" s="6">
        <f>IFERROR((('raw-PriceList'!AD9/'raw-PriceList'!AD10)-1)-Table14[[#This Row],[RF]],"")</f>
        <v>3.0819754232806057E-2</v>
      </c>
      <c r="AW10" s="6">
        <f>IFERROR((('raw-PriceList'!AE9/'raw-PriceList'!AE10)-1)-Table14[[#This Row],[RF]],"")</f>
        <v>3.0819754232806057E-2</v>
      </c>
      <c r="AX10" s="6">
        <f>IFERROR((('raw-PriceList'!AF9/'raw-PriceList'!AF10)-1)-Table14[[#This Row],[RF]],"")</f>
        <v>1.3388642746870488E-2</v>
      </c>
      <c r="AY10" s="6">
        <f>IFERROR((('raw-PriceList'!AG9/'raw-PriceList'!AG10)-1)-Table14[[#This Row],[RF]],"")</f>
        <v>-1.0687524576002166E-2</v>
      </c>
      <c r="AZ10" s="6">
        <f>IFERROR((('raw-PriceList'!AH9/'raw-PriceList'!AH10)-1)-Table14[[#This Row],[RF]],"")</f>
        <v>3.2167900887375691E-3</v>
      </c>
      <c r="BA10" s="6" t="str">
        <f>IFERROR((('raw-PriceList'!#REF!/'raw-PriceList'!#REF!)-1)-Table14[[#This Row],[RF]],"")</f>
        <v/>
      </c>
      <c r="BB10" s="6" t="str">
        <f>IFERROR((('raw-PriceList'!AI9/'raw-PriceList'!AI10)-1)-Table14[[#This Row],[RF]],"")</f>
        <v/>
      </c>
    </row>
    <row r="11" spans="1:54" x14ac:dyDescent="0.2">
      <c r="A11" s="5">
        <v>43190</v>
      </c>
      <c r="B11" s="9">
        <v>1</v>
      </c>
      <c r="C11" s="4">
        <v>2.6499999999999999E-2</v>
      </c>
      <c r="D11" s="4">
        <v>2.6499999999999999E-2</v>
      </c>
      <c r="E11" s="4">
        <v>2.6499999999999999E-2</v>
      </c>
      <c r="F11" s="4">
        <v>2.6499999999999999E-2</v>
      </c>
      <c r="G11" s="4">
        <v>2.6499999999999999E-2</v>
      </c>
      <c r="H11" s="6">
        <f>IFERROR((('raw-PriceList'!B10/'raw-PriceList'!B11)-1)-Table14[[#This Row],[RF]],"")</f>
        <v>-2.8712590310468831E-2</v>
      </c>
      <c r="I11" s="6">
        <f>IFERROR((('raw-PriceList'!C10/'raw-PriceList'!C11)-1)-Table14[[#This Row],[RF]],"")</f>
        <v>-3.5647629366357375E-2</v>
      </c>
      <c r="J11" s="6">
        <f>IFERROR((('raw-PriceList'!D10/'raw-PriceList'!D11)-1)-Table14[[#This Row],[RF]],"")</f>
        <v>-2.9255711461659093E-2</v>
      </c>
      <c r="K11" s="6" t="str">
        <f>IFERROR((('raw-PriceList'!E10/'raw-PriceList'!E11)-1)-Table14[[#This Row],[RF]],"")</f>
        <v/>
      </c>
      <c r="L11" s="6" t="str">
        <f>IFERROR((('raw-PriceList'!#REF!/'raw-PriceList'!#REF!)-1)-Table14[[#This Row],[RF]],"")</f>
        <v/>
      </c>
      <c r="M11" s="6">
        <f>IFERROR((('raw-PriceList'!G10/'raw-PriceList'!G11)-1)-Table14[[#This Row],[RF]],"")</f>
        <v>-2.7654275910256629E-2</v>
      </c>
      <c r="N11" s="6">
        <f>IFERROR((('raw-PriceList'!H10/'raw-PriceList'!H11)-1)-Table14[[#This Row],[RF]],"")</f>
        <v>-2.0539461124354595E-2</v>
      </c>
      <c r="O11" s="6" t="str">
        <f>IFERROR((('raw-PriceList'!I10/'raw-PriceList'!I11)-1)-Table14[[#This Row],[RF]],"")</f>
        <v/>
      </c>
      <c r="P11" s="6">
        <f>IFERROR((('raw-PriceList'!J10/'raw-PriceList'!J11)-1)-Table14[[#This Row],[RF]],"")</f>
        <v>-2.5321393266675627E-2</v>
      </c>
      <c r="Q11" s="6">
        <f>IFERROR((('raw-PriceList'!K10/'raw-PriceList'!K11)-1)-Table14[[#This Row],[RF]],"")</f>
        <v>-1.7695263482361532E-2</v>
      </c>
      <c r="R11" s="6">
        <f>IFERROR((('raw-PriceList'!L10/'raw-PriceList'!L11)-1)-Table14[[#This Row],[RF]],"")</f>
        <v>-3.3573410924502195E-2</v>
      </c>
      <c r="S11" s="6" t="str">
        <f>IFERROR((('raw-PriceList'!#REF!/'raw-PriceList'!#REF!)-1)-Table14[[#This Row],[RF]],"")</f>
        <v/>
      </c>
      <c r="T11" s="6">
        <f>IFERROR((('raw-PriceList'!M10/'raw-PriceList'!M11)-1)-Table14[[#This Row],[RF]],"")</f>
        <v>-2.2087660470266699E-2</v>
      </c>
      <c r="U11" s="6">
        <f>IFERROR((('raw-PriceList'!N10/'raw-PriceList'!N11)-1)-Table14[[#This Row],[RF]],"")</f>
        <v>-1.5859534670289697E-2</v>
      </c>
      <c r="V11" s="6">
        <f>IFERROR((('raw-PriceList'!O10/'raw-PriceList'!O11)-1)-Table14[[#This Row],[RF]],"")</f>
        <v>-2.6578866066494098E-2</v>
      </c>
      <c r="W11" s="6">
        <f>IFERROR((('raw-PriceList'!P10/'raw-PriceList'!P11)-1)-Table14[[#This Row],[RF]],"")</f>
        <v>-3.1278761251758019E-2</v>
      </c>
      <c r="X11" s="6">
        <f>IFERROR((('raw-PriceList'!Q10/'raw-PriceList'!Q11)-1)-Table14[[#This Row],[RF]],"")</f>
        <v>-4.13497726128568E-2</v>
      </c>
      <c r="Y11" s="6" t="str">
        <f>IFERROR((('raw-PriceList'!#REF!/'raw-PriceList'!#REF!)-1)-Table14[[#This Row],[RF]],"")</f>
        <v/>
      </c>
      <c r="Z11" s="6">
        <f>IFERROR((('raw-PriceList'!R10/'raw-PriceList'!R11)-1)-Table14[[#This Row],[RF]],"")</f>
        <v>-2.8919103290435042E-2</v>
      </c>
      <c r="AA11" s="6" t="str">
        <f>IFERROR((('raw-PriceList'!#REF!/'raw-PriceList'!#REF!)-1)-Table14[[#This Row],[RF]],"")</f>
        <v/>
      </c>
      <c r="AB11" s="6" t="str">
        <f>IFERROR((('raw-PriceList'!#REF!/'raw-PriceList'!#REF!)-1)-Table14[[#This Row],[RF]],"")</f>
        <v/>
      </c>
      <c r="AC11" s="6">
        <f>IFERROR((('raw-PriceList'!S10/'raw-PriceList'!S11)-1)-Table14[[#This Row],[RF]],"")</f>
        <v>-5.5272471595314815E-2</v>
      </c>
      <c r="AD11" s="6">
        <f>IFERROR((('raw-PriceList'!T10/'raw-PriceList'!T11)-1)-Table14[[#This Row],[RF]],"")</f>
        <v>-5.9162815391640172E-2</v>
      </c>
      <c r="AE11" s="6" t="str">
        <f>IFERROR((('raw-PriceList'!#REF!/'raw-PriceList'!#REF!)-1)-Table14[[#This Row],[RF]],"")</f>
        <v/>
      </c>
      <c r="AF11" s="6">
        <f>IFERROR((('raw-PriceList'!U10/'raw-PriceList'!U11)-1)-Table14[[#This Row],[RF]],"")</f>
        <v>-2.7462027577167123E-2</v>
      </c>
      <c r="AG11" s="6">
        <f>IFERROR((('raw-PriceList'!V10/'raw-PriceList'!V11)-1)-Table14[[#This Row],[RF]],"")</f>
        <v>-5.8062809105020846E-2</v>
      </c>
      <c r="AH11" s="6">
        <f>IFERROR((('raw-PriceList'!W10/'raw-PriceList'!W11)-1)-Table14[[#This Row],[RF]],"")</f>
        <v>-2.3149838710846003E-2</v>
      </c>
      <c r="AI11" s="6">
        <f>IFERROR((('raw-PriceList'!X10/'raw-PriceList'!X11)-1)-Table14[[#This Row],[RF]],"")</f>
        <v>-2.7915233795223014E-2</v>
      </c>
      <c r="AJ11" s="6" t="str">
        <f>IFERROR((('raw-PriceList'!#REF!/'raw-PriceList'!#REF!)-1)-Table14[[#This Row],[RF]],"")</f>
        <v/>
      </c>
      <c r="AK11" s="6" t="str">
        <f>IFERROR((('raw-PriceList'!#REF!/'raw-PriceList'!#REF!)-1)-Table14[[#This Row],[RF]],"")</f>
        <v/>
      </c>
      <c r="AL11" s="6">
        <f>IFERROR((('raw-PriceList'!Y10/'raw-PriceList'!Y11)-1)-Table14[[#This Row],[RF]],"")</f>
        <v>-2.9211350061144201E-2</v>
      </c>
      <c r="AM11" s="6" t="str">
        <f>IFERROR((('raw-PriceList'!#REF!/'raw-PriceList'!#REF!)-1)-Table14[[#This Row],[RF]],"")</f>
        <v/>
      </c>
      <c r="AN11" s="6" t="str">
        <f>IFERROR((('raw-PriceList'!#REF!/'raw-PriceList'!#REF!)-1)-Table14[[#This Row],[RF]],"")</f>
        <v/>
      </c>
      <c r="AO11" s="6">
        <f>IFERROR((('raw-PriceList'!AA10/'raw-PriceList'!AA11)-1)-Table14[[#This Row],[RF]],"")</f>
        <v>-2.8056609004483066E-2</v>
      </c>
      <c r="AP11" s="6" t="str">
        <f>IFERROR((('raw-PriceList'!#REF!/'raw-PriceList'!#REF!)-1)-Table14[[#This Row],[RF]],"")</f>
        <v/>
      </c>
      <c r="AQ11" s="6">
        <f>IFERROR((('raw-PriceList'!AB10/'raw-PriceList'!AB11)-1)-Table14[[#This Row],[RF]],"")</f>
        <v>-6.4769379925829679E-2</v>
      </c>
      <c r="AR11" s="6">
        <f>IFERROR((('raw-PriceList'!AC10/'raw-PriceList'!AC11)-1)-Table14[[#This Row],[RF]],"")</f>
        <v>-2.1578757707920535E-2</v>
      </c>
      <c r="AS11" s="6" t="str">
        <f>IFERROR((('raw-PriceList'!#REF!/'raw-PriceList'!#REF!)-1)-Table14[[#This Row],[RF]],"")</f>
        <v/>
      </c>
      <c r="AT11" s="6" t="str">
        <f>IFERROR((('raw-PriceList'!#REF!/'raw-PriceList'!#REF!)-1)-Table14[[#This Row],[RF]],"")</f>
        <v/>
      </c>
      <c r="AU11" s="6" t="str">
        <f>IFERROR((('raw-PriceList'!#REF!/'raw-PriceList'!#REF!)-1)-Table14[[#This Row],[RF]],"")</f>
        <v/>
      </c>
      <c r="AV11" s="6">
        <f>IFERROR((('raw-PriceList'!AD10/'raw-PriceList'!AD11)-1)-Table14[[#This Row],[RF]],"")</f>
        <v>-2.3614678177405399E-2</v>
      </c>
      <c r="AW11" s="6">
        <f>IFERROR((('raw-PriceList'!AE10/'raw-PriceList'!AE11)-1)-Table14[[#This Row],[RF]],"")</f>
        <v>-2.3614678177405399E-2</v>
      </c>
      <c r="AX11" s="6">
        <f>IFERROR((('raw-PriceList'!AF10/'raw-PriceList'!AF11)-1)-Table14[[#This Row],[RF]],"")</f>
        <v>-1.8432006007870014E-2</v>
      </c>
      <c r="AY11" s="6">
        <f>IFERROR((('raw-PriceList'!AG10/'raw-PriceList'!AG11)-1)-Table14[[#This Row],[RF]],"")</f>
        <v>1.8317181434523676E-3</v>
      </c>
      <c r="AZ11" s="6">
        <f>IFERROR((('raw-PriceList'!AH10/'raw-PriceList'!AH11)-1)-Table14[[#This Row],[RF]],"")</f>
        <v>-5.9806198070656374E-2</v>
      </c>
      <c r="BA11" s="6" t="str">
        <f>IFERROR((('raw-PriceList'!#REF!/'raw-PriceList'!#REF!)-1)-Table14[[#This Row],[RF]],"")</f>
        <v/>
      </c>
      <c r="BB11" s="6" t="str">
        <f>IFERROR((('raw-PriceList'!AI10/'raw-PriceList'!AI11)-1)-Table14[[#This Row],[RF]],"")</f>
        <v/>
      </c>
    </row>
    <row r="12" spans="1:54" x14ac:dyDescent="0.2">
      <c r="A12" s="5">
        <v>43159</v>
      </c>
      <c r="B12" s="9">
        <v>1</v>
      </c>
      <c r="C12" s="4">
        <v>2.8999999999999998E-3</v>
      </c>
      <c r="D12" s="4">
        <v>2.8999999999999998E-3</v>
      </c>
      <c r="E12" s="4">
        <v>2.8999999999999998E-3</v>
      </c>
      <c r="F12" s="4">
        <v>2.8999999999999998E-3</v>
      </c>
      <c r="G12" s="4">
        <v>2.8999999999999998E-3</v>
      </c>
      <c r="H12" s="6">
        <f>IFERROR((('raw-PriceList'!B11/'raw-PriceList'!B12)-1)-Table14[[#This Row],[RF]],"")</f>
        <v>2.2765535358521133E-3</v>
      </c>
      <c r="I12" s="6">
        <f>IFERROR((('raw-PriceList'!C11/'raw-PriceList'!C12)-1)-Table14[[#This Row],[RF]],"")</f>
        <v>6.5477734818250172E-3</v>
      </c>
      <c r="J12" s="6">
        <f>IFERROR((('raw-PriceList'!D11/'raw-PriceList'!D12)-1)-Table14[[#This Row],[RF]],"")</f>
        <v>1.6502892349542636E-3</v>
      </c>
      <c r="K12" s="6" t="str">
        <f>IFERROR((('raw-PriceList'!E11/'raw-PriceList'!E12)-1)-Table14[[#This Row],[RF]],"")</f>
        <v/>
      </c>
      <c r="L12" s="6" t="str">
        <f>IFERROR((('raw-PriceList'!#REF!/'raw-PriceList'!#REF!)-1)-Table14[[#This Row],[RF]],"")</f>
        <v/>
      </c>
      <c r="M12" s="6">
        <f>IFERROR((('raw-PriceList'!G11/'raw-PriceList'!G12)-1)-Table14[[#This Row],[RF]],"")</f>
        <v>-8.4124083527768734E-4</v>
      </c>
      <c r="N12" s="6">
        <f>IFERROR((('raw-PriceList'!H11/'raw-PriceList'!H12)-1)-Table14[[#This Row],[RF]],"")</f>
        <v>2.0585900068771937E-2</v>
      </c>
      <c r="O12" s="6" t="str">
        <f>IFERROR((('raw-PriceList'!I11/'raw-PriceList'!I12)-1)-Table14[[#This Row],[RF]],"")</f>
        <v/>
      </c>
      <c r="P12" s="6">
        <f>IFERROR((('raw-PriceList'!J11/'raw-PriceList'!J12)-1)-Table14[[#This Row],[RF]],"")</f>
        <v>2.203802330776318E-2</v>
      </c>
      <c r="Q12" s="6">
        <f>IFERROR((('raw-PriceList'!K11/'raw-PriceList'!K12)-1)-Table14[[#This Row],[RF]],"")</f>
        <v>4.3457681706870269E-2</v>
      </c>
      <c r="R12" s="6">
        <f>IFERROR((('raw-PriceList'!L11/'raw-PriceList'!L12)-1)-Table14[[#This Row],[RF]],"")</f>
        <v>4.3392659310960285E-3</v>
      </c>
      <c r="S12" s="6" t="str">
        <f>IFERROR((('raw-PriceList'!#REF!/'raw-PriceList'!#REF!)-1)-Table14[[#This Row],[RF]],"")</f>
        <v/>
      </c>
      <c r="T12" s="6">
        <f>IFERROR((('raw-PriceList'!M11/'raw-PriceList'!M12)-1)-Table14[[#This Row],[RF]],"")</f>
        <v>4.8050186994066282E-2</v>
      </c>
      <c r="U12" s="6">
        <f>IFERROR((('raw-PriceList'!N11/'raw-PriceList'!N12)-1)-Table14[[#This Row],[RF]],"")</f>
        <v>5.5314328103715962E-2</v>
      </c>
      <c r="V12" s="6">
        <f>IFERROR((('raw-PriceList'!O11/'raw-PriceList'!O12)-1)-Table14[[#This Row],[RF]],"")</f>
        <v>4.2225779641219666E-2</v>
      </c>
      <c r="W12" s="6">
        <f>IFERROR((('raw-PriceList'!P11/'raw-PriceList'!P12)-1)-Table14[[#This Row],[RF]],"")</f>
        <v>1.1904905213690198E-4</v>
      </c>
      <c r="X12" s="6">
        <f>IFERROR((('raw-PriceList'!Q11/'raw-PriceList'!Q12)-1)-Table14[[#This Row],[RF]],"")</f>
        <v>-1.3183640586332673E-3</v>
      </c>
      <c r="Y12" s="6" t="str">
        <f>IFERROR((('raw-PriceList'!#REF!/'raw-PriceList'!#REF!)-1)-Table14[[#This Row],[RF]],"")</f>
        <v/>
      </c>
      <c r="Z12" s="6">
        <f>IFERROR((('raw-PriceList'!R11/'raw-PriceList'!R12)-1)-Table14[[#This Row],[RF]],"")</f>
        <v>-1.2701788402159492E-3</v>
      </c>
      <c r="AA12" s="6" t="str">
        <f>IFERROR((('raw-PriceList'!#REF!/'raw-PriceList'!#REF!)-1)-Table14[[#This Row],[RF]],"")</f>
        <v/>
      </c>
      <c r="AB12" s="6" t="str">
        <f>IFERROR((('raw-PriceList'!#REF!/'raw-PriceList'!#REF!)-1)-Table14[[#This Row],[RF]],"")</f>
        <v/>
      </c>
      <c r="AC12" s="6">
        <f>IFERROR((('raw-PriceList'!S11/'raw-PriceList'!S12)-1)-Table14[[#This Row],[RF]],"")</f>
        <v>-1.716877891995848E-2</v>
      </c>
      <c r="AD12" s="6">
        <f>IFERROR((('raw-PriceList'!T11/'raw-PriceList'!T12)-1)-Table14[[#This Row],[RF]],"")</f>
        <v>-2.2828274378847255E-2</v>
      </c>
      <c r="AE12" s="6" t="str">
        <f>IFERROR((('raw-PriceList'!#REF!/'raw-PriceList'!#REF!)-1)-Table14[[#This Row],[RF]],"")</f>
        <v/>
      </c>
      <c r="AF12" s="6">
        <f>IFERROR((('raw-PriceList'!U11/'raw-PriceList'!U12)-1)-Table14[[#This Row],[RF]],"")</f>
        <v>3.3575696406943495E-3</v>
      </c>
      <c r="AG12" s="6">
        <f>IFERROR((('raw-PriceList'!V11/'raw-PriceList'!V12)-1)-Table14[[#This Row],[RF]],"")</f>
        <v>-2.7152415014275108E-2</v>
      </c>
      <c r="AH12" s="6">
        <f>IFERROR((('raw-PriceList'!W11/'raw-PriceList'!W12)-1)-Table14[[#This Row],[RF]],"")</f>
        <v>1.3626125675915715E-2</v>
      </c>
      <c r="AI12" s="6">
        <f>IFERROR((('raw-PriceList'!X11/'raw-PriceList'!X12)-1)-Table14[[#This Row],[RF]],"")</f>
        <v>-4.8116640936944621E-4</v>
      </c>
      <c r="AJ12" s="6" t="str">
        <f>IFERROR((('raw-PriceList'!#REF!/'raw-PriceList'!#REF!)-1)-Table14[[#This Row],[RF]],"")</f>
        <v/>
      </c>
      <c r="AK12" s="6" t="str">
        <f>IFERROR((('raw-PriceList'!#REF!/'raw-PriceList'!#REF!)-1)-Table14[[#This Row],[RF]],"")</f>
        <v/>
      </c>
      <c r="AL12" s="6">
        <f>IFERROR((('raw-PriceList'!Y11/'raw-PriceList'!Y12)-1)-Table14[[#This Row],[RF]],"")</f>
        <v>1.4882134317610332E-2</v>
      </c>
      <c r="AM12" s="6" t="str">
        <f>IFERROR((('raw-PriceList'!#REF!/'raw-PriceList'!#REF!)-1)-Table14[[#This Row],[RF]],"")</f>
        <v/>
      </c>
      <c r="AN12" s="6" t="str">
        <f>IFERROR((('raw-PriceList'!#REF!/'raw-PriceList'!#REF!)-1)-Table14[[#This Row],[RF]],"")</f>
        <v/>
      </c>
      <c r="AO12" s="6">
        <f>IFERROR((('raw-PriceList'!AA11/'raw-PriceList'!AA12)-1)-Table14[[#This Row],[RF]],"")</f>
        <v>2.3699911363094378E-3</v>
      </c>
      <c r="AP12" s="6" t="str">
        <f>IFERROR((('raw-PriceList'!#REF!/'raw-PriceList'!#REF!)-1)-Table14[[#This Row],[RF]],"")</f>
        <v/>
      </c>
      <c r="AQ12" s="6">
        <f>IFERROR((('raw-PriceList'!AB11/'raw-PriceList'!AB12)-1)-Table14[[#This Row],[RF]],"")</f>
        <v>-1.6761591790426231E-2</v>
      </c>
      <c r="AR12" s="6">
        <f>IFERROR((('raw-PriceList'!AC11/'raw-PriceList'!AC12)-1)-Table14[[#This Row],[RF]],"")</f>
        <v>-2.5267691945612819E-3</v>
      </c>
      <c r="AS12" s="6" t="str">
        <f>IFERROR((('raw-PriceList'!#REF!/'raw-PriceList'!#REF!)-1)-Table14[[#This Row],[RF]],"")</f>
        <v/>
      </c>
      <c r="AT12" s="6" t="str">
        <f>IFERROR((('raw-PriceList'!#REF!/'raw-PriceList'!#REF!)-1)-Table14[[#This Row],[RF]],"")</f>
        <v/>
      </c>
      <c r="AU12" s="6" t="str">
        <f>IFERROR((('raw-PriceList'!#REF!/'raw-PriceList'!#REF!)-1)-Table14[[#This Row],[RF]],"")</f>
        <v/>
      </c>
      <c r="AV12" s="6">
        <f>IFERROR((('raw-PriceList'!AD11/'raw-PriceList'!AD12)-1)-Table14[[#This Row],[RF]],"")</f>
        <v>2.1211580312046632E-2</v>
      </c>
      <c r="AW12" s="6">
        <f>IFERROR((('raw-PriceList'!AE11/'raw-PriceList'!AE12)-1)-Table14[[#This Row],[RF]],"")</f>
        <v>2.1211580312046632E-2</v>
      </c>
      <c r="AX12" s="6">
        <f>IFERROR((('raw-PriceList'!AF11/'raw-PriceList'!AF12)-1)-Table14[[#This Row],[RF]],"")</f>
        <v>3.458433056192102E-2</v>
      </c>
      <c r="AY12" s="6">
        <f>IFERROR((('raw-PriceList'!AG11/'raw-PriceList'!AG12)-1)-Table14[[#This Row],[RF]],"")</f>
        <v>-2.9191245550661535E-2</v>
      </c>
      <c r="AZ12" s="6">
        <f>IFERROR((('raw-PriceList'!AH11/'raw-PriceList'!AH12)-1)-Table14[[#This Row],[RF]],"")</f>
        <v>-1.3953754967926155E-2</v>
      </c>
      <c r="BA12" s="6" t="str">
        <f>IFERROR((('raw-PriceList'!#REF!/'raw-PriceList'!#REF!)-1)-Table14[[#This Row],[RF]],"")</f>
        <v/>
      </c>
      <c r="BB12" s="6" t="str">
        <f>IFERROR((('raw-PriceList'!AI11/'raw-PriceList'!AI12)-1)-Table14[[#This Row],[RF]],"")</f>
        <v/>
      </c>
    </row>
    <row r="13" spans="1:54" x14ac:dyDescent="0.2">
      <c r="A13" s="5">
        <v>43131</v>
      </c>
      <c r="B13" s="9">
        <v>1</v>
      </c>
      <c r="C13" s="4">
        <v>-2.35E-2</v>
      </c>
      <c r="D13" s="4">
        <v>-2.35E-2</v>
      </c>
      <c r="E13" s="4">
        <v>-2.35E-2</v>
      </c>
      <c r="F13" s="4">
        <v>-2.35E-2</v>
      </c>
      <c r="G13" s="4">
        <v>-2.35E-2</v>
      </c>
      <c r="H13" s="6">
        <f>IFERROR((('raw-PriceList'!B12/'raw-PriceList'!B13)-1)-Table14[[#This Row],[RF]],"")</f>
        <v>1.0799835966354733E-2</v>
      </c>
      <c r="I13" s="6">
        <f>IFERROR((('raw-PriceList'!C12/'raw-PriceList'!C13)-1)-Table14[[#This Row],[RF]],"")</f>
        <v>-1.6826416914090467E-3</v>
      </c>
      <c r="J13" s="6">
        <f>IFERROR((('raw-PriceList'!D12/'raw-PriceList'!D13)-1)-Table14[[#This Row],[RF]],"")</f>
        <v>1.2496542199355511E-2</v>
      </c>
      <c r="K13" s="6" t="str">
        <f>IFERROR((('raw-PriceList'!E12/'raw-PriceList'!E13)-1)-Table14[[#This Row],[RF]],"")</f>
        <v/>
      </c>
      <c r="L13" s="6" t="str">
        <f>IFERROR((('raw-PriceList'!#REF!/'raw-PriceList'!#REF!)-1)-Table14[[#This Row],[RF]],"")</f>
        <v/>
      </c>
      <c r="M13" s="6">
        <f>IFERROR((('raw-PriceList'!G12/'raw-PriceList'!G13)-1)-Table14[[#This Row],[RF]],"")</f>
        <v>1.9659765876135861E-2</v>
      </c>
      <c r="N13" s="6">
        <f>IFERROR((('raw-PriceList'!H12/'raw-PriceList'!H13)-1)-Table14[[#This Row],[RF]],"")</f>
        <v>-4.1903769589704751E-3</v>
      </c>
      <c r="O13" s="6" t="str">
        <f>IFERROR((('raw-PriceList'!I12/'raw-PriceList'!I13)-1)-Table14[[#This Row],[RF]],"")</f>
        <v/>
      </c>
      <c r="P13" s="6">
        <f>IFERROR((('raw-PriceList'!J12/'raw-PriceList'!J13)-1)-Table14[[#This Row],[RF]],"")</f>
        <v>2.814336989611791E-2</v>
      </c>
      <c r="Q13" s="6">
        <f>IFERROR((('raw-PriceList'!K12/'raw-PriceList'!K13)-1)-Table14[[#This Row],[RF]],"")</f>
        <v>2.7633725061309601E-2</v>
      </c>
      <c r="R13" s="6">
        <f>IFERROR((('raw-PriceList'!L12/'raw-PriceList'!L13)-1)-Table14[[#This Row],[RF]],"")</f>
        <v>2.8107754205580017E-2</v>
      </c>
      <c r="S13" s="6" t="str">
        <f>IFERROR((('raw-PriceList'!#REF!/'raw-PriceList'!#REF!)-1)-Table14[[#This Row],[RF]],"")</f>
        <v/>
      </c>
      <c r="T13" s="6">
        <f>IFERROR((('raw-PriceList'!M12/'raw-PriceList'!M13)-1)-Table14[[#This Row],[RF]],"")</f>
        <v>2.7231853505845262E-2</v>
      </c>
      <c r="U13" s="6">
        <f>IFERROR((('raw-PriceList'!N12/'raw-PriceList'!N13)-1)-Table14[[#This Row],[RF]],"")</f>
        <v>2.6080355229757192E-2</v>
      </c>
      <c r="V13" s="6">
        <f>IFERROR((('raw-PriceList'!O12/'raw-PriceList'!O13)-1)-Table14[[#This Row],[RF]],"")</f>
        <v>2.7525564190969666E-2</v>
      </c>
      <c r="W13" s="6">
        <f>IFERROR((('raw-PriceList'!P12/'raw-PriceList'!P13)-1)-Table14[[#This Row],[RF]],"")</f>
        <v>9.7072688598352289E-3</v>
      </c>
      <c r="X13" s="6">
        <f>IFERROR((('raw-PriceList'!Q12/'raw-PriceList'!Q13)-1)-Table14[[#This Row],[RF]],"")</f>
        <v>-5.0723792817575983E-3</v>
      </c>
      <c r="Y13" s="6" t="str">
        <f>IFERROR((('raw-PriceList'!#REF!/'raw-PriceList'!#REF!)-1)-Table14[[#This Row],[RF]],"")</f>
        <v/>
      </c>
      <c r="Z13" s="6">
        <f>IFERROR((('raw-PriceList'!R12/'raw-PriceList'!R13)-1)-Table14[[#This Row],[RF]],"")</f>
        <v>2.0081159093404057E-2</v>
      </c>
      <c r="AA13" s="6" t="str">
        <f>IFERROR((('raw-PriceList'!#REF!/'raw-PriceList'!#REF!)-1)-Table14[[#This Row],[RF]],"")</f>
        <v/>
      </c>
      <c r="AB13" s="6" t="str">
        <f>IFERROR((('raw-PriceList'!#REF!/'raw-PriceList'!#REF!)-1)-Table14[[#This Row],[RF]],"")</f>
        <v/>
      </c>
      <c r="AC13" s="6">
        <f>IFERROR((('raw-PriceList'!S12/'raw-PriceList'!S13)-1)-Table14[[#This Row],[RF]],"")</f>
        <v>3.6131160750181447E-2</v>
      </c>
      <c r="AD13" s="6">
        <f>IFERROR((('raw-PriceList'!T12/'raw-PriceList'!T13)-1)-Table14[[#This Row],[RF]],"")</f>
        <v>2.9188293019187274E-2</v>
      </c>
      <c r="AE13" s="6" t="str">
        <f>IFERROR((('raw-PriceList'!#REF!/'raw-PriceList'!#REF!)-1)-Table14[[#This Row],[RF]],"")</f>
        <v/>
      </c>
      <c r="AF13" s="6">
        <f>IFERROR((('raw-PriceList'!U12/'raw-PriceList'!U13)-1)-Table14[[#This Row],[RF]],"")</f>
        <v>1.3050397645707514E-2</v>
      </c>
      <c r="AG13" s="6">
        <f>IFERROR((('raw-PriceList'!V12/'raw-PriceList'!V13)-1)-Table14[[#This Row],[RF]],"")</f>
        <v>4.4994274241075306E-2</v>
      </c>
      <c r="AH13" s="6">
        <f>IFERROR((('raw-PriceList'!W12/'raw-PriceList'!W13)-1)-Table14[[#This Row],[RF]],"")</f>
        <v>8.0496037945280291E-4</v>
      </c>
      <c r="AI13" s="6">
        <f>IFERROR((('raw-PriceList'!X12/'raw-PriceList'!X13)-1)-Table14[[#This Row],[RF]],"")</f>
        <v>2.0488187592791952E-2</v>
      </c>
      <c r="AJ13" s="6" t="str">
        <f>IFERROR((('raw-PriceList'!#REF!/'raw-PriceList'!#REF!)-1)-Table14[[#This Row],[RF]],"")</f>
        <v/>
      </c>
      <c r="AK13" s="6" t="str">
        <f>IFERROR((('raw-PriceList'!#REF!/'raw-PriceList'!#REF!)-1)-Table14[[#This Row],[RF]],"")</f>
        <v/>
      </c>
      <c r="AL13" s="6">
        <f>IFERROR((('raw-PriceList'!Y12/'raw-PriceList'!Y13)-1)-Table14[[#This Row],[RF]],"")</f>
        <v>1.4226697963632108E-2</v>
      </c>
      <c r="AM13" s="6" t="str">
        <f>IFERROR((('raw-PriceList'!#REF!/'raw-PriceList'!#REF!)-1)-Table14[[#This Row],[RF]],"")</f>
        <v/>
      </c>
      <c r="AN13" s="6" t="str">
        <f>IFERROR((('raw-PriceList'!#REF!/'raw-PriceList'!#REF!)-1)-Table14[[#This Row],[RF]],"")</f>
        <v/>
      </c>
      <c r="AO13" s="6">
        <f>IFERROR((('raw-PriceList'!AA12/'raw-PriceList'!AA13)-1)-Table14[[#This Row],[RF]],"")</f>
        <v>1.6167237225224874E-2</v>
      </c>
      <c r="AP13" s="6" t="str">
        <f>IFERROR((('raw-PriceList'!#REF!/'raw-PriceList'!#REF!)-1)-Table14[[#This Row],[RF]],"")</f>
        <v/>
      </c>
      <c r="AQ13" s="6">
        <f>IFERROR((('raw-PriceList'!AB12/'raw-PriceList'!AB13)-1)-Table14[[#This Row],[RF]],"")</f>
        <v>2.8744564120090223E-2</v>
      </c>
      <c r="AR13" s="6">
        <f>IFERROR((('raw-PriceList'!AC12/'raw-PriceList'!AC13)-1)-Table14[[#This Row],[RF]],"")</f>
        <v>2.7999011118946683E-2</v>
      </c>
      <c r="AS13" s="6" t="str">
        <f>IFERROR((('raw-PriceList'!#REF!/'raw-PriceList'!#REF!)-1)-Table14[[#This Row],[RF]],"")</f>
        <v/>
      </c>
      <c r="AT13" s="6" t="str">
        <f>IFERROR((('raw-PriceList'!#REF!/'raw-PriceList'!#REF!)-1)-Table14[[#This Row],[RF]],"")</f>
        <v/>
      </c>
      <c r="AU13" s="6" t="str">
        <f>IFERROR((('raw-PriceList'!#REF!/'raw-PriceList'!#REF!)-1)-Table14[[#This Row],[RF]],"")</f>
        <v/>
      </c>
      <c r="AV13" s="6">
        <f>IFERROR((('raw-PriceList'!AD12/'raw-PriceList'!AD13)-1)-Table14[[#This Row],[RF]],"")</f>
        <v>2.6998733306278812E-2</v>
      </c>
      <c r="AW13" s="6">
        <f>IFERROR((('raw-PriceList'!AE12/'raw-PriceList'!AE13)-1)-Table14[[#This Row],[RF]],"")</f>
        <v>2.6998733306278812E-2</v>
      </c>
      <c r="AX13" s="6">
        <f>IFERROR((('raw-PriceList'!AF12/'raw-PriceList'!AF13)-1)-Table14[[#This Row],[RF]],"")</f>
        <v>1.5101886747613293E-2</v>
      </c>
      <c r="AY13" s="6">
        <f>IFERROR((('raw-PriceList'!AG12/'raw-PriceList'!AG13)-1)-Table14[[#This Row],[RF]],"")</f>
        <v>3.7128773214402701E-2</v>
      </c>
      <c r="AZ13" s="6">
        <f>IFERROR((('raw-PriceList'!AH12/'raw-PriceList'!AH13)-1)-Table14[[#This Row],[RF]],"")</f>
        <v>2.6914921143724437E-2</v>
      </c>
      <c r="BA13" s="6" t="str">
        <f>IFERROR((('raw-PriceList'!#REF!/'raw-PriceList'!#REF!)-1)-Table14[[#This Row],[RF]],"")</f>
        <v/>
      </c>
      <c r="BB13" s="6" t="str">
        <f>IFERROR((('raw-PriceList'!AI12/'raw-PriceList'!AI13)-1)-Table14[[#This Row],[RF]],"")</f>
        <v/>
      </c>
    </row>
    <row r="14" spans="1:54" x14ac:dyDescent="0.2">
      <c r="A14" s="5">
        <v>43100</v>
      </c>
      <c r="B14" s="9">
        <v>1</v>
      </c>
      <c r="C14" s="4">
        <v>-3.6499999999999998E-2</v>
      </c>
      <c r="D14" s="4">
        <v>-3.6499999999999998E-2</v>
      </c>
      <c r="E14" s="4">
        <v>-3.6499999999999998E-2</v>
      </c>
      <c r="F14" s="4">
        <v>-3.6499999999999998E-2</v>
      </c>
      <c r="G14" s="4">
        <v>-3.6499999999999998E-2</v>
      </c>
      <c r="H14" s="6">
        <f>IFERROR((('raw-PriceList'!B13/'raw-PriceList'!B14)-1)-Table14[[#This Row],[RF]],"")</f>
        <v>3.9684138636763254E-2</v>
      </c>
      <c r="I14" s="6">
        <f>IFERROR((('raw-PriceList'!C13/'raw-PriceList'!C14)-1)-Table14[[#This Row],[RF]],"")</f>
        <v>4.8534619485561391E-2</v>
      </c>
      <c r="J14" s="6">
        <f>IFERROR((('raw-PriceList'!D13/'raw-PriceList'!D14)-1)-Table14[[#This Row],[RF]],"")</f>
        <v>4.1270589335602036E-2</v>
      </c>
      <c r="K14" s="6" t="str">
        <f>IFERROR((('raw-PriceList'!E13/'raw-PriceList'!E14)-1)-Table14[[#This Row],[RF]],"")</f>
        <v/>
      </c>
      <c r="L14" s="6" t="str">
        <f>IFERROR((('raw-PriceList'!#REF!/'raw-PriceList'!#REF!)-1)-Table14[[#This Row],[RF]],"")</f>
        <v/>
      </c>
      <c r="M14" s="6">
        <f>IFERROR((('raw-PriceList'!G13/'raw-PriceList'!G14)-1)-Table14[[#This Row],[RF]],"")</f>
        <v>3.7402132874347259E-2</v>
      </c>
      <c r="N14" s="6">
        <f>IFERROR((('raw-PriceList'!H13/'raw-PriceList'!H14)-1)-Table14[[#This Row],[RF]],"")</f>
        <v>7.0318200582114826E-2</v>
      </c>
      <c r="O14" s="6" t="str">
        <f>IFERROR((('raw-PriceList'!I13/'raw-PriceList'!I14)-1)-Table14[[#This Row],[RF]],"")</f>
        <v/>
      </c>
      <c r="P14" s="6">
        <f>IFERROR((('raw-PriceList'!J13/'raw-PriceList'!J14)-1)-Table14[[#This Row],[RF]],"")</f>
        <v>1.6527298858993941E-3</v>
      </c>
      <c r="Q14" s="6">
        <f>IFERROR((('raw-PriceList'!K13/'raw-PriceList'!K14)-1)-Table14[[#This Row],[RF]],"")</f>
        <v>2.5806285503035195E-3</v>
      </c>
      <c r="R14" s="6">
        <f>IFERROR((('raw-PriceList'!L13/'raw-PriceList'!L14)-1)-Table14[[#This Row],[RF]],"")</f>
        <v>4.6116369832016821E-3</v>
      </c>
      <c r="S14" s="6" t="str">
        <f>IFERROR((('raw-PriceList'!#REF!/'raw-PriceList'!#REF!)-1)-Table14[[#This Row],[RF]],"")</f>
        <v/>
      </c>
      <c r="T14" s="6">
        <f>IFERROR((('raw-PriceList'!M13/'raw-PriceList'!M14)-1)-Table14[[#This Row],[RF]],"")</f>
        <v>4.44602731396593E-2</v>
      </c>
      <c r="U14" s="6">
        <f>IFERROR((('raw-PriceList'!N13/'raw-PriceList'!N14)-1)-Table14[[#This Row],[RF]],"")</f>
        <v>5.0023126964790852E-2</v>
      </c>
      <c r="V14" s="6">
        <f>IFERROR((('raw-PriceList'!O13/'raw-PriceList'!O14)-1)-Table14[[#This Row],[RF]],"")</f>
        <v>4.0211584679754851E-2</v>
      </c>
      <c r="W14" s="6">
        <f>IFERROR((('raw-PriceList'!P13/'raw-PriceList'!P14)-1)-Table14[[#This Row],[RF]],"")</f>
        <v>3.6485384275106635E-2</v>
      </c>
      <c r="X14" s="6">
        <f>IFERROR((('raw-PriceList'!Q13/'raw-PriceList'!Q14)-1)-Table14[[#This Row],[RF]],"")</f>
        <v>4.2690321635265892E-2</v>
      </c>
      <c r="Y14" s="6" t="str">
        <f>IFERROR((('raw-PriceList'!#REF!/'raw-PriceList'!#REF!)-1)-Table14[[#This Row],[RF]],"")</f>
        <v/>
      </c>
      <c r="Z14" s="6">
        <f>IFERROR((('raw-PriceList'!R13/'raw-PriceList'!R14)-1)-Table14[[#This Row],[RF]],"")</f>
        <v>3.6103498289600487E-2</v>
      </c>
      <c r="AA14" s="6" t="str">
        <f>IFERROR((('raw-PriceList'!#REF!/'raw-PriceList'!#REF!)-1)-Table14[[#This Row],[RF]],"")</f>
        <v/>
      </c>
      <c r="AB14" s="6" t="str">
        <f>IFERROR((('raw-PriceList'!#REF!/'raw-PriceList'!#REF!)-1)-Table14[[#This Row],[RF]],"")</f>
        <v/>
      </c>
      <c r="AC14" s="6">
        <f>IFERROR((('raw-PriceList'!S13/'raw-PriceList'!S14)-1)-Table14[[#This Row],[RF]],"")</f>
        <v>2.8897243361548773E-2</v>
      </c>
      <c r="AD14" s="6">
        <f>IFERROR((('raw-PriceList'!T13/'raw-PriceList'!T14)-1)-Table14[[#This Row],[RF]],"")</f>
        <v>2.9220832572576148E-2</v>
      </c>
      <c r="AE14" s="6" t="str">
        <f>IFERROR((('raw-PriceList'!#REF!/'raw-PriceList'!#REF!)-1)-Table14[[#This Row],[RF]],"")</f>
        <v/>
      </c>
      <c r="AF14" s="6">
        <f>IFERROR((('raw-PriceList'!U13/'raw-PriceList'!U14)-1)-Table14[[#This Row],[RF]],"")</f>
        <v>4.2177867828651981E-2</v>
      </c>
      <c r="AG14" s="6">
        <f>IFERROR((('raw-PriceList'!V13/'raw-PriceList'!V14)-1)-Table14[[#This Row],[RF]],"")</f>
        <v>2.814076877847007E-2</v>
      </c>
      <c r="AH14" s="6">
        <f>IFERROR((('raw-PriceList'!W13/'raw-PriceList'!W14)-1)-Table14[[#This Row],[RF]],"")</f>
        <v>6.3064041752935812E-2</v>
      </c>
      <c r="AI14" s="6">
        <f>IFERROR((('raw-PriceList'!X13/'raw-PriceList'!X14)-1)-Table14[[#This Row],[RF]],"")</f>
        <v>3.7186177073685676E-2</v>
      </c>
      <c r="AJ14" s="6" t="str">
        <f>IFERROR((('raw-PriceList'!#REF!/'raw-PriceList'!#REF!)-1)-Table14[[#This Row],[RF]],"")</f>
        <v/>
      </c>
      <c r="AK14" s="6" t="str">
        <f>IFERROR((('raw-PriceList'!#REF!/'raw-PriceList'!#REF!)-1)-Table14[[#This Row],[RF]],"")</f>
        <v/>
      </c>
      <c r="AL14" s="6">
        <f>IFERROR((('raw-PriceList'!Y13/'raw-PriceList'!Y14)-1)-Table14[[#This Row],[RF]],"")</f>
        <v>1.919330152316525E-2</v>
      </c>
      <c r="AM14" s="6" t="str">
        <f>IFERROR((('raw-PriceList'!#REF!/'raw-PriceList'!#REF!)-1)-Table14[[#This Row],[RF]],"")</f>
        <v/>
      </c>
      <c r="AN14" s="6" t="str">
        <f>IFERROR((('raw-PriceList'!#REF!/'raw-PriceList'!#REF!)-1)-Table14[[#This Row],[RF]],"")</f>
        <v/>
      </c>
      <c r="AO14" s="6">
        <f>IFERROR((('raw-PriceList'!AA13/'raw-PriceList'!AA14)-1)-Table14[[#This Row],[RF]],"")</f>
        <v>4.0158593278762054E-2</v>
      </c>
      <c r="AP14" s="6" t="str">
        <f>IFERROR((('raw-PriceList'!#REF!/'raw-PriceList'!#REF!)-1)-Table14[[#This Row],[RF]],"")</f>
        <v/>
      </c>
      <c r="AQ14" s="6">
        <f>IFERROR((('raw-PriceList'!AB13/'raw-PriceList'!AB14)-1)-Table14[[#This Row],[RF]],"")</f>
        <v>6.3493201673460203E-2</v>
      </c>
      <c r="AR14" s="6">
        <f>IFERROR((('raw-PriceList'!AC13/'raw-PriceList'!AC14)-1)-Table14[[#This Row],[RF]],"")</f>
        <v>2.8790368657683273E-2</v>
      </c>
      <c r="AS14" s="6" t="str">
        <f>IFERROR((('raw-PriceList'!#REF!/'raw-PriceList'!#REF!)-1)-Table14[[#This Row],[RF]],"")</f>
        <v/>
      </c>
      <c r="AT14" s="6" t="str">
        <f>IFERROR((('raw-PriceList'!#REF!/'raw-PriceList'!#REF!)-1)-Table14[[#This Row],[RF]],"")</f>
        <v/>
      </c>
      <c r="AU14" s="6" t="str">
        <f>IFERROR((('raw-PriceList'!#REF!/'raw-PriceList'!#REF!)-1)-Table14[[#This Row],[RF]],"")</f>
        <v/>
      </c>
      <c r="AV14" s="6">
        <f>IFERROR((('raw-PriceList'!AD13/'raw-PriceList'!AD14)-1)-Table14[[#This Row],[RF]],"")</f>
        <v>7.3678726122292856E-3</v>
      </c>
      <c r="AW14" s="6">
        <f>IFERROR((('raw-PriceList'!AE13/'raw-PriceList'!AE14)-1)-Table14[[#This Row],[RF]],"")</f>
        <v>7.3678726122292856E-3</v>
      </c>
      <c r="AX14" s="6">
        <f>IFERROR((('raw-PriceList'!AF13/'raw-PriceList'!AF14)-1)-Table14[[#This Row],[RF]],"")</f>
        <v>3.6021690288832196E-2</v>
      </c>
      <c r="AY14" s="6">
        <f>IFERROR((('raw-PriceList'!AG13/'raw-PriceList'!AG14)-1)-Table14[[#This Row],[RF]],"")</f>
        <v>-8.8636775458714873E-4</v>
      </c>
      <c r="AZ14" s="6">
        <f>IFERROR((('raw-PriceList'!AH13/'raw-PriceList'!AH14)-1)-Table14[[#This Row],[RF]],"")</f>
        <v>3.1738436954378745E-2</v>
      </c>
      <c r="BA14" s="6" t="str">
        <f>IFERROR((('raw-PriceList'!#REF!/'raw-PriceList'!#REF!)-1)-Table14[[#This Row],[RF]],"")</f>
        <v/>
      </c>
      <c r="BB14" s="6" t="str">
        <f>IFERROR((('raw-PriceList'!AI13/'raw-PriceList'!AI14)-1)-Table14[[#This Row],[RF]],"")</f>
        <v/>
      </c>
    </row>
    <row r="15" spans="1:54" x14ac:dyDescent="0.2">
      <c r="A15" s="5">
        <v>43069</v>
      </c>
      <c r="B15" s="9">
        <v>1</v>
      </c>
      <c r="C15" s="4">
        <v>5.5800000000000002E-2</v>
      </c>
      <c r="D15" s="4">
        <v>5.5800000000000002E-2</v>
      </c>
      <c r="E15" s="4">
        <v>5.5800000000000002E-2</v>
      </c>
      <c r="F15" s="4">
        <v>5.5800000000000002E-2</v>
      </c>
      <c r="G15" s="4">
        <v>5.5800000000000002E-2</v>
      </c>
      <c r="H15" s="6">
        <f>IFERROR((('raw-PriceList'!B14/'raw-PriceList'!B15)-1)-Table14[[#This Row],[RF]],"")</f>
        <v>-6.8256862523691827E-2</v>
      </c>
      <c r="I15" s="6">
        <f>IFERROR((('raw-PriceList'!C14/'raw-PriceList'!C15)-1)-Table14[[#This Row],[RF]],"")</f>
        <v>-9.0102930852319615E-2</v>
      </c>
      <c r="J15" s="6">
        <f>IFERROR((('raw-PriceList'!D14/'raw-PriceList'!D15)-1)-Table14[[#This Row],[RF]],"")</f>
        <v>-6.8326219906845995E-2</v>
      </c>
      <c r="K15" s="6" t="str">
        <f>IFERROR((('raw-PriceList'!E14/'raw-PriceList'!E15)-1)-Table14[[#This Row],[RF]],"")</f>
        <v/>
      </c>
      <c r="L15" s="6" t="str">
        <f>IFERROR((('raw-PriceList'!#REF!/'raw-PriceList'!#REF!)-1)-Table14[[#This Row],[RF]],"")</f>
        <v/>
      </c>
      <c r="M15" s="6">
        <f>IFERROR((('raw-PriceList'!G14/'raw-PriceList'!G15)-1)-Table14[[#This Row],[RF]],"")</f>
        <v>-6.0259426774700683E-2</v>
      </c>
      <c r="N15" s="6">
        <f>IFERROR((('raw-PriceList'!H14/'raw-PriceList'!H15)-1)-Table14[[#This Row],[RF]],"")</f>
        <v>-9.8709653784955151E-2</v>
      </c>
      <c r="O15" s="6" t="str">
        <f>IFERROR((('raw-PriceList'!I14/'raw-PriceList'!I15)-1)-Table14[[#This Row],[RF]],"")</f>
        <v/>
      </c>
      <c r="P15" s="6">
        <f>IFERROR((('raw-PriceList'!J14/'raw-PriceList'!J15)-1)-Table14[[#This Row],[RF]],"")</f>
        <v>-9.0656076972829666E-2</v>
      </c>
      <c r="Q15" s="6">
        <f>IFERROR((('raw-PriceList'!K14/'raw-PriceList'!K15)-1)-Table14[[#This Row],[RF]],"")</f>
        <v>-8.371172269761866E-2</v>
      </c>
      <c r="R15" s="6">
        <f>IFERROR((('raw-PriceList'!L14/'raw-PriceList'!L15)-1)-Table14[[#This Row],[RF]],"")</f>
        <v>-9.955906483128589E-2</v>
      </c>
      <c r="S15" s="6" t="str">
        <f>IFERROR((('raw-PriceList'!#REF!/'raw-PriceList'!#REF!)-1)-Table14[[#This Row],[RF]],"")</f>
        <v/>
      </c>
      <c r="T15" s="6">
        <f>IFERROR((('raw-PriceList'!M14/'raw-PriceList'!M15)-1)-Table14[[#This Row],[RF]],"")</f>
        <v>-9.5520844336980756E-2</v>
      </c>
      <c r="U15" s="6">
        <f>IFERROR((('raw-PriceList'!N14/'raw-PriceList'!N15)-1)-Table14[[#This Row],[RF]],"")</f>
        <v>-8.7615964894461926E-2</v>
      </c>
      <c r="V15" s="6">
        <f>IFERROR((('raw-PriceList'!O14/'raw-PriceList'!O15)-1)-Table14[[#This Row],[RF]],"")</f>
        <v>-0.1031013821487952</v>
      </c>
      <c r="W15" s="6">
        <f>IFERROR((('raw-PriceList'!P14/'raw-PriceList'!P15)-1)-Table14[[#This Row],[RF]],"")</f>
        <v>-7.3637156631348663E-2</v>
      </c>
      <c r="X15" s="6">
        <f>IFERROR((('raw-PriceList'!Q14/'raw-PriceList'!Q15)-1)-Table14[[#This Row],[RF]],"")</f>
        <v>-9.7212846274077933E-2</v>
      </c>
      <c r="Y15" s="6" t="str">
        <f>IFERROR((('raw-PriceList'!#REF!/'raw-PriceList'!#REF!)-1)-Table14[[#This Row],[RF]],"")</f>
        <v/>
      </c>
      <c r="Z15" s="6">
        <f>IFERROR((('raw-PriceList'!R14/'raw-PriceList'!R15)-1)-Table14[[#This Row],[RF]],"")</f>
        <v>-6.3001286797269726E-2</v>
      </c>
      <c r="AA15" s="6" t="str">
        <f>IFERROR((('raw-PriceList'!#REF!/'raw-PriceList'!#REF!)-1)-Table14[[#This Row],[RF]],"")</f>
        <v/>
      </c>
      <c r="AB15" s="6" t="str">
        <f>IFERROR((('raw-PriceList'!#REF!/'raw-PriceList'!#REF!)-1)-Table14[[#This Row],[RF]],"")</f>
        <v/>
      </c>
      <c r="AC15" s="6">
        <f>IFERROR((('raw-PriceList'!S14/'raw-PriceList'!S15)-1)-Table14[[#This Row],[RF]],"")</f>
        <v>-0.10688154225486694</v>
      </c>
      <c r="AD15" s="6">
        <f>IFERROR((('raw-PriceList'!T14/'raw-PriceList'!T15)-1)-Table14[[#This Row],[RF]],"")</f>
        <v>-0.10886157451119076</v>
      </c>
      <c r="AE15" s="6" t="str">
        <f>IFERROR((('raw-PriceList'!#REF!/'raw-PriceList'!#REF!)-1)-Table14[[#This Row],[RF]],"")</f>
        <v/>
      </c>
      <c r="AF15" s="6">
        <f>IFERROR((('raw-PriceList'!U14/'raw-PriceList'!U15)-1)-Table14[[#This Row],[RF]],"")</f>
        <v>-6.2019394570693206E-2</v>
      </c>
      <c r="AG15" s="6">
        <f>IFERROR((('raw-PriceList'!V14/'raw-PriceList'!V15)-1)-Table14[[#This Row],[RF]],"")</f>
        <v>-0.11724349380404968</v>
      </c>
      <c r="AH15" s="6">
        <f>IFERROR((('raw-PriceList'!W14/'raw-PriceList'!W15)-1)-Table14[[#This Row],[RF]],"")</f>
        <v>-8.7964347938598572E-2</v>
      </c>
      <c r="AI15" s="6">
        <f>IFERROR((('raw-PriceList'!X14/'raw-PriceList'!X15)-1)-Table14[[#This Row],[RF]],"")</f>
        <v>-5.7274345489790865E-2</v>
      </c>
      <c r="AJ15" s="6" t="str">
        <f>IFERROR((('raw-PriceList'!#REF!/'raw-PriceList'!#REF!)-1)-Table14[[#This Row],[RF]],"")</f>
        <v/>
      </c>
      <c r="AK15" s="6" t="str">
        <f>IFERROR((('raw-PriceList'!#REF!/'raw-PriceList'!#REF!)-1)-Table14[[#This Row],[RF]],"")</f>
        <v/>
      </c>
      <c r="AL15" s="6">
        <f>IFERROR((('raw-PriceList'!Y14/'raw-PriceList'!Y15)-1)-Table14[[#This Row],[RF]],"")</f>
        <v>-9.6163439972517348E-2</v>
      </c>
      <c r="AM15" s="6" t="str">
        <f>IFERROR((('raw-PriceList'!#REF!/'raw-PriceList'!#REF!)-1)-Table14[[#This Row],[RF]],"")</f>
        <v/>
      </c>
      <c r="AN15" s="6" t="str">
        <f>IFERROR((('raw-PriceList'!#REF!/'raw-PriceList'!#REF!)-1)-Table14[[#This Row],[RF]],"")</f>
        <v/>
      </c>
      <c r="AO15" s="6">
        <f>IFERROR((('raw-PriceList'!AA14/'raw-PriceList'!AA15)-1)-Table14[[#This Row],[RF]],"")</f>
        <v>-6.4230481891436805E-2</v>
      </c>
      <c r="AP15" s="6" t="str">
        <f>IFERROR((('raw-PriceList'!#REF!/'raw-PriceList'!#REF!)-1)-Table14[[#This Row],[RF]],"")</f>
        <v/>
      </c>
      <c r="AQ15" s="6">
        <f>IFERROR((('raw-PriceList'!AB14/'raw-PriceList'!AB15)-1)-Table14[[#This Row],[RF]],"")</f>
        <v>-0.12632748915388387</v>
      </c>
      <c r="AR15" s="6">
        <f>IFERROR((('raw-PriceList'!AC14/'raw-PriceList'!AC15)-1)-Table14[[#This Row],[RF]],"")</f>
        <v>-0.10264714892782549</v>
      </c>
      <c r="AS15" s="6" t="str">
        <f>IFERROR((('raw-PriceList'!#REF!/'raw-PriceList'!#REF!)-1)-Table14[[#This Row],[RF]],"")</f>
        <v/>
      </c>
      <c r="AT15" s="6" t="str">
        <f>IFERROR((('raw-PriceList'!#REF!/'raw-PriceList'!#REF!)-1)-Table14[[#This Row],[RF]],"")</f>
        <v/>
      </c>
      <c r="AU15" s="6" t="str">
        <f>IFERROR((('raw-PriceList'!#REF!/'raw-PriceList'!#REF!)-1)-Table14[[#This Row],[RF]],"")</f>
        <v/>
      </c>
      <c r="AV15" s="6">
        <f>IFERROR((('raw-PriceList'!AD14/'raw-PriceList'!AD15)-1)-Table14[[#This Row],[RF]],"")</f>
        <v>-9.3045206872275729E-2</v>
      </c>
      <c r="AW15" s="6">
        <f>IFERROR((('raw-PriceList'!AE14/'raw-PriceList'!AE15)-1)-Table14[[#This Row],[RF]],"")</f>
        <v>-9.3045206872275729E-2</v>
      </c>
      <c r="AX15" s="6">
        <f>IFERROR((('raw-PriceList'!AF14/'raw-PriceList'!AF15)-1)-Table14[[#This Row],[RF]],"")</f>
        <v>-8.8628861089351571E-2</v>
      </c>
      <c r="AY15" s="6">
        <f>IFERROR((('raw-PriceList'!AG14/'raw-PriceList'!AG15)-1)-Table14[[#This Row],[RF]],"")</f>
        <v>-0.11295945036036241</v>
      </c>
      <c r="AZ15" s="6">
        <f>IFERROR((('raw-PriceList'!AH14/'raw-PriceList'!AH15)-1)-Table14[[#This Row],[RF]],"")</f>
        <v>-9.5875128752672498E-2</v>
      </c>
      <c r="BA15" s="6" t="str">
        <f>IFERROR((('raw-PriceList'!#REF!/'raw-PriceList'!#REF!)-1)-Table14[[#This Row],[RF]],"")</f>
        <v/>
      </c>
      <c r="BB15" s="6" t="str">
        <f>IFERROR((('raw-PriceList'!AI14/'raw-PriceList'!AI15)-1)-Table14[[#This Row],[RF]],"")</f>
        <v/>
      </c>
    </row>
    <row r="16" spans="1:54" x14ac:dyDescent="0.2">
      <c r="A16" s="5">
        <v>43039</v>
      </c>
      <c r="B16" s="9">
        <v>1</v>
      </c>
      <c r="C16" s="4">
        <v>1.06E-2</v>
      </c>
      <c r="D16" s="4">
        <v>1.06E-2</v>
      </c>
      <c r="E16" s="4">
        <v>1.06E-2</v>
      </c>
      <c r="F16" s="4">
        <v>1.06E-2</v>
      </c>
      <c r="G16" s="4">
        <v>1.06E-2</v>
      </c>
      <c r="H16" s="6">
        <f>IFERROR((('raw-PriceList'!B15/'raw-PriceList'!B16)-1)-Table14[[#This Row],[RF]],"")</f>
        <v>-2.6014764071431162E-2</v>
      </c>
      <c r="I16" s="6">
        <f>IFERROR((('raw-PriceList'!C15/'raw-PriceList'!C16)-1)-Table14[[#This Row],[RF]],"")</f>
        <v>-3.227995002177092E-2</v>
      </c>
      <c r="J16" s="6">
        <f>IFERROR((('raw-PriceList'!D15/'raw-PriceList'!D16)-1)-Table14[[#This Row],[RF]],"")</f>
        <v>-2.3016657850310429E-2</v>
      </c>
      <c r="K16" s="6" t="str">
        <f>IFERROR((('raw-PriceList'!E15/'raw-PriceList'!E16)-1)-Table14[[#This Row],[RF]],"")</f>
        <v/>
      </c>
      <c r="L16" s="6" t="str">
        <f>IFERROR((('raw-PriceList'!#REF!/'raw-PriceList'!#REF!)-1)-Table14[[#This Row],[RF]],"")</f>
        <v/>
      </c>
      <c r="M16" s="6">
        <f>IFERROR((('raw-PriceList'!G15/'raw-PriceList'!G16)-1)-Table14[[#This Row],[RF]],"")</f>
        <v>-1.5376563963756697E-2</v>
      </c>
      <c r="N16" s="6">
        <f>IFERROR((('raw-PriceList'!H15/'raw-PriceList'!H16)-1)-Table14[[#This Row],[RF]],"")</f>
        <v>-5.3224335443893322E-2</v>
      </c>
      <c r="O16" s="6" t="str">
        <f>IFERROR((('raw-PriceList'!I15/'raw-PriceList'!I16)-1)-Table14[[#This Row],[RF]],"")</f>
        <v/>
      </c>
      <c r="P16" s="6">
        <f>IFERROR((('raw-PriceList'!J15/'raw-PriceList'!J16)-1)-Table14[[#This Row],[RF]],"")</f>
        <v>4.8887016014121876E-2</v>
      </c>
      <c r="Q16" s="6">
        <f>IFERROR((('raw-PriceList'!K15/'raw-PriceList'!K16)-1)-Table14[[#This Row],[RF]],"")</f>
        <v>6.2851975553013195E-2</v>
      </c>
      <c r="R16" s="6">
        <f>IFERROR((('raw-PriceList'!L15/'raw-PriceList'!L16)-1)-Table14[[#This Row],[RF]],"")</f>
        <v>3.5698788518456259E-2</v>
      </c>
      <c r="S16" s="6" t="str">
        <f>IFERROR((('raw-PriceList'!#REF!/'raw-PriceList'!#REF!)-1)-Table14[[#This Row],[RF]],"")</f>
        <v/>
      </c>
      <c r="T16" s="6">
        <f>IFERROR((('raw-PriceList'!M15/'raw-PriceList'!M16)-1)-Table14[[#This Row],[RF]],"")</f>
        <v>1.6412094325345128E-2</v>
      </c>
      <c r="U16" s="6">
        <f>IFERROR((('raw-PriceList'!N15/'raw-PriceList'!N16)-1)-Table14[[#This Row],[RF]],"")</f>
        <v>2.8155811752227977E-2</v>
      </c>
      <c r="V16" s="6">
        <f>IFERROR((('raw-PriceList'!O15/'raw-PriceList'!O16)-1)-Table14[[#This Row],[RF]],"")</f>
        <v>8.7169192466944306E-3</v>
      </c>
      <c r="W16" s="6">
        <f>IFERROR((('raw-PriceList'!P15/'raw-PriceList'!P16)-1)-Table14[[#This Row],[RF]],"")</f>
        <v>-2.2144822955351084E-2</v>
      </c>
      <c r="X16" s="6">
        <f>IFERROR((('raw-PriceList'!Q15/'raw-PriceList'!Q16)-1)-Table14[[#This Row],[RF]],"")</f>
        <v>-2.1346856444489803E-2</v>
      </c>
      <c r="Y16" s="6" t="str">
        <f>IFERROR((('raw-PriceList'!#REF!/'raw-PriceList'!#REF!)-1)-Table14[[#This Row],[RF]],"")</f>
        <v/>
      </c>
      <c r="Z16" s="6">
        <f>IFERROR((('raw-PriceList'!R15/'raw-PriceList'!R16)-1)-Table14[[#This Row],[RF]],"")</f>
        <v>-1.4018979098112285E-2</v>
      </c>
      <c r="AA16" s="6" t="str">
        <f>IFERROR((('raw-PriceList'!#REF!/'raw-PriceList'!#REF!)-1)-Table14[[#This Row],[RF]],"")</f>
        <v/>
      </c>
      <c r="AB16" s="6" t="str">
        <f>IFERROR((('raw-PriceList'!#REF!/'raw-PriceList'!#REF!)-1)-Table14[[#This Row],[RF]],"")</f>
        <v/>
      </c>
      <c r="AC16" s="6">
        <f>IFERROR((('raw-PriceList'!S15/'raw-PriceList'!S16)-1)-Table14[[#This Row],[RF]],"")</f>
        <v>3.6860693513281528E-2</v>
      </c>
      <c r="AD16" s="6">
        <f>IFERROR((('raw-PriceList'!T15/'raw-PriceList'!T16)-1)-Table14[[#This Row],[RF]],"")</f>
        <v>4.641256630653795E-2</v>
      </c>
      <c r="AE16" s="6" t="str">
        <f>IFERROR((('raw-PriceList'!#REF!/'raw-PriceList'!#REF!)-1)-Table14[[#This Row],[RF]],"")</f>
        <v/>
      </c>
      <c r="AF16" s="6">
        <f>IFERROR((('raw-PriceList'!U15/'raw-PriceList'!U16)-1)-Table14[[#This Row],[RF]],"")</f>
        <v>-2.5042003409802394E-2</v>
      </c>
      <c r="AG16" s="6">
        <f>IFERROR((('raw-PriceList'!V15/'raw-PriceList'!V16)-1)-Table14[[#This Row],[RF]],"")</f>
        <v>4.569211232150211E-2</v>
      </c>
      <c r="AH16" s="6">
        <f>IFERROR((('raw-PriceList'!W15/'raw-PriceList'!W16)-1)-Table14[[#This Row],[RF]],"")</f>
        <v>-4.2540336739169293E-2</v>
      </c>
      <c r="AI16" s="6">
        <f>IFERROR((('raw-PriceList'!X15/'raw-PriceList'!X16)-1)-Table14[[#This Row],[RF]],"")</f>
        <v>-1.3787798773188533E-2</v>
      </c>
      <c r="AJ16" s="6" t="str">
        <f>IFERROR((('raw-PriceList'!#REF!/'raw-PriceList'!#REF!)-1)-Table14[[#This Row],[RF]],"")</f>
        <v/>
      </c>
      <c r="AK16" s="6" t="str">
        <f>IFERROR((('raw-PriceList'!#REF!/'raw-PriceList'!#REF!)-1)-Table14[[#This Row],[RF]],"")</f>
        <v/>
      </c>
      <c r="AL16" s="6">
        <f>IFERROR((('raw-PriceList'!Y15/'raw-PriceList'!Y16)-1)-Table14[[#This Row],[RF]],"")</f>
        <v>3.9520494916084725E-2</v>
      </c>
      <c r="AM16" s="6" t="str">
        <f>IFERROR((('raw-PriceList'!#REF!/'raw-PriceList'!#REF!)-1)-Table14[[#This Row],[RF]],"")</f>
        <v/>
      </c>
      <c r="AN16" s="6" t="str">
        <f>IFERROR((('raw-PriceList'!#REF!/'raw-PriceList'!#REF!)-1)-Table14[[#This Row],[RF]],"")</f>
        <v/>
      </c>
      <c r="AO16" s="6">
        <f>IFERROR((('raw-PriceList'!AA15/'raw-PriceList'!AA16)-1)-Table14[[#This Row],[RF]],"")</f>
        <v>-2.188616817008443E-2</v>
      </c>
      <c r="AP16" s="6" t="str">
        <f>IFERROR((('raw-PriceList'!#REF!/'raw-PriceList'!#REF!)-1)-Table14[[#This Row],[RF]],"")</f>
        <v/>
      </c>
      <c r="AQ16" s="6">
        <f>IFERROR((('raw-PriceList'!AB15/'raw-PriceList'!AB16)-1)-Table14[[#This Row],[RF]],"")</f>
        <v>4.4615547594509974E-2</v>
      </c>
      <c r="AR16" s="6">
        <f>IFERROR((('raw-PriceList'!AC15/'raw-PriceList'!AC16)-1)-Table14[[#This Row],[RF]],"")</f>
        <v>2.6149806821054555E-2</v>
      </c>
      <c r="AS16" s="6" t="str">
        <f>IFERROR((('raw-PriceList'!#REF!/'raw-PriceList'!#REF!)-1)-Table14[[#This Row],[RF]],"")</f>
        <v/>
      </c>
      <c r="AT16" s="6" t="str">
        <f>IFERROR((('raw-PriceList'!#REF!/'raw-PriceList'!#REF!)-1)-Table14[[#This Row],[RF]],"")</f>
        <v/>
      </c>
      <c r="AU16" s="6" t="str">
        <f>IFERROR((('raw-PriceList'!#REF!/'raw-PriceList'!#REF!)-1)-Table14[[#This Row],[RF]],"")</f>
        <v/>
      </c>
      <c r="AV16" s="6">
        <f>IFERROR((('raw-PriceList'!AD15/'raw-PriceList'!AD16)-1)-Table14[[#This Row],[RF]],"")</f>
        <v>4.523181607136223E-2</v>
      </c>
      <c r="AW16" s="6">
        <f>IFERROR((('raw-PriceList'!AE15/'raw-PriceList'!AE16)-1)-Table14[[#This Row],[RF]],"")</f>
        <v>4.523181607136223E-2</v>
      </c>
      <c r="AX16" s="6">
        <f>IFERROR((('raw-PriceList'!AF15/'raw-PriceList'!AF16)-1)-Table14[[#This Row],[RF]],"")</f>
        <v>3.9032504632153076E-2</v>
      </c>
      <c r="AY16" s="6">
        <f>IFERROR((('raw-PriceList'!AG15/'raw-PriceList'!AG16)-1)-Table14[[#This Row],[RF]],"")</f>
        <v>7.9555912084677653E-4</v>
      </c>
      <c r="AZ16" s="6">
        <f>IFERROR((('raw-PriceList'!AH15/'raw-PriceList'!AH16)-1)-Table14[[#This Row],[RF]],"")</f>
        <v>3.6864849514577525E-2</v>
      </c>
      <c r="BA16" s="6" t="str">
        <f>IFERROR((('raw-PriceList'!#REF!/'raw-PriceList'!#REF!)-1)-Table14[[#This Row],[RF]],"")</f>
        <v/>
      </c>
      <c r="BB16" s="6" t="str">
        <f>IFERROR((('raw-PriceList'!AI15/'raw-PriceList'!AI16)-1)-Table14[[#This Row],[RF]],"")</f>
        <v/>
      </c>
    </row>
    <row r="17" spans="1:54" x14ac:dyDescent="0.2">
      <c r="A17" s="5">
        <v>43008</v>
      </c>
      <c r="B17" s="9">
        <v>1</v>
      </c>
      <c r="C17" s="4">
        <v>3.1200000000000002E-2</v>
      </c>
      <c r="D17" s="4">
        <v>3.1200000000000002E-2</v>
      </c>
      <c r="E17" s="4">
        <v>3.1200000000000002E-2</v>
      </c>
      <c r="F17" s="4">
        <v>3.1200000000000002E-2</v>
      </c>
      <c r="G17" s="4">
        <v>3.1200000000000002E-2</v>
      </c>
      <c r="H17" s="6">
        <f>IFERROR((('raw-PriceList'!B16/'raw-PriceList'!B17)-1)-Table14[[#This Row],[RF]],"")</f>
        <v>-3.4159460986328383E-2</v>
      </c>
      <c r="I17" s="6">
        <f>IFERROR((('raw-PriceList'!C16/'raw-PriceList'!C17)-1)-Table14[[#This Row],[RF]],"")</f>
        <v>-1.8732823770692627E-2</v>
      </c>
      <c r="J17" s="6">
        <f>IFERROR((('raw-PriceList'!D16/'raw-PriceList'!D17)-1)-Table14[[#This Row],[RF]],"")</f>
        <v>-3.0459613855808306E-2</v>
      </c>
      <c r="K17" s="6" t="str">
        <f>IFERROR((('raw-PriceList'!E16/'raw-PriceList'!E17)-1)-Table14[[#This Row],[RF]],"")</f>
        <v/>
      </c>
      <c r="L17" s="6" t="str">
        <f>IFERROR((('raw-PriceList'!#REF!/'raw-PriceList'!#REF!)-1)-Table14[[#This Row],[RF]],"")</f>
        <v/>
      </c>
      <c r="M17" s="6">
        <f>IFERROR((('raw-PriceList'!G16/'raw-PriceList'!G17)-1)-Table14[[#This Row],[RF]],"")</f>
        <v>-3.4487566973623984E-2</v>
      </c>
      <c r="N17" s="6">
        <f>IFERROR((('raw-PriceList'!H16/'raw-PriceList'!H17)-1)-Table14[[#This Row],[RF]],"")</f>
        <v>-9.7444068011273109E-3</v>
      </c>
      <c r="O17" s="6" t="str">
        <f>IFERROR((('raw-PriceList'!I16/'raw-PriceList'!I17)-1)-Table14[[#This Row],[RF]],"")</f>
        <v/>
      </c>
      <c r="P17" s="6">
        <f>IFERROR((('raw-PriceList'!J16/'raw-PriceList'!J17)-1)-Table14[[#This Row],[RF]],"")</f>
        <v>-2.352698584827639E-2</v>
      </c>
      <c r="Q17" s="6">
        <f>IFERROR((('raw-PriceList'!K16/'raw-PriceList'!K17)-1)-Table14[[#This Row],[RF]],"")</f>
        <v>-2.4337305616076162E-2</v>
      </c>
      <c r="R17" s="6">
        <f>IFERROR((('raw-PriceList'!L16/'raw-PriceList'!L17)-1)-Table14[[#This Row],[RF]],"")</f>
        <v>-2.1160649996327604E-2</v>
      </c>
      <c r="S17" s="6" t="str">
        <f>IFERROR((('raw-PriceList'!#REF!/'raw-PriceList'!#REF!)-1)-Table14[[#This Row],[RF]],"")</f>
        <v/>
      </c>
      <c r="T17" s="6">
        <f>IFERROR((('raw-PriceList'!M16/'raw-PriceList'!M17)-1)-Table14[[#This Row],[RF]],"")</f>
        <v>-3.1921274180737313E-2</v>
      </c>
      <c r="U17" s="6">
        <f>IFERROR((('raw-PriceList'!N16/'raw-PriceList'!N17)-1)-Table14[[#This Row],[RF]],"")</f>
        <v>-3.1985587287376327E-2</v>
      </c>
      <c r="V17" s="6">
        <f>IFERROR((('raw-PriceList'!O16/'raw-PriceList'!O17)-1)-Table14[[#This Row],[RF]],"")</f>
        <v>-3.2633016230672385E-2</v>
      </c>
      <c r="W17" s="6">
        <f>IFERROR((('raw-PriceList'!P16/'raw-PriceList'!P17)-1)-Table14[[#This Row],[RF]],"")</f>
        <v>-3.237084642687249E-2</v>
      </c>
      <c r="X17" s="6">
        <f>IFERROR((('raw-PriceList'!Q16/'raw-PriceList'!Q17)-1)-Table14[[#This Row],[RF]],"")</f>
        <v>-1.6369784787847782E-2</v>
      </c>
      <c r="Y17" s="6" t="str">
        <f>IFERROR((('raw-PriceList'!#REF!/'raw-PriceList'!#REF!)-1)-Table14[[#This Row],[RF]],"")</f>
        <v/>
      </c>
      <c r="Z17" s="6">
        <f>IFERROR((('raw-PriceList'!R16/'raw-PriceList'!R17)-1)-Table14[[#This Row],[RF]],"")</f>
        <v>-3.5338838842094544E-2</v>
      </c>
      <c r="AA17" s="6" t="str">
        <f>IFERROR((('raw-PriceList'!#REF!/'raw-PriceList'!#REF!)-1)-Table14[[#This Row],[RF]],"")</f>
        <v/>
      </c>
      <c r="AB17" s="6" t="str">
        <f>IFERROR((('raw-PriceList'!#REF!/'raw-PriceList'!#REF!)-1)-Table14[[#This Row],[RF]],"")</f>
        <v/>
      </c>
      <c r="AC17" s="6">
        <f>IFERROR((('raw-PriceList'!S16/'raw-PriceList'!S17)-1)-Table14[[#This Row],[RF]],"")</f>
        <v>-2.4475228217201491E-2</v>
      </c>
      <c r="AD17" s="6">
        <f>IFERROR((('raw-PriceList'!T16/'raw-PriceList'!T17)-1)-Table14[[#This Row],[RF]],"")</f>
        <v>-1.9383497502787447E-2</v>
      </c>
      <c r="AE17" s="6" t="str">
        <f>IFERROR((('raw-PriceList'!#REF!/'raw-PriceList'!#REF!)-1)-Table14[[#This Row],[RF]],"")</f>
        <v/>
      </c>
      <c r="AF17" s="6">
        <f>IFERROR((('raw-PriceList'!U16/'raw-PriceList'!U17)-1)-Table14[[#This Row],[RF]],"")</f>
        <v>-3.4036353609874781E-2</v>
      </c>
      <c r="AG17" s="6">
        <f>IFERROR((('raw-PriceList'!V16/'raw-PriceList'!V17)-1)-Table14[[#This Row],[RF]],"")</f>
        <v>-2.1301259892422816E-2</v>
      </c>
      <c r="AH17" s="6">
        <f>IFERROR((('raw-PriceList'!W16/'raw-PriceList'!W17)-1)-Table14[[#This Row],[RF]],"")</f>
        <v>-1.8607310956802677E-2</v>
      </c>
      <c r="AI17" s="6">
        <f>IFERROR((('raw-PriceList'!X16/'raw-PriceList'!X17)-1)-Table14[[#This Row],[RF]],"")</f>
        <v>-3.3687004413195831E-2</v>
      </c>
      <c r="AJ17" s="6" t="str">
        <f>IFERROR((('raw-PriceList'!#REF!/'raw-PriceList'!#REF!)-1)-Table14[[#This Row],[RF]],"")</f>
        <v/>
      </c>
      <c r="AK17" s="6" t="str">
        <f>IFERROR((('raw-PriceList'!#REF!/'raw-PriceList'!#REF!)-1)-Table14[[#This Row],[RF]],"")</f>
        <v/>
      </c>
      <c r="AL17" s="6">
        <f>IFERROR((('raw-PriceList'!Y16/'raw-PriceList'!Y17)-1)-Table14[[#This Row],[RF]],"")</f>
        <v>-2.2136999856805169E-2</v>
      </c>
      <c r="AM17" s="6" t="str">
        <f>IFERROR((('raw-PriceList'!#REF!/'raw-PriceList'!#REF!)-1)-Table14[[#This Row],[RF]],"")</f>
        <v/>
      </c>
      <c r="AN17" s="6" t="str">
        <f>IFERROR((('raw-PriceList'!#REF!/'raw-PriceList'!#REF!)-1)-Table14[[#This Row],[RF]],"")</f>
        <v/>
      </c>
      <c r="AO17" s="6">
        <f>IFERROR((('raw-PriceList'!AA16/'raw-PriceList'!AA17)-1)-Table14[[#This Row],[RF]],"")</f>
        <v>-3.3095354288310341E-2</v>
      </c>
      <c r="AP17" s="6" t="str">
        <f>IFERROR((('raw-PriceList'!#REF!/'raw-PriceList'!#REF!)-1)-Table14[[#This Row],[RF]],"")</f>
        <v/>
      </c>
      <c r="AQ17" s="6">
        <f>IFERROR((('raw-PriceList'!AB16/'raw-PriceList'!AB17)-1)-Table14[[#This Row],[RF]],"")</f>
        <v>-3.1849538201636718E-2</v>
      </c>
      <c r="AR17" s="6">
        <f>IFERROR((('raw-PriceList'!AC16/'raw-PriceList'!AC17)-1)-Table14[[#This Row],[RF]],"")</f>
        <v>-1.8116274875379031E-2</v>
      </c>
      <c r="AS17" s="6" t="str">
        <f>IFERROR((('raw-PriceList'!#REF!/'raw-PriceList'!#REF!)-1)-Table14[[#This Row],[RF]],"")</f>
        <v/>
      </c>
      <c r="AT17" s="6" t="str">
        <f>IFERROR((('raw-PriceList'!#REF!/'raw-PriceList'!#REF!)-1)-Table14[[#This Row],[RF]],"")</f>
        <v/>
      </c>
      <c r="AU17" s="6" t="str">
        <f>IFERROR((('raw-PriceList'!#REF!/'raw-PriceList'!#REF!)-1)-Table14[[#This Row],[RF]],"")</f>
        <v/>
      </c>
      <c r="AV17" s="6">
        <f>IFERROR((('raw-PriceList'!AD16/'raw-PriceList'!AD17)-1)-Table14[[#This Row],[RF]],"")</f>
        <v>-2.3213530123979195E-2</v>
      </c>
      <c r="AW17" s="6">
        <f>IFERROR((('raw-PriceList'!AE16/'raw-PriceList'!AE17)-1)-Table14[[#This Row],[RF]],"")</f>
        <v>-2.3213530123979195E-2</v>
      </c>
      <c r="AX17" s="6">
        <f>IFERROR((('raw-PriceList'!AF16/'raw-PriceList'!AF17)-1)-Table14[[#This Row],[RF]],"")</f>
        <v>-3.3156442852771528E-2</v>
      </c>
      <c r="AY17" s="6">
        <f>IFERROR((('raw-PriceList'!AG16/'raw-PriceList'!AG17)-1)-Table14[[#This Row],[RF]],"")</f>
        <v>-3.6645420372770299E-2</v>
      </c>
      <c r="AZ17" s="6">
        <f>IFERROR((('raw-PriceList'!AH16/'raw-PriceList'!AH17)-1)-Table14[[#This Row],[RF]],"")</f>
        <v>-2.8995407309360229E-2</v>
      </c>
      <c r="BA17" s="6" t="str">
        <f>IFERROR((('raw-PriceList'!#REF!/'raw-PriceList'!#REF!)-1)-Table14[[#This Row],[RF]],"")</f>
        <v/>
      </c>
      <c r="BB17" s="6" t="str">
        <f>IFERROR((('raw-PriceList'!AI16/'raw-PriceList'!AI17)-1)-Table14[[#This Row],[RF]],"")</f>
        <v/>
      </c>
    </row>
    <row r="18" spans="1:54" x14ac:dyDescent="0.2">
      <c r="A18" s="5">
        <v>42978</v>
      </c>
      <c r="B18" s="9">
        <v>1</v>
      </c>
      <c r="C18" s="4">
        <v>2.2499999999999999E-2</v>
      </c>
      <c r="D18" s="4">
        <v>2.2499999999999999E-2</v>
      </c>
      <c r="E18" s="4">
        <v>2.2499999999999999E-2</v>
      </c>
      <c r="F18" s="4">
        <v>2.2499999999999999E-2</v>
      </c>
      <c r="G18" s="4">
        <v>2.2499999999999999E-2</v>
      </c>
      <c r="H18" s="6">
        <f>IFERROR((('raw-PriceList'!B17/'raw-PriceList'!B18)-1)-Table14[[#This Row],[RF]],"")</f>
        <v>-2.7371047895481539E-2</v>
      </c>
      <c r="I18" s="6">
        <f>IFERROR((('raw-PriceList'!C17/'raw-PriceList'!C18)-1)-Table14[[#This Row],[RF]],"")</f>
        <v>-1.8091368408443421E-2</v>
      </c>
      <c r="J18" s="6">
        <f>IFERROR((('raw-PriceList'!D17/'raw-PriceList'!D18)-1)-Table14[[#This Row],[RF]],"")</f>
        <v>-2.5683735823056976E-2</v>
      </c>
      <c r="K18" s="6" t="str">
        <f>IFERROR((('raw-PriceList'!E17/'raw-PriceList'!E18)-1)-Table14[[#This Row],[RF]],"")</f>
        <v/>
      </c>
      <c r="L18" s="6" t="str">
        <f>IFERROR((('raw-PriceList'!#REF!/'raw-PriceList'!#REF!)-1)-Table14[[#This Row],[RF]],"")</f>
        <v/>
      </c>
      <c r="M18" s="6">
        <f>IFERROR((('raw-PriceList'!G17/'raw-PriceList'!G18)-1)-Table14[[#This Row],[RF]],"")</f>
        <v>-2.6650814690556225E-2</v>
      </c>
      <c r="N18" s="6">
        <f>IFERROR((('raw-PriceList'!H17/'raw-PriceList'!H18)-1)-Table14[[#This Row],[RF]],"")</f>
        <v>-8.8713813557806179E-3</v>
      </c>
      <c r="O18" s="6" t="str">
        <f>IFERROR((('raw-PriceList'!I17/'raw-PriceList'!I18)-1)-Table14[[#This Row],[RF]],"")</f>
        <v/>
      </c>
      <c r="P18" s="6">
        <f>IFERROR((('raw-PriceList'!J17/'raw-PriceList'!J18)-1)-Table14[[#This Row],[RF]],"")</f>
        <v>7.7101911908572171E-3</v>
      </c>
      <c r="Q18" s="6">
        <f>IFERROR((('raw-PriceList'!K17/'raw-PriceList'!K18)-1)-Table14[[#This Row],[RF]],"")</f>
        <v>2.3260268922211322E-3</v>
      </c>
      <c r="R18" s="6">
        <f>IFERROR((('raw-PriceList'!L17/'raw-PriceList'!L18)-1)-Table14[[#This Row],[RF]],"")</f>
        <v>1.1667359981202018E-2</v>
      </c>
      <c r="S18" s="6" t="str">
        <f>IFERROR((('raw-PriceList'!#REF!/'raw-PriceList'!#REF!)-1)-Table14[[#This Row],[RF]],"")</f>
        <v/>
      </c>
      <c r="T18" s="6">
        <f>IFERROR((('raw-PriceList'!M17/'raw-PriceList'!M18)-1)-Table14[[#This Row],[RF]],"")</f>
        <v>8.032139618733912E-3</v>
      </c>
      <c r="U18" s="6">
        <f>IFERROR((('raw-PriceList'!N17/'raw-PriceList'!N18)-1)-Table14[[#This Row],[RF]],"")</f>
        <v>8.0857935918127941E-3</v>
      </c>
      <c r="V18" s="6">
        <f>IFERROR((('raw-PriceList'!O17/'raw-PriceList'!O18)-1)-Table14[[#This Row],[RF]],"")</f>
        <v>9.1455735487677367E-3</v>
      </c>
      <c r="W18" s="6">
        <f>IFERROR((('raw-PriceList'!P17/'raw-PriceList'!P18)-1)-Table14[[#This Row],[RF]],"")</f>
        <v>-2.7683848623570019E-2</v>
      </c>
      <c r="X18" s="6">
        <f>IFERROR((('raw-PriceList'!Q17/'raw-PriceList'!Q18)-1)-Table14[[#This Row],[RF]],"")</f>
        <v>-2.4204339251119124E-2</v>
      </c>
      <c r="Y18" s="6" t="str">
        <f>IFERROR((('raw-PriceList'!#REF!/'raw-PriceList'!#REF!)-1)-Table14[[#This Row],[RF]],"")</f>
        <v/>
      </c>
      <c r="Z18" s="6">
        <f>IFERROR((('raw-PriceList'!R17/'raw-PriceList'!R18)-1)-Table14[[#This Row],[RF]],"")</f>
        <v>-2.7619886937704265E-2</v>
      </c>
      <c r="AA18" s="6" t="str">
        <f>IFERROR((('raw-PriceList'!#REF!/'raw-PriceList'!#REF!)-1)-Table14[[#This Row],[RF]],"")</f>
        <v/>
      </c>
      <c r="AB18" s="6" t="str">
        <f>IFERROR((('raw-PriceList'!#REF!/'raw-PriceList'!#REF!)-1)-Table14[[#This Row],[RF]],"")</f>
        <v/>
      </c>
      <c r="AC18" s="6">
        <f>IFERROR((('raw-PriceList'!S17/'raw-PriceList'!S18)-1)-Table14[[#This Row],[RF]],"")</f>
        <v>-1.3889583707275256E-2</v>
      </c>
      <c r="AD18" s="6">
        <f>IFERROR((('raw-PriceList'!T17/'raw-PriceList'!T18)-1)-Table14[[#This Row],[RF]],"")</f>
        <v>-1.6173838623618354E-2</v>
      </c>
      <c r="AE18" s="6" t="str">
        <f>IFERROR((('raw-PriceList'!#REF!/'raw-PriceList'!#REF!)-1)-Table14[[#This Row],[RF]],"")</f>
        <v/>
      </c>
      <c r="AF18" s="6">
        <f>IFERROR((('raw-PriceList'!U17/'raw-PriceList'!U18)-1)-Table14[[#This Row],[RF]],"")</f>
        <v>-2.745450597475222E-2</v>
      </c>
      <c r="AG18" s="6">
        <f>IFERROR((('raw-PriceList'!V17/'raw-PriceList'!V18)-1)-Table14[[#This Row],[RF]],"")</f>
        <v>-2.301808484714455E-2</v>
      </c>
      <c r="AH18" s="6">
        <f>IFERROR((('raw-PriceList'!W17/'raw-PriceList'!W18)-1)-Table14[[#This Row],[RF]],"")</f>
        <v>-1.7663819515528791E-2</v>
      </c>
      <c r="AI18" s="6">
        <f>IFERROR((('raw-PriceList'!X17/'raw-PriceList'!X18)-1)-Table14[[#This Row],[RF]],"")</f>
        <v>-2.5181021339576594E-2</v>
      </c>
      <c r="AJ18" s="6" t="str">
        <f>IFERROR((('raw-PriceList'!#REF!/'raw-PriceList'!#REF!)-1)-Table14[[#This Row],[RF]],"")</f>
        <v/>
      </c>
      <c r="AK18" s="6" t="str">
        <f>IFERROR((('raw-PriceList'!#REF!/'raw-PriceList'!#REF!)-1)-Table14[[#This Row],[RF]],"")</f>
        <v/>
      </c>
      <c r="AL18" s="6">
        <f>IFERROR((('raw-PriceList'!Y17/'raw-PriceList'!Y18)-1)-Table14[[#This Row],[RF]],"")</f>
        <v>2.2355909631639435E-2</v>
      </c>
      <c r="AM18" s="6" t="str">
        <f>IFERROR((('raw-PriceList'!#REF!/'raw-PriceList'!#REF!)-1)-Table14[[#This Row],[RF]],"")</f>
        <v/>
      </c>
      <c r="AN18" s="6" t="str">
        <f>IFERROR((('raw-PriceList'!#REF!/'raw-PriceList'!#REF!)-1)-Table14[[#This Row],[RF]],"")</f>
        <v/>
      </c>
      <c r="AO18" s="6">
        <f>IFERROR((('raw-PriceList'!AA17/'raw-PriceList'!AA18)-1)-Table14[[#This Row],[RF]],"")</f>
        <v>-2.6127140019248908E-2</v>
      </c>
      <c r="AP18" s="6" t="str">
        <f>IFERROR((('raw-PriceList'!#REF!/'raw-PriceList'!#REF!)-1)-Table14[[#This Row],[RF]],"")</f>
        <v/>
      </c>
      <c r="AQ18" s="6">
        <f>IFERROR((('raw-PriceList'!AB17/'raw-PriceList'!AB18)-1)-Table14[[#This Row],[RF]],"")</f>
        <v>-8.0919335343938928E-3</v>
      </c>
      <c r="AR18" s="6">
        <f>IFERROR((('raw-PriceList'!AC17/'raw-PriceList'!AC18)-1)-Table14[[#This Row],[RF]],"")</f>
        <v>1.1459352216562878E-2</v>
      </c>
      <c r="AS18" s="6" t="str">
        <f>IFERROR((('raw-PriceList'!#REF!/'raw-PriceList'!#REF!)-1)-Table14[[#This Row],[RF]],"")</f>
        <v/>
      </c>
      <c r="AT18" s="6" t="str">
        <f>IFERROR((('raw-PriceList'!#REF!/'raw-PriceList'!#REF!)-1)-Table14[[#This Row],[RF]],"")</f>
        <v/>
      </c>
      <c r="AU18" s="6" t="str">
        <f>IFERROR((('raw-PriceList'!#REF!/'raw-PriceList'!#REF!)-1)-Table14[[#This Row],[RF]],"")</f>
        <v/>
      </c>
      <c r="AV18" s="6">
        <f>IFERROR((('raw-PriceList'!AD17/'raw-PriceList'!AD18)-1)-Table14[[#This Row],[RF]],"")</f>
        <v>8.0779508274999232E-3</v>
      </c>
      <c r="AW18" s="6">
        <f>IFERROR((('raw-PriceList'!AE17/'raw-PriceList'!AE18)-1)-Table14[[#This Row],[RF]],"")</f>
        <v>8.0779508274999232E-3</v>
      </c>
      <c r="AX18" s="6">
        <f>IFERROR((('raw-PriceList'!AF17/'raw-PriceList'!AF18)-1)-Table14[[#This Row],[RF]],"")</f>
        <v>5.6975661433813149E-3</v>
      </c>
      <c r="AY18" s="6">
        <f>IFERROR((('raw-PriceList'!AG17/'raw-PriceList'!AG18)-1)-Table14[[#This Row],[RF]],"")</f>
        <v>2.3190985746157286E-3</v>
      </c>
      <c r="AZ18" s="6">
        <f>IFERROR((('raw-PriceList'!AH17/'raw-PriceList'!AH18)-1)-Table14[[#This Row],[RF]],"")</f>
        <v>-1.6720712049814873E-4</v>
      </c>
      <c r="BA18" s="6" t="str">
        <f>IFERROR((('raw-PriceList'!#REF!/'raw-PriceList'!#REF!)-1)-Table14[[#This Row],[RF]],"")</f>
        <v/>
      </c>
      <c r="BB18" s="6" t="str">
        <f>IFERROR((('raw-PriceList'!AI17/'raw-PriceList'!AI18)-1)-Table14[[#This Row],[RF]],"")</f>
        <v/>
      </c>
    </row>
    <row r="19" spans="1:54" x14ac:dyDescent="0.2">
      <c r="A19" s="5">
        <v>42947</v>
      </c>
      <c r="B19" s="9">
        <v>1</v>
      </c>
      <c r="C19" s="4">
        <v>2.5099999999999997E-2</v>
      </c>
      <c r="D19" s="4">
        <v>2.5099999999999997E-2</v>
      </c>
      <c r="E19" s="4">
        <v>2.5099999999999997E-2</v>
      </c>
      <c r="F19" s="4">
        <v>2.5099999999999997E-2</v>
      </c>
      <c r="G19" s="4">
        <v>2.5099999999999997E-2</v>
      </c>
      <c r="H19" s="6">
        <f>IFERROR((('raw-PriceList'!B18/'raw-PriceList'!B19)-1)-Table14[[#This Row],[RF]],"")</f>
        <v>-2.711531554771883E-2</v>
      </c>
      <c r="I19" s="6">
        <f>IFERROR((('raw-PriceList'!C18/'raw-PriceList'!C19)-1)-Table14[[#This Row],[RF]],"")</f>
        <v>-2.796699308489746E-2</v>
      </c>
      <c r="J19" s="6">
        <f>IFERROR((('raw-PriceList'!D18/'raw-PriceList'!D19)-1)-Table14[[#This Row],[RF]],"")</f>
        <v>-2.7415351707866228E-2</v>
      </c>
      <c r="K19" s="6" t="str">
        <f>IFERROR((('raw-PriceList'!E18/'raw-PriceList'!E19)-1)-Table14[[#This Row],[RF]],"")</f>
        <v/>
      </c>
      <c r="L19" s="6" t="str">
        <f>IFERROR((('raw-PriceList'!#REF!/'raw-PriceList'!#REF!)-1)-Table14[[#This Row],[RF]],"")</f>
        <v/>
      </c>
      <c r="M19" s="6">
        <f>IFERROR((('raw-PriceList'!G18/'raw-PriceList'!G19)-1)-Table14[[#This Row],[RF]],"")</f>
        <v>-2.6722903155001795E-2</v>
      </c>
      <c r="N19" s="6">
        <f>IFERROR((('raw-PriceList'!H18/'raw-PriceList'!H19)-1)-Table14[[#This Row],[RF]],"")</f>
        <v>-2.4112752574155225E-2</v>
      </c>
      <c r="O19" s="6" t="str">
        <f>IFERROR((('raw-PriceList'!I18/'raw-PriceList'!I19)-1)-Table14[[#This Row],[RF]],"")</f>
        <v/>
      </c>
      <c r="P19" s="6">
        <f>IFERROR((('raw-PriceList'!J18/'raw-PriceList'!J19)-1)-Table14[[#This Row],[RF]],"")</f>
        <v>-1.7916752589162976E-4</v>
      </c>
      <c r="Q19" s="6">
        <f>IFERROR((('raw-PriceList'!K18/'raw-PriceList'!K19)-1)-Table14[[#This Row],[RF]],"")</f>
        <v>5.2264861255856415E-3</v>
      </c>
      <c r="R19" s="6">
        <f>IFERROR((('raw-PriceList'!L18/'raw-PriceList'!L19)-1)-Table14[[#This Row],[RF]],"")</f>
        <v>-5.4720601236856042E-3</v>
      </c>
      <c r="S19" s="6" t="str">
        <f>IFERROR((('raw-PriceList'!#REF!/'raw-PriceList'!#REF!)-1)-Table14[[#This Row],[RF]],"")</f>
        <v/>
      </c>
      <c r="T19" s="6">
        <f>IFERROR((('raw-PriceList'!M18/'raw-PriceList'!M19)-1)-Table14[[#This Row],[RF]],"")</f>
        <v>-9.5236821847247549E-3</v>
      </c>
      <c r="U19" s="6">
        <f>IFERROR((('raw-PriceList'!N18/'raw-PriceList'!N19)-1)-Table14[[#This Row],[RF]],"")</f>
        <v>-1.7578209366996139E-3</v>
      </c>
      <c r="V19" s="6">
        <f>IFERROR((('raw-PriceList'!O18/'raw-PriceList'!O19)-1)-Table14[[#This Row],[RF]],"")</f>
        <v>-1.6697956244401943E-2</v>
      </c>
      <c r="W19" s="6">
        <f>IFERROR((('raw-PriceList'!P18/'raw-PriceList'!P19)-1)-Table14[[#This Row],[RF]],"")</f>
        <v>-2.5796856589345482E-2</v>
      </c>
      <c r="X19" s="6">
        <f>IFERROR((('raw-PriceList'!Q18/'raw-PriceList'!Q19)-1)-Table14[[#This Row],[RF]],"")</f>
        <v>-2.2216509811761362E-2</v>
      </c>
      <c r="Y19" s="6" t="str">
        <f>IFERROR((('raw-PriceList'!#REF!/'raw-PriceList'!#REF!)-1)-Table14[[#This Row],[RF]],"")</f>
        <v/>
      </c>
      <c r="Z19" s="6">
        <f>IFERROR((('raw-PriceList'!R18/'raw-PriceList'!R19)-1)-Table14[[#This Row],[RF]],"")</f>
        <v>-2.6221418023481421E-2</v>
      </c>
      <c r="AA19" s="6" t="str">
        <f>IFERROR((('raw-PriceList'!#REF!/'raw-PriceList'!#REF!)-1)-Table14[[#This Row],[RF]],"")</f>
        <v/>
      </c>
      <c r="AB19" s="6" t="str">
        <f>IFERROR((('raw-PriceList'!#REF!/'raw-PriceList'!#REF!)-1)-Table14[[#This Row],[RF]],"")</f>
        <v/>
      </c>
      <c r="AC19" s="6">
        <f>IFERROR((('raw-PriceList'!S18/'raw-PriceList'!S19)-1)-Table14[[#This Row],[RF]],"")</f>
        <v>-7.3812272091279135E-3</v>
      </c>
      <c r="AD19" s="6">
        <f>IFERROR((('raw-PriceList'!T18/'raw-PriceList'!T19)-1)-Table14[[#This Row],[RF]],"")</f>
        <v>-5.5727777089539104E-3</v>
      </c>
      <c r="AE19" s="6" t="str">
        <f>IFERROR((('raw-PriceList'!#REF!/'raw-PriceList'!#REF!)-1)-Table14[[#This Row],[RF]],"")</f>
        <v/>
      </c>
      <c r="AF19" s="6">
        <f>IFERROR((('raw-PriceList'!U18/'raw-PriceList'!U19)-1)-Table14[[#This Row],[RF]],"")</f>
        <v>-2.8477580007769995E-2</v>
      </c>
      <c r="AG19" s="6">
        <f>IFERROR((('raw-PriceList'!V18/'raw-PriceList'!V19)-1)-Table14[[#This Row],[RF]],"")</f>
        <v>-2.0468959979811449E-2</v>
      </c>
      <c r="AH19" s="6">
        <f>IFERROR((('raw-PriceList'!W18/'raw-PriceList'!W19)-1)-Table14[[#This Row],[RF]],"")</f>
        <v>-2.8094929766503837E-2</v>
      </c>
      <c r="AI19" s="6">
        <f>IFERROR((('raw-PriceList'!X18/'raw-PriceList'!X19)-1)-Table14[[#This Row],[RF]],"")</f>
        <v>-2.7320742385979133E-2</v>
      </c>
      <c r="AJ19" s="6" t="str">
        <f>IFERROR((('raw-PriceList'!#REF!/'raw-PriceList'!#REF!)-1)-Table14[[#This Row],[RF]],"")</f>
        <v/>
      </c>
      <c r="AK19" s="6" t="str">
        <f>IFERROR((('raw-PriceList'!#REF!/'raw-PriceList'!#REF!)-1)-Table14[[#This Row],[RF]],"")</f>
        <v/>
      </c>
      <c r="AL19" s="6">
        <f>IFERROR((('raw-PriceList'!Y18/'raw-PriceList'!Y19)-1)-Table14[[#This Row],[RF]],"")</f>
        <v>-4.1090004077427439E-3</v>
      </c>
      <c r="AM19" s="6" t="str">
        <f>IFERROR((('raw-PriceList'!#REF!/'raw-PriceList'!#REF!)-1)-Table14[[#This Row],[RF]],"")</f>
        <v/>
      </c>
      <c r="AN19" s="6" t="str">
        <f>IFERROR((('raw-PriceList'!#REF!/'raw-PriceList'!#REF!)-1)-Table14[[#This Row],[RF]],"")</f>
        <v/>
      </c>
      <c r="AO19" s="6">
        <f>IFERROR((('raw-PriceList'!AA18/'raw-PriceList'!AA19)-1)-Table14[[#This Row],[RF]],"")</f>
        <v>-2.6030098784865383E-2</v>
      </c>
      <c r="AP19" s="6" t="str">
        <f>IFERROR((('raw-PriceList'!#REF!/'raw-PriceList'!#REF!)-1)-Table14[[#This Row],[RF]],"")</f>
        <v/>
      </c>
      <c r="AQ19" s="6">
        <f>IFERROR((('raw-PriceList'!AB18/'raw-PriceList'!AB19)-1)-Table14[[#This Row],[RF]],"")</f>
        <v>-2.0888258934380052E-2</v>
      </c>
      <c r="AR19" s="6">
        <f>IFERROR((('raw-PriceList'!AC18/'raw-PriceList'!AC19)-1)-Table14[[#This Row],[RF]],"")</f>
        <v>-1.6957983388809258E-2</v>
      </c>
      <c r="AS19" s="6" t="str">
        <f>IFERROR((('raw-PriceList'!#REF!/'raw-PriceList'!#REF!)-1)-Table14[[#This Row],[RF]],"")</f>
        <v/>
      </c>
      <c r="AT19" s="6" t="str">
        <f>IFERROR((('raw-PriceList'!#REF!/'raw-PriceList'!#REF!)-1)-Table14[[#This Row],[RF]],"")</f>
        <v/>
      </c>
      <c r="AU19" s="6" t="str">
        <f>IFERROR((('raw-PriceList'!#REF!/'raw-PriceList'!#REF!)-1)-Table14[[#This Row],[RF]],"")</f>
        <v/>
      </c>
      <c r="AV19" s="6">
        <f>IFERROR((('raw-PriceList'!AD18/'raw-PriceList'!AD19)-1)-Table14[[#This Row],[RF]],"")</f>
        <v>-1.7995304812338103E-3</v>
      </c>
      <c r="AW19" s="6">
        <f>IFERROR((('raw-PriceList'!AE18/'raw-PriceList'!AE19)-1)-Table14[[#This Row],[RF]],"")</f>
        <v>-1.7995304812338103E-3</v>
      </c>
      <c r="AX19" s="6">
        <f>IFERROR((('raw-PriceList'!AF18/'raw-PriceList'!AF19)-1)-Table14[[#This Row],[RF]],"")</f>
        <v>-2.7522092465578213E-3</v>
      </c>
      <c r="AY19" s="6">
        <f>IFERROR((('raw-PriceList'!AG18/'raw-PriceList'!AG19)-1)-Table14[[#This Row],[RF]],"")</f>
        <v>-5.577725512439223E-2</v>
      </c>
      <c r="AZ19" s="6">
        <f>IFERROR((('raw-PriceList'!AH18/'raw-PriceList'!AH19)-1)-Table14[[#This Row],[RF]],"")</f>
        <v>1.8174508748759824E-2</v>
      </c>
      <c r="BA19" s="6" t="str">
        <f>IFERROR((('raw-PriceList'!#REF!/'raw-PriceList'!#REF!)-1)-Table14[[#This Row],[RF]],"")</f>
        <v/>
      </c>
      <c r="BB19" s="6" t="str">
        <f>IFERROR((('raw-PriceList'!AI18/'raw-PriceList'!AI19)-1)-Table14[[#This Row],[RF]],"")</f>
        <v/>
      </c>
    </row>
    <row r="20" spans="1:54" x14ac:dyDescent="0.2">
      <c r="A20" s="5">
        <v>42916</v>
      </c>
      <c r="B20" s="9">
        <v>1</v>
      </c>
      <c r="C20" s="4">
        <v>1.6000000000000001E-3</v>
      </c>
      <c r="D20" s="4">
        <v>1.6000000000000001E-3</v>
      </c>
      <c r="E20" s="4">
        <v>1.6000000000000001E-3</v>
      </c>
      <c r="F20" s="4">
        <v>1.6000000000000001E-3</v>
      </c>
      <c r="G20" s="4">
        <v>1.6000000000000001E-3</v>
      </c>
      <c r="H20" s="6">
        <f>IFERROR((('raw-PriceList'!B19/'raw-PriceList'!B20)-1)-Table14[[#This Row],[RF]],"")</f>
        <v>-1.2655031254059156E-2</v>
      </c>
      <c r="I20" s="6">
        <f>IFERROR((('raw-PriceList'!C19/'raw-PriceList'!C20)-1)-Table14[[#This Row],[RF]],"")</f>
        <v>-1.3139304464480816E-2</v>
      </c>
      <c r="J20" s="6">
        <f>IFERROR((('raw-PriceList'!D19/'raw-PriceList'!D20)-1)-Table14[[#This Row],[RF]],"")</f>
        <v>-8.3857385217932061E-3</v>
      </c>
      <c r="K20" s="6" t="str">
        <f>IFERROR((('raw-PriceList'!E19/'raw-PriceList'!E20)-1)-Table14[[#This Row],[RF]],"")</f>
        <v/>
      </c>
      <c r="L20" s="6" t="str">
        <f>IFERROR((('raw-PriceList'!#REF!/'raw-PriceList'!#REF!)-1)-Table14[[#This Row],[RF]],"")</f>
        <v/>
      </c>
      <c r="M20" s="6">
        <f>IFERROR((('raw-PriceList'!G19/'raw-PriceList'!G20)-1)-Table14[[#This Row],[RF]],"")</f>
        <v>-6.105421908909568E-3</v>
      </c>
      <c r="N20" s="6">
        <f>IFERROR((('raw-PriceList'!H19/'raw-PriceList'!H20)-1)-Table14[[#This Row],[RF]],"")</f>
        <v>-4.1821558316515302E-2</v>
      </c>
      <c r="O20" s="6" t="str">
        <f>IFERROR((('raw-PriceList'!I19/'raw-PriceList'!I20)-1)-Table14[[#This Row],[RF]],"")</f>
        <v/>
      </c>
      <c r="P20" s="6">
        <f>IFERROR((('raw-PriceList'!J19/'raw-PriceList'!J20)-1)-Table14[[#This Row],[RF]],"")</f>
        <v>1.3579757217083311E-2</v>
      </c>
      <c r="Q20" s="6">
        <f>IFERROR((('raw-PriceList'!K19/'raw-PriceList'!K20)-1)-Table14[[#This Row],[RF]],"")</f>
        <v>4.684099972133861E-3</v>
      </c>
      <c r="R20" s="6">
        <f>IFERROR((('raw-PriceList'!L19/'raw-PriceList'!L20)-1)-Table14[[#This Row],[RF]],"")</f>
        <v>2.1633045391403805E-2</v>
      </c>
      <c r="S20" s="6" t="str">
        <f>IFERROR((('raw-PriceList'!#REF!/'raw-PriceList'!#REF!)-1)-Table14[[#This Row],[RF]],"")</f>
        <v/>
      </c>
      <c r="T20" s="6">
        <f>IFERROR((('raw-PriceList'!M19/'raw-PriceList'!M20)-1)-Table14[[#This Row],[RF]],"")</f>
        <v>3.8503517544594072E-2</v>
      </c>
      <c r="U20" s="6">
        <f>IFERROR((('raw-PriceList'!N19/'raw-PriceList'!N20)-1)-Table14[[#This Row],[RF]],"")</f>
        <v>3.5723709674667918E-2</v>
      </c>
      <c r="V20" s="6">
        <f>IFERROR((('raw-PriceList'!O19/'raw-PriceList'!O20)-1)-Table14[[#This Row],[RF]],"")</f>
        <v>4.313523956811776E-2</v>
      </c>
      <c r="W20" s="6">
        <f>IFERROR((('raw-PriceList'!P19/'raw-PriceList'!P20)-1)-Table14[[#This Row],[RF]],"")</f>
        <v>-7.9565990896499177E-3</v>
      </c>
      <c r="X20" s="6">
        <f>IFERROR((('raw-PriceList'!Q19/'raw-PriceList'!Q20)-1)-Table14[[#This Row],[RF]],"")</f>
        <v>-4.1288191392617286E-3</v>
      </c>
      <c r="Y20" s="6" t="str">
        <f>IFERROR((('raw-PriceList'!#REF!/'raw-PriceList'!#REF!)-1)-Table14[[#This Row],[RF]],"")</f>
        <v/>
      </c>
      <c r="Z20" s="6">
        <f>IFERROR((('raw-PriceList'!R19/'raw-PriceList'!R20)-1)-Table14[[#This Row],[RF]],"")</f>
        <v>-4.591001240744917E-3</v>
      </c>
      <c r="AA20" s="6" t="str">
        <f>IFERROR((('raw-PriceList'!#REF!/'raw-PriceList'!#REF!)-1)-Table14[[#This Row],[RF]],"")</f>
        <v/>
      </c>
      <c r="AB20" s="6" t="str">
        <f>IFERROR((('raw-PriceList'!#REF!/'raw-PriceList'!#REF!)-1)-Table14[[#This Row],[RF]],"")</f>
        <v/>
      </c>
      <c r="AC20" s="6">
        <f>IFERROR((('raw-PriceList'!S19/'raw-PriceList'!S20)-1)-Table14[[#This Row],[RF]],"")</f>
        <v>1.9388931902743867E-2</v>
      </c>
      <c r="AD20" s="6">
        <f>IFERROR((('raw-PriceList'!T19/'raw-PriceList'!T20)-1)-Table14[[#This Row],[RF]],"")</f>
        <v>1.1076167820850236E-2</v>
      </c>
      <c r="AE20" s="6" t="str">
        <f>IFERROR((('raw-PriceList'!#REF!/'raw-PriceList'!#REF!)-1)-Table14[[#This Row],[RF]],"")</f>
        <v/>
      </c>
      <c r="AF20" s="6">
        <f>IFERROR((('raw-PriceList'!U19/'raw-PriceList'!U20)-1)-Table14[[#This Row],[RF]],"")</f>
        <v>-1.1832494346151145E-2</v>
      </c>
      <c r="AG20" s="6">
        <f>IFERROR((('raw-PriceList'!V19/'raw-PriceList'!V20)-1)-Table14[[#This Row],[RF]],"")</f>
        <v>2.6423311842420239E-2</v>
      </c>
      <c r="AH20" s="6">
        <f>IFERROR((('raw-PriceList'!W19/'raw-PriceList'!W20)-1)-Table14[[#This Row],[RF]],"")</f>
        <v>-2.6065393620032528E-2</v>
      </c>
      <c r="AI20" s="6">
        <f>IFERROR((('raw-PriceList'!X19/'raw-PriceList'!X20)-1)-Table14[[#This Row],[RF]],"")</f>
        <v>-4.1367153576729694E-3</v>
      </c>
      <c r="AJ20" s="6" t="str">
        <f>IFERROR((('raw-PriceList'!#REF!/'raw-PriceList'!#REF!)-1)-Table14[[#This Row],[RF]],"")</f>
        <v/>
      </c>
      <c r="AK20" s="6" t="str">
        <f>IFERROR((('raw-PriceList'!#REF!/'raw-PriceList'!#REF!)-1)-Table14[[#This Row],[RF]],"")</f>
        <v/>
      </c>
      <c r="AL20" s="6">
        <f>IFERROR((('raw-PriceList'!Y19/'raw-PriceList'!Y20)-1)-Table14[[#This Row],[RF]],"")</f>
        <v>1.7528163522988961E-2</v>
      </c>
      <c r="AM20" s="6" t="str">
        <f>IFERROR((('raw-PriceList'!#REF!/'raw-PriceList'!#REF!)-1)-Table14[[#This Row],[RF]],"")</f>
        <v/>
      </c>
      <c r="AN20" s="6" t="str">
        <f>IFERROR((('raw-PriceList'!#REF!/'raw-PriceList'!#REF!)-1)-Table14[[#This Row],[RF]],"")</f>
        <v/>
      </c>
      <c r="AO20" s="6">
        <f>IFERROR((('raw-PriceList'!AA19/'raw-PriceList'!AA20)-1)-Table14[[#This Row],[RF]],"")</f>
        <v>-6.5468597649435785E-3</v>
      </c>
      <c r="AP20" s="6" t="str">
        <f>IFERROR((('raw-PriceList'!#REF!/'raw-PriceList'!#REF!)-1)-Table14[[#This Row],[RF]],"")</f>
        <v/>
      </c>
      <c r="AQ20" s="6">
        <f>IFERROR((('raw-PriceList'!AB19/'raw-PriceList'!AB20)-1)-Table14[[#This Row],[RF]],"")</f>
        <v>4.3746678785776673E-4</v>
      </c>
      <c r="AR20" s="6">
        <f>IFERROR((('raw-PriceList'!AC19/'raw-PriceList'!AC20)-1)-Table14[[#This Row],[RF]],"")</f>
        <v>2.0932509142440204E-2</v>
      </c>
      <c r="AS20" s="6" t="str">
        <f>IFERROR((('raw-PriceList'!#REF!/'raw-PriceList'!#REF!)-1)-Table14[[#This Row],[RF]],"")</f>
        <v/>
      </c>
      <c r="AT20" s="6" t="str">
        <f>IFERROR((('raw-PriceList'!#REF!/'raw-PriceList'!#REF!)-1)-Table14[[#This Row],[RF]],"")</f>
        <v/>
      </c>
      <c r="AU20" s="6" t="str">
        <f>IFERROR((('raw-PriceList'!#REF!/'raw-PriceList'!#REF!)-1)-Table14[[#This Row],[RF]],"")</f>
        <v/>
      </c>
      <c r="AV20" s="6">
        <f>IFERROR((('raw-PriceList'!AD19/'raw-PriceList'!AD20)-1)-Table14[[#This Row],[RF]],"")</f>
        <v>1.3633967946341797E-2</v>
      </c>
      <c r="AW20" s="6">
        <f>IFERROR((('raw-PriceList'!AE19/'raw-PriceList'!AE20)-1)-Table14[[#This Row],[RF]],"")</f>
        <v>1.3633967946341797E-2</v>
      </c>
      <c r="AX20" s="6">
        <f>IFERROR((('raw-PriceList'!AF19/'raw-PriceList'!AF20)-1)-Table14[[#This Row],[RF]],"")</f>
        <v>1.310989889382368E-2</v>
      </c>
      <c r="AY20" s="6">
        <f>IFERROR((('raw-PriceList'!AG19/'raw-PriceList'!AG20)-1)-Table14[[#This Row],[RF]],"")</f>
        <v>-1.5369145325905897E-2</v>
      </c>
      <c r="AZ20" s="6">
        <f>IFERROR((('raw-PriceList'!AH19/'raw-PriceList'!AH20)-1)-Table14[[#This Row],[RF]],"")</f>
        <v>5.4766829918318398E-3</v>
      </c>
      <c r="BA20" s="6" t="str">
        <f>IFERROR((('raw-PriceList'!#REF!/'raw-PriceList'!#REF!)-1)-Table14[[#This Row],[RF]],"")</f>
        <v/>
      </c>
      <c r="BB20" s="6" t="str">
        <f>IFERROR((('raw-PriceList'!AI19/'raw-PriceList'!AI20)-1)-Table14[[#This Row],[RF]],"")</f>
        <v/>
      </c>
    </row>
    <row r="21" spans="1:54" x14ac:dyDescent="0.2">
      <c r="A21" s="5">
        <v>42886</v>
      </c>
      <c r="B21" s="9">
        <v>1</v>
      </c>
      <c r="C21" s="4">
        <v>1.8700000000000001E-2</v>
      </c>
      <c r="D21" s="4">
        <v>1.8700000000000001E-2</v>
      </c>
      <c r="E21" s="4">
        <v>1.8700000000000001E-2</v>
      </c>
      <c r="F21" s="4">
        <v>1.8700000000000001E-2</v>
      </c>
      <c r="G21" s="4">
        <v>1.8700000000000001E-2</v>
      </c>
      <c r="H21" s="6">
        <f>IFERROR((('raw-PriceList'!B20/'raw-PriceList'!B21)-1)-Table14[[#This Row],[RF]],"")</f>
        <v>-1.023737043921364E-2</v>
      </c>
      <c r="I21" s="6">
        <f>IFERROR((('raw-PriceList'!C20/'raw-PriceList'!C21)-1)-Table14[[#This Row],[RF]],"")</f>
        <v>-1.1241534232984754E-3</v>
      </c>
      <c r="J21" s="6">
        <f>IFERROR((('raw-PriceList'!D20/'raw-PriceList'!D21)-1)-Table14[[#This Row],[RF]],"")</f>
        <v>-1.2209776316397587E-2</v>
      </c>
      <c r="K21" s="6" t="str">
        <f>IFERROR((('raw-PriceList'!E20/'raw-PriceList'!E21)-1)-Table14[[#This Row],[RF]],"")</f>
        <v/>
      </c>
      <c r="L21" s="6" t="str">
        <f>IFERROR((('raw-PriceList'!#REF!/'raw-PriceList'!#REF!)-1)-Table14[[#This Row],[RF]],"")</f>
        <v/>
      </c>
      <c r="M21" s="6">
        <f>IFERROR((('raw-PriceList'!G20/'raw-PriceList'!G21)-1)-Table14[[#This Row],[RF]],"")</f>
        <v>-1.6685628089384848E-2</v>
      </c>
      <c r="N21" s="6">
        <f>IFERROR((('raw-PriceList'!H20/'raw-PriceList'!H21)-1)-Table14[[#This Row],[RF]],"")</f>
        <v>3.0053894766015547E-2</v>
      </c>
      <c r="O21" s="6" t="str">
        <f>IFERROR((('raw-PriceList'!I20/'raw-PriceList'!I21)-1)-Table14[[#This Row],[RF]],"")</f>
        <v/>
      </c>
      <c r="P21" s="6">
        <f>IFERROR((('raw-PriceList'!J20/'raw-PriceList'!J21)-1)-Table14[[#This Row],[RF]],"")</f>
        <v>-1.4095918390507896E-2</v>
      </c>
      <c r="Q21" s="6">
        <f>IFERROR((('raw-PriceList'!K20/'raw-PriceList'!K21)-1)-Table14[[#This Row],[RF]],"")</f>
        <v>-5.4168766082505829E-3</v>
      </c>
      <c r="R21" s="6">
        <f>IFERROR((('raw-PriceList'!L20/'raw-PriceList'!L21)-1)-Table14[[#This Row],[RF]],"")</f>
        <v>-2.3232528143317728E-2</v>
      </c>
      <c r="S21" s="6" t="str">
        <f>IFERROR((('raw-PriceList'!#REF!/'raw-PriceList'!#REF!)-1)-Table14[[#This Row],[RF]],"")</f>
        <v/>
      </c>
      <c r="T21" s="6">
        <f>IFERROR((('raw-PriceList'!M20/'raw-PriceList'!M21)-1)-Table14[[#This Row],[RF]],"")</f>
        <v>-2.814100364211309E-2</v>
      </c>
      <c r="U21" s="6">
        <f>IFERROR((('raw-PriceList'!N20/'raw-PriceList'!N21)-1)-Table14[[#This Row],[RF]],"")</f>
        <v>-2.2542718332760843E-2</v>
      </c>
      <c r="V21" s="6">
        <f>IFERROR((('raw-PriceList'!O20/'raw-PriceList'!O21)-1)-Table14[[#This Row],[RF]],"")</f>
        <v>-3.3325937076285013E-2</v>
      </c>
      <c r="W21" s="6">
        <f>IFERROR((('raw-PriceList'!P20/'raw-PriceList'!P21)-1)-Table14[[#This Row],[RF]],"")</f>
        <v>-1.3684711312267402E-2</v>
      </c>
      <c r="X21" s="6">
        <f>IFERROR((('raw-PriceList'!Q20/'raw-PriceList'!Q21)-1)-Table14[[#This Row],[RF]],"")</f>
        <v>-1.0485537179896261E-2</v>
      </c>
      <c r="Y21" s="6" t="str">
        <f>IFERROR((('raw-PriceList'!#REF!/'raw-PriceList'!#REF!)-1)-Table14[[#This Row],[RF]],"")</f>
        <v/>
      </c>
      <c r="Z21" s="6">
        <f>IFERROR((('raw-PriceList'!R20/'raw-PriceList'!R21)-1)-Table14[[#This Row],[RF]],"")</f>
        <v>-1.7066900116201218E-2</v>
      </c>
      <c r="AA21" s="6" t="str">
        <f>IFERROR((('raw-PriceList'!#REF!/'raw-PriceList'!#REF!)-1)-Table14[[#This Row],[RF]],"")</f>
        <v/>
      </c>
      <c r="AB21" s="6" t="str">
        <f>IFERROR((('raw-PriceList'!#REF!/'raw-PriceList'!#REF!)-1)-Table14[[#This Row],[RF]],"")</f>
        <v/>
      </c>
      <c r="AC21" s="6">
        <f>IFERROR((('raw-PriceList'!S20/'raw-PriceList'!S21)-1)-Table14[[#This Row],[RF]],"")</f>
        <v>-1.8452988254003273E-2</v>
      </c>
      <c r="AD21" s="6">
        <f>IFERROR((('raw-PriceList'!T20/'raw-PriceList'!T21)-1)-Table14[[#This Row],[RF]],"")</f>
        <v>-1.2312635211402086E-2</v>
      </c>
      <c r="AE21" s="6" t="str">
        <f>IFERROR((('raw-PriceList'!#REF!/'raw-PriceList'!#REF!)-1)-Table14[[#This Row],[RF]],"")</f>
        <v/>
      </c>
      <c r="AF21" s="6">
        <f>IFERROR((('raw-PriceList'!U20/'raw-PriceList'!U21)-1)-Table14[[#This Row],[RF]],"")</f>
        <v>-1.1009569446333974E-2</v>
      </c>
      <c r="AG21" s="6">
        <f>IFERROR((('raw-PriceList'!V20/'raw-PriceList'!V21)-1)-Table14[[#This Row],[RF]],"")</f>
        <v>-1.797706300275121E-2</v>
      </c>
      <c r="AH21" s="6">
        <f>IFERROR((('raw-PriceList'!W20/'raw-PriceList'!W21)-1)-Table14[[#This Row],[RF]],"")</f>
        <v>1.1764477480810713E-2</v>
      </c>
      <c r="AI21" s="6">
        <f>IFERROR((('raw-PriceList'!X20/'raw-PriceList'!X21)-1)-Table14[[#This Row],[RF]],"")</f>
        <v>-1.756224404807611E-2</v>
      </c>
      <c r="AJ21" s="6" t="str">
        <f>IFERROR((('raw-PriceList'!#REF!/'raw-PriceList'!#REF!)-1)-Table14[[#This Row],[RF]],"")</f>
        <v/>
      </c>
      <c r="AK21" s="6" t="str">
        <f>IFERROR((('raw-PriceList'!#REF!/'raw-PriceList'!#REF!)-1)-Table14[[#This Row],[RF]],"")</f>
        <v/>
      </c>
      <c r="AL21" s="6">
        <f>IFERROR((('raw-PriceList'!Y20/'raw-PriceList'!Y21)-1)-Table14[[#This Row],[RF]],"")</f>
        <v>-2.2325943363381735E-2</v>
      </c>
      <c r="AM21" s="6" t="str">
        <f>IFERROR((('raw-PriceList'!#REF!/'raw-PriceList'!#REF!)-1)-Table14[[#This Row],[RF]],"")</f>
        <v/>
      </c>
      <c r="AN21" s="6" t="str">
        <f>IFERROR((('raw-PriceList'!#REF!/'raw-PriceList'!#REF!)-1)-Table14[[#This Row],[RF]],"")</f>
        <v/>
      </c>
      <c r="AO21" s="6">
        <f>IFERROR((('raw-PriceList'!AA20/'raw-PriceList'!AA21)-1)-Table14[[#This Row],[RF]],"")</f>
        <v>-1.3360540310636555E-2</v>
      </c>
      <c r="AP21" s="6" t="str">
        <f>IFERROR((('raw-PriceList'!#REF!/'raw-PriceList'!#REF!)-1)-Table14[[#This Row],[RF]],"")</f>
        <v/>
      </c>
      <c r="AQ21" s="6">
        <f>IFERROR((('raw-PriceList'!AB20/'raw-PriceList'!AB21)-1)-Table14[[#This Row],[RF]],"")</f>
        <v>-6.0617725901311384E-3</v>
      </c>
      <c r="AR21" s="6">
        <f>IFERROR((('raw-PriceList'!AC20/'raw-PriceList'!AC21)-1)-Table14[[#This Row],[RF]],"")</f>
        <v>-3.1158995206799385E-2</v>
      </c>
      <c r="AS21" s="6" t="str">
        <f>IFERROR((('raw-PriceList'!#REF!/'raw-PriceList'!#REF!)-1)-Table14[[#This Row],[RF]],"")</f>
        <v/>
      </c>
      <c r="AT21" s="6" t="str">
        <f>IFERROR((('raw-PriceList'!#REF!/'raw-PriceList'!#REF!)-1)-Table14[[#This Row],[RF]],"")</f>
        <v/>
      </c>
      <c r="AU21" s="6" t="str">
        <f>IFERROR((('raw-PriceList'!#REF!/'raw-PriceList'!#REF!)-1)-Table14[[#This Row],[RF]],"")</f>
        <v/>
      </c>
      <c r="AV21" s="6">
        <f>IFERROR((('raw-PriceList'!AD20/'raw-PriceList'!AD21)-1)-Table14[[#This Row],[RF]],"")</f>
        <v>-1.5822113095431085E-2</v>
      </c>
      <c r="AW21" s="6">
        <f>IFERROR((('raw-PriceList'!AE20/'raw-PriceList'!AE21)-1)-Table14[[#This Row],[RF]],"")</f>
        <v>-1.5822113095431085E-2</v>
      </c>
      <c r="AX21" s="6">
        <f>IFERROR((('raw-PriceList'!AF20/'raw-PriceList'!AF21)-1)-Table14[[#This Row],[RF]],"")</f>
        <v>-1.7091840997285619E-2</v>
      </c>
      <c r="AY21" s="6">
        <f>IFERROR((('raw-PriceList'!AG20/'raw-PriceList'!AG21)-1)-Table14[[#This Row],[RF]],"")</f>
        <v>-2.1058444286326257E-2</v>
      </c>
      <c r="AZ21" s="6">
        <f>IFERROR((('raw-PriceList'!AH20/'raw-PriceList'!AH21)-1)-Table14[[#This Row],[RF]],"")</f>
        <v>-1.7086196694092122E-2</v>
      </c>
      <c r="BA21" s="6" t="str">
        <f>IFERROR((('raw-PriceList'!#REF!/'raw-PriceList'!#REF!)-1)-Table14[[#This Row],[RF]],"")</f>
        <v/>
      </c>
      <c r="BB21" s="6" t="str">
        <f>IFERROR((('raw-PriceList'!AI20/'raw-PriceList'!AI21)-1)-Table14[[#This Row],[RF]],"")</f>
        <v/>
      </c>
    </row>
    <row r="22" spans="1:54" x14ac:dyDescent="0.2">
      <c r="A22" s="5">
        <v>42855</v>
      </c>
      <c r="B22" s="9">
        <v>1</v>
      </c>
      <c r="C22" s="4">
        <v>7.8000000000000005E-3</v>
      </c>
      <c r="D22" s="4">
        <v>7.8000000000000005E-3</v>
      </c>
      <c r="E22" s="4">
        <v>7.8000000000000005E-3</v>
      </c>
      <c r="F22" s="4">
        <v>7.8000000000000005E-3</v>
      </c>
      <c r="G22" s="4">
        <v>7.8000000000000005E-3</v>
      </c>
      <c r="H22" s="6">
        <f>IFERROR((('raw-PriceList'!B21/'raw-PriceList'!B22)-1)-Table14[[#This Row],[RF]],"")</f>
        <v>-3.5489824660610283E-3</v>
      </c>
      <c r="I22" s="6">
        <f>IFERROR((('raw-PriceList'!C21/'raw-PriceList'!C22)-1)-Table14[[#This Row],[RF]],"")</f>
        <v>-6.9205851571181023E-3</v>
      </c>
      <c r="J22" s="6">
        <f>IFERROR((('raw-PriceList'!D21/'raw-PriceList'!D22)-1)-Table14[[#This Row],[RF]],"")</f>
        <v>-5.8470406451646964E-3</v>
      </c>
      <c r="K22" s="6" t="str">
        <f>IFERROR((('raw-PriceList'!E21/'raw-PriceList'!E22)-1)-Table14[[#This Row],[RF]],"")</f>
        <v/>
      </c>
      <c r="L22" s="6" t="str">
        <f>IFERROR((('raw-PriceList'!#REF!/'raw-PriceList'!#REF!)-1)-Table14[[#This Row],[RF]],"")</f>
        <v/>
      </c>
      <c r="M22" s="6">
        <f>IFERROR((('raw-PriceList'!G21/'raw-PriceList'!G22)-1)-Table14[[#This Row],[RF]],"")</f>
        <v>-5.6602143642909544E-3</v>
      </c>
      <c r="N22" s="6">
        <f>IFERROR((('raw-PriceList'!H21/'raw-PriceList'!H22)-1)-Table14[[#This Row],[RF]],"")</f>
        <v>-2.0374070868428545E-2</v>
      </c>
      <c r="O22" s="6" t="str">
        <f>IFERROR((('raw-PriceList'!I21/'raw-PriceList'!I22)-1)-Table14[[#This Row],[RF]],"")</f>
        <v/>
      </c>
      <c r="P22" s="6">
        <f>IFERROR((('raw-PriceList'!J21/'raw-PriceList'!J22)-1)-Table14[[#This Row],[RF]],"")</f>
        <v>1.2706114097651905E-2</v>
      </c>
      <c r="Q22" s="6">
        <f>IFERROR((('raw-PriceList'!K21/'raw-PriceList'!K22)-1)-Table14[[#This Row],[RF]],"")</f>
        <v>1.8665491419815911E-2</v>
      </c>
      <c r="R22" s="6">
        <f>IFERROR((('raw-PriceList'!L21/'raw-PriceList'!L22)-1)-Table14[[#This Row],[RF]],"")</f>
        <v>8.3269649953827962E-3</v>
      </c>
      <c r="S22" s="6" t="str">
        <f>IFERROR((('raw-PriceList'!#REF!/'raw-PriceList'!#REF!)-1)-Table14[[#This Row],[RF]],"")</f>
        <v/>
      </c>
      <c r="T22" s="6">
        <f>IFERROR((('raw-PriceList'!M21/'raw-PriceList'!M22)-1)-Table14[[#This Row],[RF]],"")</f>
        <v>4.180561550135826E-3</v>
      </c>
      <c r="U22" s="6">
        <f>IFERROR((('raw-PriceList'!N21/'raw-PriceList'!N22)-1)-Table14[[#This Row],[RF]],"")</f>
        <v>5.76237705343255E-3</v>
      </c>
      <c r="V22" s="6">
        <f>IFERROR((('raw-PriceList'!O21/'raw-PriceList'!O22)-1)-Table14[[#This Row],[RF]],"")</f>
        <v>2.2455597210478137E-3</v>
      </c>
      <c r="W22" s="6">
        <f>IFERROR((('raw-PriceList'!P21/'raw-PriceList'!P22)-1)-Table14[[#This Row],[RF]],"")</f>
        <v>-9.3892144599158536E-4</v>
      </c>
      <c r="X22" s="6">
        <f>IFERROR((('raw-PriceList'!Q21/'raw-PriceList'!Q22)-1)-Table14[[#This Row],[RF]],"")</f>
        <v>-3.3891679517123732E-3</v>
      </c>
      <c r="Y22" s="6" t="str">
        <f>IFERROR((('raw-PriceList'!#REF!/'raw-PriceList'!#REF!)-1)-Table14[[#This Row],[RF]],"")</f>
        <v/>
      </c>
      <c r="Z22" s="6">
        <f>IFERROR((('raw-PriceList'!R21/'raw-PriceList'!R22)-1)-Table14[[#This Row],[RF]],"")</f>
        <v>-5.2832143490766084E-3</v>
      </c>
      <c r="AA22" s="6" t="str">
        <f>IFERROR((('raw-PriceList'!#REF!/'raw-PriceList'!#REF!)-1)-Table14[[#This Row],[RF]],"")</f>
        <v/>
      </c>
      <c r="AB22" s="6" t="str">
        <f>IFERROR((('raw-PriceList'!#REF!/'raw-PriceList'!#REF!)-1)-Table14[[#This Row],[RF]],"")</f>
        <v/>
      </c>
      <c r="AC22" s="6">
        <f>IFERROR((('raw-PriceList'!S21/'raw-PriceList'!S22)-1)-Table14[[#This Row],[RF]],"")</f>
        <v>2.0976038200251318E-2</v>
      </c>
      <c r="AD22" s="6">
        <f>IFERROR((('raw-PriceList'!T21/'raw-PriceList'!T22)-1)-Table14[[#This Row],[RF]],"")</f>
        <v>2.5970059942475948E-2</v>
      </c>
      <c r="AE22" s="6" t="str">
        <f>IFERROR((('raw-PriceList'!#REF!/'raw-PriceList'!#REF!)-1)-Table14[[#This Row],[RF]],"")</f>
        <v/>
      </c>
      <c r="AF22" s="6">
        <f>IFERROR((('raw-PriceList'!U21/'raw-PriceList'!U22)-1)-Table14[[#This Row],[RF]],"")</f>
        <v>-5.0659719302738873E-3</v>
      </c>
      <c r="AG22" s="6">
        <f>IFERROR((('raw-PriceList'!V21/'raw-PriceList'!V22)-1)-Table14[[#This Row],[RF]],"")</f>
        <v>2.0450596782930514E-2</v>
      </c>
      <c r="AH22" s="6">
        <f>IFERROR((('raw-PriceList'!W21/'raw-PriceList'!W22)-1)-Table14[[#This Row],[RF]],"")</f>
        <v>-1.5468091825091429E-2</v>
      </c>
      <c r="AI22" s="6">
        <f>IFERROR((('raw-PriceList'!X21/'raw-PriceList'!X22)-1)-Table14[[#This Row],[RF]],"")</f>
        <v>-6.97663249107247E-3</v>
      </c>
      <c r="AJ22" s="6" t="str">
        <f>IFERROR((('raw-PriceList'!#REF!/'raw-PriceList'!#REF!)-1)-Table14[[#This Row],[RF]],"")</f>
        <v/>
      </c>
      <c r="AK22" s="6" t="str">
        <f>IFERROR((('raw-PriceList'!#REF!/'raw-PriceList'!#REF!)-1)-Table14[[#This Row],[RF]],"")</f>
        <v/>
      </c>
      <c r="AL22" s="6">
        <f>IFERROR((('raw-PriceList'!Y21/'raw-PriceList'!Y22)-1)-Table14[[#This Row],[RF]],"")</f>
        <v>-4.7263886759171727E-4</v>
      </c>
      <c r="AM22" s="6" t="str">
        <f>IFERROR((('raw-PriceList'!#REF!/'raw-PriceList'!#REF!)-1)-Table14[[#This Row],[RF]],"")</f>
        <v/>
      </c>
      <c r="AN22" s="6" t="str">
        <f>IFERROR((('raw-PriceList'!#REF!/'raw-PriceList'!#REF!)-1)-Table14[[#This Row],[RF]],"")</f>
        <v/>
      </c>
      <c r="AO22" s="6">
        <f>IFERROR((('raw-PriceList'!AA21/'raw-PriceList'!AA22)-1)-Table14[[#This Row],[RF]],"")</f>
        <v>-5.9090169394710726E-3</v>
      </c>
      <c r="AP22" s="6" t="str">
        <f>IFERROR((('raw-PriceList'!#REF!/'raw-PriceList'!#REF!)-1)-Table14[[#This Row],[RF]],"")</f>
        <v/>
      </c>
      <c r="AQ22" s="6">
        <f>IFERROR((('raw-PriceList'!AB21/'raw-PriceList'!AB22)-1)-Table14[[#This Row],[RF]],"")</f>
        <v>3.3068636297616721E-2</v>
      </c>
      <c r="AR22" s="6">
        <f>IFERROR((('raw-PriceList'!AC21/'raw-PriceList'!AC22)-1)-Table14[[#This Row],[RF]],"")</f>
        <v>9.0376903300431188E-3</v>
      </c>
      <c r="AS22" s="6" t="str">
        <f>IFERROR((('raw-PriceList'!#REF!/'raw-PriceList'!#REF!)-1)-Table14[[#This Row],[RF]],"")</f>
        <v/>
      </c>
      <c r="AT22" s="6" t="str">
        <f>IFERROR((('raw-PriceList'!#REF!/'raw-PriceList'!#REF!)-1)-Table14[[#This Row],[RF]],"")</f>
        <v/>
      </c>
      <c r="AU22" s="6" t="str">
        <f>IFERROR((('raw-PriceList'!#REF!/'raw-PriceList'!#REF!)-1)-Table14[[#This Row],[RF]],"")</f>
        <v/>
      </c>
      <c r="AV22" s="6">
        <f>IFERROR((('raw-PriceList'!AD21/'raw-PriceList'!AD22)-1)-Table14[[#This Row],[RF]],"")</f>
        <v>1.2854611208152927E-2</v>
      </c>
      <c r="AW22" s="6">
        <f>IFERROR((('raw-PriceList'!AE21/'raw-PriceList'!AE22)-1)-Table14[[#This Row],[RF]],"")</f>
        <v>1.2854611208152927E-2</v>
      </c>
      <c r="AX22" s="6">
        <f>IFERROR((('raw-PriceList'!AF21/'raw-PriceList'!AF22)-1)-Table14[[#This Row],[RF]],"")</f>
        <v>1.0032459458899218E-2</v>
      </c>
      <c r="AY22" s="6">
        <f>IFERROR((('raw-PriceList'!AG21/'raw-PriceList'!AG22)-1)-Table14[[#This Row],[RF]],"")</f>
        <v>1.3326011317720071E-2</v>
      </c>
      <c r="AZ22" s="6">
        <f>IFERROR((('raw-PriceList'!AH21/'raw-PriceList'!AH22)-1)-Table14[[#This Row],[RF]],"")</f>
        <v>1.9719582539066832E-2</v>
      </c>
      <c r="BA22" s="6" t="str">
        <f>IFERROR((('raw-PriceList'!#REF!/'raw-PriceList'!#REF!)-1)-Table14[[#This Row],[RF]],"")</f>
        <v/>
      </c>
      <c r="BB22" s="6" t="str">
        <f>IFERROR((('raw-PriceList'!AI21/'raw-PriceList'!AI22)-1)-Table14[[#This Row],[RF]],"")</f>
        <v/>
      </c>
    </row>
    <row r="23" spans="1:54" x14ac:dyDescent="0.2">
      <c r="A23" s="5">
        <v>42825</v>
      </c>
      <c r="B23" s="9">
        <v>1</v>
      </c>
      <c r="C23" s="4">
        <v>1.06E-2</v>
      </c>
      <c r="D23" s="4">
        <v>1.06E-2</v>
      </c>
      <c r="E23" s="4">
        <v>1.06E-2</v>
      </c>
      <c r="F23" s="4">
        <v>1.06E-2</v>
      </c>
      <c r="G23" s="4">
        <v>1.06E-2</v>
      </c>
      <c r="H23" s="6">
        <f>IFERROR((('raw-PriceList'!B22/'raw-PriceList'!B23)-1)-Table14[[#This Row],[RF]],"")</f>
        <v>-1.5081287788158039E-2</v>
      </c>
      <c r="I23" s="6">
        <f>IFERROR((('raw-PriceList'!C22/'raw-PriceList'!C23)-1)-Table14[[#This Row],[RF]],"")</f>
        <v>-4.8464337834531208E-3</v>
      </c>
      <c r="J23" s="6">
        <f>IFERROR((('raw-PriceList'!D22/'raw-PriceList'!D23)-1)-Table14[[#This Row],[RF]],"")</f>
        <v>-1.2176278827728705E-2</v>
      </c>
      <c r="K23" s="6" t="str">
        <f>IFERROR((('raw-PriceList'!E22/'raw-PriceList'!E23)-1)-Table14[[#This Row],[RF]],"")</f>
        <v/>
      </c>
      <c r="L23" s="6" t="str">
        <f>IFERROR((('raw-PriceList'!#REF!/'raw-PriceList'!#REF!)-1)-Table14[[#This Row],[RF]],"")</f>
        <v/>
      </c>
      <c r="M23" s="6">
        <f>IFERROR((('raw-PriceList'!G22/'raw-PriceList'!G23)-1)-Table14[[#This Row],[RF]],"")</f>
        <v>-1.2854666900580293E-2</v>
      </c>
      <c r="N23" s="6">
        <f>IFERROR((('raw-PriceList'!H22/'raw-PriceList'!H23)-1)-Table14[[#This Row],[RF]],"")</f>
        <v>-5.2626324176663925E-3</v>
      </c>
      <c r="O23" s="6" t="str">
        <f>IFERROR((('raw-PriceList'!I22/'raw-PriceList'!I23)-1)-Table14[[#This Row],[RF]],"")</f>
        <v/>
      </c>
      <c r="P23" s="6">
        <f>IFERROR((('raw-PriceList'!J22/'raw-PriceList'!J23)-1)-Table14[[#This Row],[RF]],"")</f>
        <v>-8.7895224351768903E-3</v>
      </c>
      <c r="Q23" s="6">
        <f>IFERROR((('raw-PriceList'!K22/'raw-PriceList'!K23)-1)-Table14[[#This Row],[RF]],"")</f>
        <v>-1.9367632573763227E-2</v>
      </c>
      <c r="R23" s="6">
        <f>IFERROR((('raw-PriceList'!L22/'raw-PriceList'!L23)-1)-Table14[[#This Row],[RF]],"")</f>
        <v>1.5359981251782933E-3</v>
      </c>
      <c r="S23" s="6" t="str">
        <f>IFERROR((('raw-PriceList'!#REF!/'raw-PriceList'!#REF!)-1)-Table14[[#This Row],[RF]],"")</f>
        <v/>
      </c>
      <c r="T23" s="6">
        <f>IFERROR((('raw-PriceList'!M22/'raw-PriceList'!M23)-1)-Table14[[#This Row],[RF]],"")</f>
        <v>9.1047977919493355E-3</v>
      </c>
      <c r="U23" s="6">
        <f>IFERROR((('raw-PriceList'!N22/'raw-PriceList'!N23)-1)-Table14[[#This Row],[RF]],"")</f>
        <v>7.9294109424751773E-3</v>
      </c>
      <c r="V23" s="6">
        <f>IFERROR((('raw-PriceList'!O22/'raw-PriceList'!O23)-1)-Table14[[#This Row],[RF]],"")</f>
        <v>1.0446672688949108E-2</v>
      </c>
      <c r="W23" s="6">
        <f>IFERROR((('raw-PriceList'!P22/'raw-PriceList'!P23)-1)-Table14[[#This Row],[RF]],"")</f>
        <v>-1.3916283162119849E-2</v>
      </c>
      <c r="X23" s="6">
        <f>IFERROR((('raw-PriceList'!Q22/'raw-PriceList'!Q23)-1)-Table14[[#This Row],[RF]],"")</f>
        <v>-2.303875339822405E-3</v>
      </c>
      <c r="Y23" s="6" t="str">
        <f>IFERROR((('raw-PriceList'!#REF!/'raw-PriceList'!#REF!)-1)-Table14[[#This Row],[RF]],"")</f>
        <v/>
      </c>
      <c r="Z23" s="6">
        <f>IFERROR((('raw-PriceList'!R22/'raw-PriceList'!R23)-1)-Table14[[#This Row],[RF]],"")</f>
        <v>-1.1963105810074816E-2</v>
      </c>
      <c r="AA23" s="6" t="str">
        <f>IFERROR((('raw-PriceList'!#REF!/'raw-PriceList'!#REF!)-1)-Table14[[#This Row],[RF]],"")</f>
        <v/>
      </c>
      <c r="AB23" s="6" t="str">
        <f>IFERROR((('raw-PriceList'!#REF!/'raw-PriceList'!#REF!)-1)-Table14[[#This Row],[RF]],"")</f>
        <v/>
      </c>
      <c r="AC23" s="6">
        <f>IFERROR((('raw-PriceList'!S22/'raw-PriceList'!S23)-1)-Table14[[#This Row],[RF]],"")</f>
        <v>-1.5904356534416408E-2</v>
      </c>
      <c r="AD23" s="6">
        <f>IFERROR((('raw-PriceList'!T22/'raw-PriceList'!T23)-1)-Table14[[#This Row],[RF]],"")</f>
        <v>-1.6322264485711557E-2</v>
      </c>
      <c r="AE23" s="6" t="str">
        <f>IFERROR((('raw-PriceList'!#REF!/'raw-PriceList'!#REF!)-1)-Table14[[#This Row],[RF]],"")</f>
        <v/>
      </c>
      <c r="AF23" s="6">
        <f>IFERROR((('raw-PriceList'!U22/'raw-PriceList'!U23)-1)-Table14[[#This Row],[RF]],"")</f>
        <v>-1.6539131398765561E-2</v>
      </c>
      <c r="AG23" s="6">
        <f>IFERROR((('raw-PriceList'!V22/'raw-PriceList'!V23)-1)-Table14[[#This Row],[RF]],"")</f>
        <v>-2.960261912462675E-2</v>
      </c>
      <c r="AH23" s="6">
        <f>IFERROR((('raw-PriceList'!W22/'raw-PriceList'!W23)-1)-Table14[[#This Row],[RF]],"")</f>
        <v>-6.164955985113631E-3</v>
      </c>
      <c r="AI23" s="6">
        <f>IFERROR((('raw-PriceList'!X22/'raw-PriceList'!X23)-1)-Table14[[#This Row],[RF]],"")</f>
        <v>-1.1927341559695494E-2</v>
      </c>
      <c r="AJ23" s="6" t="str">
        <f>IFERROR((('raw-PriceList'!#REF!/'raw-PriceList'!#REF!)-1)-Table14[[#This Row],[RF]],"")</f>
        <v/>
      </c>
      <c r="AK23" s="6" t="str">
        <f>IFERROR((('raw-PriceList'!#REF!/'raw-PriceList'!#REF!)-1)-Table14[[#This Row],[RF]],"")</f>
        <v/>
      </c>
      <c r="AL23" s="6">
        <f>IFERROR((('raw-PriceList'!Y22/'raw-PriceList'!Y23)-1)-Table14[[#This Row],[RF]],"")</f>
        <v>-1.3399936770067513E-2</v>
      </c>
      <c r="AM23" s="6" t="str">
        <f>IFERROR((('raw-PriceList'!#REF!/'raw-PriceList'!#REF!)-1)-Table14[[#This Row],[RF]],"")</f>
        <v/>
      </c>
      <c r="AN23" s="6" t="str">
        <f>IFERROR((('raw-PriceList'!#REF!/'raw-PriceList'!#REF!)-1)-Table14[[#This Row],[RF]],"")</f>
        <v/>
      </c>
      <c r="AO23" s="6">
        <f>IFERROR((('raw-PriceList'!AA22/'raw-PriceList'!AA23)-1)-Table14[[#This Row],[RF]],"")</f>
        <v>-1.4989083612657219E-2</v>
      </c>
      <c r="AP23" s="6" t="str">
        <f>IFERROR((('raw-PriceList'!#REF!/'raw-PriceList'!#REF!)-1)-Table14[[#This Row],[RF]],"")</f>
        <v/>
      </c>
      <c r="AQ23" s="6">
        <f>IFERROR((('raw-PriceList'!AB22/'raw-PriceList'!AB23)-1)-Table14[[#This Row],[RF]],"")</f>
        <v>-1.3845229217127887E-2</v>
      </c>
      <c r="AR23" s="6">
        <f>IFERROR((('raw-PriceList'!AC22/'raw-PriceList'!AC23)-1)-Table14[[#This Row],[RF]],"")</f>
        <v>-5.8667999012461131E-3</v>
      </c>
      <c r="AS23" s="6" t="str">
        <f>IFERROR((('raw-PriceList'!#REF!/'raw-PriceList'!#REF!)-1)-Table14[[#This Row],[RF]],"")</f>
        <v/>
      </c>
      <c r="AT23" s="6" t="str">
        <f>IFERROR((('raw-PriceList'!#REF!/'raw-PriceList'!#REF!)-1)-Table14[[#This Row],[RF]],"")</f>
        <v/>
      </c>
      <c r="AU23" s="6" t="str">
        <f>IFERROR((('raw-PriceList'!#REF!/'raw-PriceList'!#REF!)-1)-Table14[[#This Row],[RF]],"")</f>
        <v/>
      </c>
      <c r="AV23" s="6">
        <f>IFERROR((('raw-PriceList'!AD22/'raw-PriceList'!AD23)-1)-Table14[[#This Row],[RF]],"")</f>
        <v>-8.8503269471438845E-3</v>
      </c>
      <c r="AW23" s="6">
        <f>IFERROR((('raw-PriceList'!AE22/'raw-PriceList'!AE23)-1)-Table14[[#This Row],[RF]],"")</f>
        <v>-8.8503269471438845E-3</v>
      </c>
      <c r="AX23" s="6">
        <f>IFERROR((('raw-PriceList'!AF22/'raw-PriceList'!AF23)-1)-Table14[[#This Row],[RF]],"")</f>
        <v>-8.340432178432668E-3</v>
      </c>
      <c r="AY23" s="6">
        <f>IFERROR((('raw-PriceList'!AG22/'raw-PriceList'!AG23)-1)-Table14[[#This Row],[RF]],"")</f>
        <v>-3.3469335896184116E-2</v>
      </c>
      <c r="AZ23" s="6">
        <f>IFERROR((('raw-PriceList'!AH22/'raw-PriceList'!AH23)-1)-Table14[[#This Row],[RF]],"")</f>
        <v>-9.4764734549196601E-4</v>
      </c>
      <c r="BA23" s="6" t="str">
        <f>IFERROR((('raw-PriceList'!#REF!/'raw-PriceList'!#REF!)-1)-Table14[[#This Row],[RF]],"")</f>
        <v/>
      </c>
      <c r="BB23" s="6" t="str">
        <f>IFERROR((('raw-PriceList'!AI22/'raw-PriceList'!AI23)-1)-Table14[[#This Row],[RF]],"")</f>
        <v/>
      </c>
    </row>
    <row r="24" spans="1:54" x14ac:dyDescent="0.2">
      <c r="A24" s="5">
        <v>42794</v>
      </c>
      <c r="B24" s="9">
        <v>1</v>
      </c>
      <c r="C24" s="4">
        <v>1.09E-2</v>
      </c>
      <c r="D24" s="4">
        <v>1.09E-2</v>
      </c>
      <c r="E24" s="4">
        <v>1.09E-2</v>
      </c>
      <c r="F24" s="4">
        <v>1.09E-2</v>
      </c>
      <c r="G24" s="4">
        <v>1.09E-2</v>
      </c>
      <c r="H24" s="6">
        <f>IFERROR((('raw-PriceList'!B23/'raw-PriceList'!B24)-1)-Table14[[#This Row],[RF]],"")</f>
        <v>-4.7204302271720358E-3</v>
      </c>
      <c r="I24" s="6">
        <f>IFERROR((('raw-PriceList'!C23/'raw-PriceList'!C24)-1)-Table14[[#This Row],[RF]],"")</f>
        <v>4.8969087339075998E-3</v>
      </c>
      <c r="J24" s="6">
        <f>IFERROR((('raw-PriceList'!D23/'raw-PriceList'!D24)-1)-Table14[[#This Row],[RF]],"")</f>
        <v>-5.8677786759483222E-3</v>
      </c>
      <c r="K24" s="6" t="str">
        <f>IFERROR((('raw-PriceList'!E23/'raw-PriceList'!E24)-1)-Table14[[#This Row],[RF]],"")</f>
        <v/>
      </c>
      <c r="L24" s="6" t="str">
        <f>IFERROR((('raw-PriceList'!#REF!/'raw-PriceList'!#REF!)-1)-Table14[[#This Row],[RF]],"")</f>
        <v/>
      </c>
      <c r="M24" s="6">
        <f>IFERROR((('raw-PriceList'!G23/'raw-PriceList'!G24)-1)-Table14[[#This Row],[RF]],"")</f>
        <v>-9.790554981450629E-3</v>
      </c>
      <c r="N24" s="6">
        <f>IFERROR((('raw-PriceList'!H23/'raw-PriceList'!H24)-1)-Table14[[#This Row],[RF]],"")</f>
        <v>2.1003934687289581E-2</v>
      </c>
      <c r="O24" s="6" t="str">
        <f>IFERROR((('raw-PriceList'!I23/'raw-PriceList'!I24)-1)-Table14[[#This Row],[RF]],"")</f>
        <v/>
      </c>
      <c r="P24" s="6">
        <f>IFERROR((('raw-PriceList'!J23/'raw-PriceList'!J24)-1)-Table14[[#This Row],[RF]],"")</f>
        <v>4.1800992253845579E-3</v>
      </c>
      <c r="Q24" s="6">
        <f>IFERROR((('raw-PriceList'!K23/'raw-PriceList'!K24)-1)-Table14[[#This Row],[RF]],"")</f>
        <v>1.8896456985514919E-2</v>
      </c>
      <c r="R24" s="6">
        <f>IFERROR((('raw-PriceList'!L23/'raw-PriceList'!L24)-1)-Table14[[#This Row],[RF]],"")</f>
        <v>-9.3139293599330056E-3</v>
      </c>
      <c r="S24" s="6" t="str">
        <f>IFERROR((('raw-PriceList'!#REF!/'raw-PriceList'!#REF!)-1)-Table14[[#This Row],[RF]],"")</f>
        <v/>
      </c>
      <c r="T24" s="6">
        <f>IFERROR((('raw-PriceList'!M23/'raw-PriceList'!M24)-1)-Table14[[#This Row],[RF]],"")</f>
        <v>-2.2084280413092829E-2</v>
      </c>
      <c r="U24" s="6">
        <f>IFERROR((('raw-PriceList'!N23/'raw-PriceList'!N24)-1)-Table14[[#This Row],[RF]],"")</f>
        <v>-7.3402662537479305E-3</v>
      </c>
      <c r="V24" s="6">
        <f>IFERROR((('raw-PriceList'!O23/'raw-PriceList'!O24)-1)-Table14[[#This Row],[RF]],"")</f>
        <v>-3.5039103621270808E-2</v>
      </c>
      <c r="W24" s="6">
        <f>IFERROR((('raw-PriceList'!P23/'raw-PriceList'!P24)-1)-Table14[[#This Row],[RF]],"")</f>
        <v>-3.1674633557375667E-3</v>
      </c>
      <c r="X24" s="6">
        <f>IFERROR((('raw-PriceList'!Q23/'raw-PriceList'!Q24)-1)-Table14[[#This Row],[RF]],"")</f>
        <v>9.8400187115545087E-3</v>
      </c>
      <c r="Y24" s="6" t="str">
        <f>IFERROR((('raw-PriceList'!#REF!/'raw-PriceList'!#REF!)-1)-Table14[[#This Row],[RF]],"")</f>
        <v/>
      </c>
      <c r="Z24" s="6">
        <f>IFERROR((('raw-PriceList'!R23/'raw-PriceList'!R24)-1)-Table14[[#This Row],[RF]],"")</f>
        <v>-8.0504043225163371E-3</v>
      </c>
      <c r="AA24" s="6" t="str">
        <f>IFERROR((('raw-PriceList'!#REF!/'raw-PriceList'!#REF!)-1)-Table14[[#This Row],[RF]],"")</f>
        <v/>
      </c>
      <c r="AB24" s="6" t="str">
        <f>IFERROR((('raw-PriceList'!#REF!/'raw-PriceList'!#REF!)-1)-Table14[[#This Row],[RF]],"")</f>
        <v/>
      </c>
      <c r="AC24" s="6">
        <f>IFERROR((('raw-PriceList'!S23/'raw-PriceList'!S24)-1)-Table14[[#This Row],[RF]],"")</f>
        <v>2.3223807250067362E-2</v>
      </c>
      <c r="AD24" s="6">
        <f>IFERROR((('raw-PriceList'!T23/'raw-PriceList'!T24)-1)-Table14[[#This Row],[RF]],"")</f>
        <v>1.9582636453464274E-2</v>
      </c>
      <c r="AE24" s="6" t="str">
        <f>IFERROR((('raw-PriceList'!#REF!/'raw-PriceList'!#REF!)-1)-Table14[[#This Row],[RF]],"")</f>
        <v/>
      </c>
      <c r="AF24" s="6">
        <f>IFERROR((('raw-PriceList'!U23/'raw-PriceList'!U24)-1)-Table14[[#This Row],[RF]],"")</f>
        <v>-6.3013266211938493E-3</v>
      </c>
      <c r="AG24" s="6">
        <f>IFERROR((('raw-PriceList'!V23/'raw-PriceList'!V24)-1)-Table14[[#This Row],[RF]],"")</f>
        <v>3.818367399387803E-2</v>
      </c>
      <c r="AH24" s="6">
        <f>IFERROR((('raw-PriceList'!W23/'raw-PriceList'!W24)-1)-Table14[[#This Row],[RF]],"")</f>
        <v>4.5624216838596951E-3</v>
      </c>
      <c r="AI24" s="6">
        <f>IFERROR((('raw-PriceList'!X23/'raw-PriceList'!X24)-1)-Table14[[#This Row],[RF]],"")</f>
        <v>-1.0840170723825794E-2</v>
      </c>
      <c r="AJ24" s="6" t="str">
        <f>IFERROR((('raw-PriceList'!#REF!/'raw-PriceList'!#REF!)-1)-Table14[[#This Row],[RF]],"")</f>
        <v/>
      </c>
      <c r="AK24" s="6" t="str">
        <f>IFERROR((('raw-PriceList'!#REF!/'raw-PriceList'!#REF!)-1)-Table14[[#This Row],[RF]],"")</f>
        <v/>
      </c>
      <c r="AL24" s="6">
        <f>IFERROR((('raw-PriceList'!Y23/'raw-PriceList'!Y24)-1)-Table14[[#This Row],[RF]],"")</f>
        <v>4.845527030189388E-3</v>
      </c>
      <c r="AM24" s="6" t="str">
        <f>IFERROR((('raw-PriceList'!#REF!/'raw-PriceList'!#REF!)-1)-Table14[[#This Row],[RF]],"")</f>
        <v/>
      </c>
      <c r="AN24" s="6" t="str">
        <f>IFERROR((('raw-PriceList'!#REF!/'raw-PriceList'!#REF!)-1)-Table14[[#This Row],[RF]],"")</f>
        <v/>
      </c>
      <c r="AO24" s="6">
        <f>IFERROR((('raw-PriceList'!AA23/'raw-PriceList'!AA24)-1)-Table14[[#This Row],[RF]],"")</f>
        <v>-7.5690055710691886E-3</v>
      </c>
      <c r="AP24" s="6" t="str">
        <f>IFERROR((('raw-PriceList'!#REF!/'raw-PriceList'!#REF!)-1)-Table14[[#This Row],[RF]],"")</f>
        <v/>
      </c>
      <c r="AQ24" s="6">
        <f>IFERROR((('raw-PriceList'!AB23/'raw-PriceList'!AB24)-1)-Table14[[#This Row],[RF]],"")</f>
        <v>2.5353896261883911E-2</v>
      </c>
      <c r="AR24" s="6">
        <f>IFERROR((('raw-PriceList'!AC23/'raw-PriceList'!AC24)-1)-Table14[[#This Row],[RF]],"")</f>
        <v>-1.0113021080322949E-2</v>
      </c>
      <c r="AS24" s="6" t="str">
        <f>IFERROR((('raw-PriceList'!#REF!/'raw-PriceList'!#REF!)-1)-Table14[[#This Row],[RF]],"")</f>
        <v/>
      </c>
      <c r="AT24" s="6" t="str">
        <f>IFERROR((('raw-PriceList'!#REF!/'raw-PriceList'!#REF!)-1)-Table14[[#This Row],[RF]],"")</f>
        <v/>
      </c>
      <c r="AU24" s="6" t="str">
        <f>IFERROR((('raw-PriceList'!#REF!/'raw-PriceList'!#REF!)-1)-Table14[[#This Row],[RF]],"")</f>
        <v/>
      </c>
      <c r="AV24" s="6">
        <f>IFERROR((('raw-PriceList'!AD23/'raw-PriceList'!AD24)-1)-Table14[[#This Row],[RF]],"")</f>
        <v>3.1349134013206811E-3</v>
      </c>
      <c r="AW24" s="6">
        <f>IFERROR((('raw-PriceList'!AE23/'raw-PriceList'!AE24)-1)-Table14[[#This Row],[RF]],"")</f>
        <v>3.1349134013206811E-3</v>
      </c>
      <c r="AX24" s="6">
        <f>IFERROR((('raw-PriceList'!AF23/'raw-PriceList'!AF24)-1)-Table14[[#This Row],[RF]],"")</f>
        <v>7.5075529213676426E-3</v>
      </c>
      <c r="AY24" s="6">
        <f>IFERROR((('raw-PriceList'!AG23/'raw-PriceList'!AG24)-1)-Table14[[#This Row],[RF]],"")</f>
        <v>-4.1558061220816601E-2</v>
      </c>
      <c r="AZ24" s="6">
        <f>IFERROR((('raw-PriceList'!AH23/'raw-PriceList'!AH24)-1)-Table14[[#This Row],[RF]],"")</f>
        <v>1.1230948792322691E-2</v>
      </c>
      <c r="BA24" s="6" t="str">
        <f>IFERROR((('raw-PriceList'!#REF!/'raw-PriceList'!#REF!)-1)-Table14[[#This Row],[RF]],"")</f>
        <v/>
      </c>
      <c r="BB24" s="6" t="str">
        <f>IFERROR((('raw-PriceList'!AI23/'raw-PriceList'!AI24)-1)-Table14[[#This Row],[RF]],"")</f>
        <v/>
      </c>
    </row>
    <row r="25" spans="1:54" x14ac:dyDescent="0.2">
      <c r="A25" s="5">
        <v>42766</v>
      </c>
      <c r="B25" s="9">
        <v>1</v>
      </c>
      <c r="C25" s="4">
        <v>1.7000000000000001E-3</v>
      </c>
      <c r="D25" s="4">
        <v>1.7000000000000001E-3</v>
      </c>
      <c r="E25" s="4">
        <v>1.7000000000000001E-3</v>
      </c>
      <c r="F25" s="4">
        <v>1.7000000000000001E-3</v>
      </c>
      <c r="G25" s="4">
        <v>1.7000000000000001E-3</v>
      </c>
      <c r="H25" s="6">
        <f>IFERROR((('raw-PriceList'!B24/'raw-PriceList'!B25)-1)-Table14[[#This Row],[RF]],"")</f>
        <v>7.6096624390720527E-3</v>
      </c>
      <c r="I25" s="6">
        <f>IFERROR((('raw-PriceList'!C24/'raw-PriceList'!C25)-1)-Table14[[#This Row],[RF]],"")</f>
        <v>1.0850078588621227E-2</v>
      </c>
      <c r="J25" s="6">
        <f>IFERROR((('raw-PriceList'!D24/'raw-PriceList'!D25)-1)-Table14[[#This Row],[RF]],"")</f>
        <v>4.07229088241471E-3</v>
      </c>
      <c r="K25" s="6" t="str">
        <f>IFERROR((('raw-PriceList'!E24/'raw-PriceList'!E25)-1)-Table14[[#This Row],[RF]],"")</f>
        <v/>
      </c>
      <c r="L25" s="6" t="str">
        <f>IFERROR((('raw-PriceList'!#REF!/'raw-PriceList'!#REF!)-1)-Table14[[#This Row],[RF]],"")</f>
        <v/>
      </c>
      <c r="M25" s="6">
        <f>IFERROR((('raw-PriceList'!G24/'raw-PriceList'!G25)-1)-Table14[[#This Row],[RF]],"")</f>
        <v>1.0773645230413367E-3</v>
      </c>
      <c r="N25" s="6">
        <f>IFERROR((('raw-PriceList'!H24/'raw-PriceList'!H25)-1)-Table14[[#This Row],[RF]],"")</f>
        <v>1.6841547717737083E-2</v>
      </c>
      <c r="O25" s="6" t="str">
        <f>IFERROR((('raw-PriceList'!I24/'raw-PriceList'!I25)-1)-Table14[[#This Row],[RF]],"")</f>
        <v/>
      </c>
      <c r="P25" s="6">
        <f>IFERROR((('raw-PriceList'!J24/'raw-PriceList'!J25)-1)-Table14[[#This Row],[RF]],"")</f>
        <v>8.9857318573183589E-3</v>
      </c>
      <c r="Q25" s="6">
        <f>IFERROR((('raw-PriceList'!K24/'raw-PriceList'!K25)-1)-Table14[[#This Row],[RF]],"")</f>
        <v>2.2454619152196632E-2</v>
      </c>
      <c r="R25" s="6">
        <f>IFERROR((('raw-PriceList'!L24/'raw-PriceList'!L25)-1)-Table14[[#This Row],[RF]],"")</f>
        <v>-3.2835590036243908E-3</v>
      </c>
      <c r="S25" s="6" t="str">
        <f>IFERROR((('raw-PriceList'!#REF!/'raw-PriceList'!#REF!)-1)-Table14[[#This Row],[RF]],"")</f>
        <v/>
      </c>
      <c r="T25" s="6">
        <f>IFERROR((('raw-PriceList'!M24/'raw-PriceList'!M25)-1)-Table14[[#This Row],[RF]],"")</f>
        <v>6.8760652557043125E-3</v>
      </c>
      <c r="U25" s="6">
        <f>IFERROR((('raw-PriceList'!N24/'raw-PriceList'!N25)-1)-Table14[[#This Row],[RF]],"")</f>
        <v>1.1939369017352854E-2</v>
      </c>
      <c r="V25" s="6">
        <f>IFERROR((('raw-PriceList'!O24/'raw-PriceList'!O25)-1)-Table14[[#This Row],[RF]],"")</f>
        <v>2.4528986247492127E-3</v>
      </c>
      <c r="W25" s="6">
        <f>IFERROR((('raw-PriceList'!P24/'raw-PriceList'!P25)-1)-Table14[[#This Row],[RF]],"")</f>
        <v>7.1976724257592287E-3</v>
      </c>
      <c r="X25" s="6">
        <f>IFERROR((('raw-PriceList'!Q24/'raw-PriceList'!Q25)-1)-Table14[[#This Row],[RF]],"")</f>
        <v>6.617378945012832E-3</v>
      </c>
      <c r="Y25" s="6" t="str">
        <f>IFERROR((('raw-PriceList'!#REF!/'raw-PriceList'!#REF!)-1)-Table14[[#This Row],[RF]],"")</f>
        <v/>
      </c>
      <c r="Z25" s="6">
        <f>IFERROR((('raw-PriceList'!R24/'raw-PriceList'!R25)-1)-Table14[[#This Row],[RF]],"")</f>
        <v>5.4840928397762584E-4</v>
      </c>
      <c r="AA25" s="6" t="str">
        <f>IFERROR((('raw-PriceList'!#REF!/'raw-PriceList'!#REF!)-1)-Table14[[#This Row],[RF]],"")</f>
        <v/>
      </c>
      <c r="AB25" s="6" t="str">
        <f>IFERROR((('raw-PriceList'!#REF!/'raw-PriceList'!#REF!)-1)-Table14[[#This Row],[RF]],"")</f>
        <v/>
      </c>
      <c r="AC25" s="6">
        <f>IFERROR((('raw-PriceList'!S24/'raw-PriceList'!S25)-1)-Table14[[#This Row],[RF]],"")</f>
        <v>2.0426675957787389E-2</v>
      </c>
      <c r="AD25" s="6">
        <f>IFERROR((('raw-PriceList'!T24/'raw-PriceList'!T25)-1)-Table14[[#This Row],[RF]],"")</f>
        <v>1.9224341531685098E-2</v>
      </c>
      <c r="AE25" s="6" t="str">
        <f>IFERROR((('raw-PriceList'!#REF!/'raw-PriceList'!#REF!)-1)-Table14[[#This Row],[RF]],"")</f>
        <v/>
      </c>
      <c r="AF25" s="6">
        <f>IFERROR((('raw-PriceList'!U24/'raw-PriceList'!U25)-1)-Table14[[#This Row],[RF]],"")</f>
        <v>4.9501618964334151E-3</v>
      </c>
      <c r="AG25" s="6">
        <f>IFERROR((('raw-PriceList'!V24/'raw-PriceList'!V25)-1)-Table14[[#This Row],[RF]],"")</f>
        <v>3.7265675177902836E-2</v>
      </c>
      <c r="AH25" s="6">
        <f>IFERROR((('raw-PriceList'!W24/'raw-PriceList'!W25)-1)-Table14[[#This Row],[RF]],"")</f>
        <v>1.2170665140433447E-2</v>
      </c>
      <c r="AI25" s="6">
        <f>IFERROR((('raw-PriceList'!X24/'raw-PriceList'!X25)-1)-Table14[[#This Row],[RF]],"")</f>
        <v>-8.2727662764555537E-4</v>
      </c>
      <c r="AJ25" s="6" t="str">
        <f>IFERROR((('raw-PriceList'!#REF!/'raw-PriceList'!#REF!)-1)-Table14[[#This Row],[RF]],"")</f>
        <v/>
      </c>
      <c r="AK25" s="6" t="str">
        <f>IFERROR((('raw-PriceList'!#REF!/'raw-PriceList'!#REF!)-1)-Table14[[#This Row],[RF]],"")</f>
        <v/>
      </c>
      <c r="AL25" s="6">
        <f>IFERROR((('raw-PriceList'!Y24/'raw-PriceList'!Y25)-1)-Table14[[#This Row],[RF]],"")</f>
        <v>1.5543756394596188E-2</v>
      </c>
      <c r="AM25" s="6" t="str">
        <f>IFERROR((('raw-PriceList'!#REF!/'raw-PriceList'!#REF!)-1)-Table14[[#This Row],[RF]],"")</f>
        <v/>
      </c>
      <c r="AN25" s="6" t="str">
        <f>IFERROR((('raw-PriceList'!#REF!/'raw-PriceList'!#REF!)-1)-Table14[[#This Row],[RF]],"")</f>
        <v/>
      </c>
      <c r="AO25" s="6">
        <f>IFERROR((('raw-PriceList'!AA24/'raw-PriceList'!AA25)-1)-Table14[[#This Row],[RF]],"")</f>
        <v>1.9894165455616522E-3</v>
      </c>
      <c r="AP25" s="6" t="str">
        <f>IFERROR((('raw-PriceList'!#REF!/'raw-PriceList'!#REF!)-1)-Table14[[#This Row],[RF]],"")</f>
        <v/>
      </c>
      <c r="AQ25" s="6">
        <f>IFERROR((('raw-PriceList'!AB24/'raw-PriceList'!AB25)-1)-Table14[[#This Row],[RF]],"")</f>
        <v>2.0794820333395005E-2</v>
      </c>
      <c r="AR25" s="6">
        <f>IFERROR((('raw-PriceList'!AC24/'raw-PriceList'!AC25)-1)-Table14[[#This Row],[RF]],"")</f>
        <v>2.271028341204441E-3</v>
      </c>
      <c r="AS25" s="6" t="str">
        <f>IFERROR((('raw-PriceList'!#REF!/'raw-PriceList'!#REF!)-1)-Table14[[#This Row],[RF]],"")</f>
        <v/>
      </c>
      <c r="AT25" s="6" t="str">
        <f>IFERROR((('raw-PriceList'!#REF!/'raw-PriceList'!#REF!)-1)-Table14[[#This Row],[RF]],"")</f>
        <v/>
      </c>
      <c r="AU25" s="6" t="str">
        <f>IFERROR((('raw-PriceList'!#REF!/'raw-PriceList'!#REF!)-1)-Table14[[#This Row],[RF]],"")</f>
        <v/>
      </c>
      <c r="AV25" s="6">
        <f>IFERROR((('raw-PriceList'!AD24/'raw-PriceList'!AD25)-1)-Table14[[#This Row],[RF]],"")</f>
        <v>8.6831339880444683E-3</v>
      </c>
      <c r="AW25" s="6">
        <f>IFERROR((('raw-PriceList'!AE24/'raw-PriceList'!AE25)-1)-Table14[[#This Row],[RF]],"")</f>
        <v>8.6831339880444683E-3</v>
      </c>
      <c r="AX25" s="6">
        <f>IFERROR((('raw-PriceList'!AF24/'raw-PriceList'!AF25)-1)-Table14[[#This Row],[RF]],"")</f>
        <v>1.9067851072268417E-2</v>
      </c>
      <c r="AY25" s="6">
        <f>IFERROR((('raw-PriceList'!AG24/'raw-PriceList'!AG25)-1)-Table14[[#This Row],[RF]],"")</f>
        <v>2.0230214751733068E-2</v>
      </c>
      <c r="AZ25" s="6">
        <f>IFERROR((('raw-PriceList'!AH24/'raw-PriceList'!AH25)-1)-Table14[[#This Row],[RF]],"")</f>
        <v>5.8831561833712423E-3</v>
      </c>
      <c r="BA25" s="6" t="str">
        <f>IFERROR((('raw-PriceList'!#REF!/'raw-PriceList'!#REF!)-1)-Table14[[#This Row],[RF]],"")</f>
        <v/>
      </c>
      <c r="BB25" s="6" t="str">
        <f>IFERROR((('raw-PriceList'!AI24/'raw-PriceList'!AI25)-1)-Table14[[#This Row],[RF]],"")</f>
        <v/>
      </c>
    </row>
    <row r="26" spans="1:54" x14ac:dyDescent="0.2">
      <c r="A26" s="5">
        <v>42735</v>
      </c>
      <c r="B26" s="9">
        <v>1</v>
      </c>
      <c r="C26" s="4">
        <v>3.5699999999999996E-2</v>
      </c>
      <c r="D26" s="4">
        <v>3.5699999999999996E-2</v>
      </c>
      <c r="E26" s="4">
        <v>3.5699999999999996E-2</v>
      </c>
      <c r="F26" s="4">
        <v>3.5699999999999996E-2</v>
      </c>
      <c r="G26" s="4">
        <v>3.5699999999999996E-2</v>
      </c>
      <c r="H26" s="6">
        <f>IFERROR((('raw-PriceList'!B25/'raw-PriceList'!B26)-1)-Table14[[#This Row],[RF]],"")</f>
        <v>-3.7737795600018262E-2</v>
      </c>
      <c r="I26" s="6">
        <f>IFERROR((('raw-PriceList'!C25/'raw-PriceList'!C26)-1)-Table14[[#This Row],[RF]],"")</f>
        <v>-4.5694343985932903E-2</v>
      </c>
      <c r="J26" s="6">
        <f>IFERROR((('raw-PriceList'!D25/'raw-PriceList'!D26)-1)-Table14[[#This Row],[RF]],"")</f>
        <v>-3.8051498808254799E-2</v>
      </c>
      <c r="K26" s="6" t="str">
        <f>IFERROR((('raw-PriceList'!E25/'raw-PriceList'!E26)-1)-Table14[[#This Row],[RF]],"")</f>
        <v/>
      </c>
      <c r="L26" s="6" t="str">
        <f>IFERROR((('raw-PriceList'!#REF!/'raw-PriceList'!#REF!)-1)-Table14[[#This Row],[RF]],"")</f>
        <v/>
      </c>
      <c r="M26" s="6">
        <f>IFERROR((('raw-PriceList'!G25/'raw-PriceList'!G26)-1)-Table14[[#This Row],[RF]],"")</f>
        <v>-3.5836209161082141E-2</v>
      </c>
      <c r="N26" s="6">
        <f>IFERROR((('raw-PriceList'!H25/'raw-PriceList'!H26)-1)-Table14[[#This Row],[RF]],"")</f>
        <v>-5.1516235633557936E-2</v>
      </c>
      <c r="O26" s="6" t="str">
        <f>IFERROR((('raw-PriceList'!I25/'raw-PriceList'!I26)-1)-Table14[[#This Row],[RF]],"")</f>
        <v/>
      </c>
      <c r="P26" s="6">
        <f>IFERROR((('raw-PriceList'!J25/'raw-PriceList'!J26)-1)-Table14[[#This Row],[RF]],"")</f>
        <v>-3.8412413107873841E-2</v>
      </c>
      <c r="Q26" s="6">
        <f>IFERROR((('raw-PriceList'!K25/'raw-PriceList'!K26)-1)-Table14[[#This Row],[RF]],"")</f>
        <v>-2.321837392301955E-2</v>
      </c>
      <c r="R26" s="6">
        <f>IFERROR((('raw-PriceList'!L25/'raw-PriceList'!L26)-1)-Table14[[#This Row],[RF]],"")</f>
        <v>-5.1812940617046596E-2</v>
      </c>
      <c r="S26" s="6" t="str">
        <f>IFERROR((('raw-PriceList'!#REF!/'raw-PriceList'!#REF!)-1)-Table14[[#This Row],[RF]],"")</f>
        <v/>
      </c>
      <c r="T26" s="6">
        <f>IFERROR((('raw-PriceList'!M25/'raw-PriceList'!M26)-1)-Table14[[#This Row],[RF]],"")</f>
        <v>-4.0858980618032767E-2</v>
      </c>
      <c r="U26" s="6">
        <f>IFERROR((('raw-PriceList'!N25/'raw-PriceList'!N26)-1)-Table14[[#This Row],[RF]],"")</f>
        <v>-3.3665037687587482E-2</v>
      </c>
      <c r="V26" s="6">
        <f>IFERROR((('raw-PriceList'!O25/'raw-PriceList'!O26)-1)-Table14[[#This Row],[RF]],"")</f>
        <v>-4.6933427525378366E-2</v>
      </c>
      <c r="W26" s="6">
        <f>IFERROR((('raw-PriceList'!P25/'raw-PriceList'!P26)-1)-Table14[[#This Row],[RF]],"")</f>
        <v>-3.8475712544101134E-2</v>
      </c>
      <c r="X26" s="6">
        <f>IFERROR((('raw-PriceList'!Q25/'raw-PriceList'!Q26)-1)-Table14[[#This Row],[RF]],"")</f>
        <v>-4.5919272547036691E-2</v>
      </c>
      <c r="Y26" s="6" t="str">
        <f>IFERROR((('raw-PriceList'!#REF!/'raw-PriceList'!#REF!)-1)-Table14[[#This Row],[RF]],"")</f>
        <v/>
      </c>
      <c r="Z26" s="6">
        <f>IFERROR((('raw-PriceList'!R25/'raw-PriceList'!R26)-1)-Table14[[#This Row],[RF]],"")</f>
        <v>-3.6335405867691281E-2</v>
      </c>
      <c r="AA26" s="6" t="str">
        <f>IFERROR((('raw-PriceList'!#REF!/'raw-PriceList'!#REF!)-1)-Table14[[#This Row],[RF]],"")</f>
        <v/>
      </c>
      <c r="AB26" s="6" t="str">
        <f>IFERROR((('raw-PriceList'!#REF!/'raw-PriceList'!#REF!)-1)-Table14[[#This Row],[RF]],"")</f>
        <v/>
      </c>
      <c r="AC26" s="6">
        <f>IFERROR((('raw-PriceList'!S25/'raw-PriceList'!S26)-1)-Table14[[#This Row],[RF]],"")</f>
        <v>-9.0957598520823718E-3</v>
      </c>
      <c r="AD26" s="6">
        <f>IFERROR((('raw-PriceList'!T25/'raw-PriceList'!T26)-1)-Table14[[#This Row],[RF]],"")</f>
        <v>-9.0755574214972795E-3</v>
      </c>
      <c r="AE26" s="6" t="str">
        <f>IFERROR((('raw-PriceList'!#REF!/'raw-PriceList'!#REF!)-1)-Table14[[#This Row],[RF]],"")</f>
        <v/>
      </c>
      <c r="AF26" s="6">
        <f>IFERROR((('raw-PriceList'!U25/'raw-PriceList'!U26)-1)-Table14[[#This Row],[RF]],"")</f>
        <v>-3.6437878263604159E-2</v>
      </c>
      <c r="AG26" s="6">
        <f>IFERROR((('raw-PriceList'!V25/'raw-PriceList'!V26)-1)-Table14[[#This Row],[RF]],"")</f>
        <v>2.987019216922196E-3</v>
      </c>
      <c r="AH26" s="6">
        <f>IFERROR((('raw-PriceList'!W25/'raw-PriceList'!W26)-1)-Table14[[#This Row],[RF]],"")</f>
        <v>-4.4361393550298819E-2</v>
      </c>
      <c r="AI26" s="6">
        <f>IFERROR((('raw-PriceList'!X25/'raw-PriceList'!X26)-1)-Table14[[#This Row],[RF]],"")</f>
        <v>-3.5894741422372298E-2</v>
      </c>
      <c r="AJ26" s="6" t="str">
        <f>IFERROR((('raw-PriceList'!#REF!/'raw-PriceList'!#REF!)-1)-Table14[[#This Row],[RF]],"")</f>
        <v/>
      </c>
      <c r="AK26" s="6" t="str">
        <f>IFERROR((('raw-PriceList'!#REF!/'raw-PriceList'!#REF!)-1)-Table14[[#This Row],[RF]],"")</f>
        <v/>
      </c>
      <c r="AL26" s="6">
        <f>IFERROR((('raw-PriceList'!Y25/'raw-PriceList'!Y26)-1)-Table14[[#This Row],[RF]],"")</f>
        <v>-4.1137409523489363E-2</v>
      </c>
      <c r="AM26" s="6" t="str">
        <f>IFERROR((('raw-PriceList'!#REF!/'raw-PriceList'!#REF!)-1)-Table14[[#This Row],[RF]],"")</f>
        <v/>
      </c>
      <c r="AN26" s="6" t="str">
        <f>IFERROR((('raw-PriceList'!#REF!/'raw-PriceList'!#REF!)-1)-Table14[[#This Row],[RF]],"")</f>
        <v/>
      </c>
      <c r="AO26" s="6">
        <f>IFERROR((('raw-PriceList'!AA25/'raw-PriceList'!AA26)-1)-Table14[[#This Row],[RF]],"")</f>
        <v>-3.6430191000690823E-2</v>
      </c>
      <c r="AP26" s="6" t="str">
        <f>IFERROR((('raw-PriceList'!#REF!/'raw-PriceList'!#REF!)-1)-Table14[[#This Row],[RF]],"")</f>
        <v/>
      </c>
      <c r="AQ26" s="6">
        <f>IFERROR((('raw-PriceList'!AB25/'raw-PriceList'!AB26)-1)-Table14[[#This Row],[RF]],"")</f>
        <v>-2.3153900775286271E-2</v>
      </c>
      <c r="AR26" s="6">
        <f>IFERROR((('raw-PriceList'!AC25/'raw-PriceList'!AC26)-1)-Table14[[#This Row],[RF]],"")</f>
        <v>-4.2712740383327216E-2</v>
      </c>
      <c r="AS26" s="6" t="str">
        <f>IFERROR((('raw-PriceList'!#REF!/'raw-PriceList'!#REF!)-1)-Table14[[#This Row],[RF]],"")</f>
        <v/>
      </c>
      <c r="AT26" s="6" t="str">
        <f>IFERROR((('raw-PriceList'!#REF!/'raw-PriceList'!#REF!)-1)-Table14[[#This Row],[RF]],"")</f>
        <v/>
      </c>
      <c r="AU26" s="6" t="str">
        <f>IFERROR((('raw-PriceList'!#REF!/'raw-PriceList'!#REF!)-1)-Table14[[#This Row],[RF]],"")</f>
        <v/>
      </c>
      <c r="AV26" s="6">
        <f>IFERROR((('raw-PriceList'!AD25/'raw-PriceList'!AD26)-1)-Table14[[#This Row],[RF]],"")</f>
        <v>-3.9083798021111435E-2</v>
      </c>
      <c r="AW26" s="6">
        <f>IFERROR((('raw-PriceList'!AE25/'raw-PriceList'!AE26)-1)-Table14[[#This Row],[RF]],"")</f>
        <v>-3.9083798021111435E-2</v>
      </c>
      <c r="AX26" s="6">
        <f>IFERROR((('raw-PriceList'!AF25/'raw-PriceList'!AF26)-1)-Table14[[#This Row],[RF]],"")</f>
        <v>-3.3911611620400503E-2</v>
      </c>
      <c r="AY26" s="6">
        <f>IFERROR((('raw-PriceList'!AG25/'raw-PriceList'!AG26)-1)-Table14[[#This Row],[RF]],"")</f>
        <v>-6.5060295706493673E-2</v>
      </c>
      <c r="AZ26" s="6">
        <f>IFERROR((('raw-PriceList'!AH25/'raw-PriceList'!AH26)-1)-Table14[[#This Row],[RF]],"")</f>
        <v>-1.9830011385243138E-2</v>
      </c>
      <c r="BA26" s="6" t="str">
        <f>IFERROR((('raw-PriceList'!#REF!/'raw-PriceList'!#REF!)-1)-Table14[[#This Row],[RF]],"")</f>
        <v/>
      </c>
      <c r="BB26" s="6" t="str">
        <f>IFERROR((('raw-PriceList'!AI25/'raw-PriceList'!AI26)-1)-Table14[[#This Row],[RF]],"")</f>
        <v/>
      </c>
    </row>
    <row r="27" spans="1:54" x14ac:dyDescent="0.2">
      <c r="A27" s="5">
        <v>42704</v>
      </c>
      <c r="B27" s="9">
        <v>1</v>
      </c>
      <c r="C27" s="4">
        <v>1.9400000000000001E-2</v>
      </c>
      <c r="D27" s="4">
        <v>1.9400000000000001E-2</v>
      </c>
      <c r="E27" s="4">
        <v>1.9400000000000001E-2</v>
      </c>
      <c r="F27" s="4">
        <v>1.9400000000000001E-2</v>
      </c>
      <c r="G27" s="4">
        <v>1.9400000000000001E-2</v>
      </c>
      <c r="H27" s="6">
        <f>IFERROR((('raw-PriceList'!B26/'raw-PriceList'!B27)-1)-Table14[[#This Row],[RF]],"")</f>
        <v>-1.4096526458212161E-2</v>
      </c>
      <c r="I27" s="6">
        <f>IFERROR((('raw-PriceList'!C26/'raw-PriceList'!C27)-1)-Table14[[#This Row],[RF]],"")</f>
        <v>-4.7160670435439089E-3</v>
      </c>
      <c r="J27" s="6">
        <f>IFERROR((('raw-PriceList'!D26/'raw-PriceList'!D27)-1)-Table14[[#This Row],[RF]],"")</f>
        <v>-1.532000773893874E-2</v>
      </c>
      <c r="K27" s="6" t="str">
        <f>IFERROR((('raw-PriceList'!E26/'raw-PriceList'!E27)-1)-Table14[[#This Row],[RF]],"")</f>
        <v/>
      </c>
      <c r="L27" s="6" t="str">
        <f>IFERROR((('raw-PriceList'!#REF!/'raw-PriceList'!#REF!)-1)-Table14[[#This Row],[RF]],"")</f>
        <v/>
      </c>
      <c r="M27" s="6">
        <f>IFERROR((('raw-PriceList'!G26/'raw-PriceList'!G27)-1)-Table14[[#This Row],[RF]],"")</f>
        <v>-1.8758427293446595E-2</v>
      </c>
      <c r="N27" s="6">
        <f>IFERROR((('raw-PriceList'!H26/'raw-PriceList'!H27)-1)-Table14[[#This Row],[RF]],"")</f>
        <v>-1.0242006786578828E-4</v>
      </c>
      <c r="O27" s="6" t="str">
        <f>IFERROR((('raw-PriceList'!I26/'raw-PriceList'!I27)-1)-Table14[[#This Row],[RF]],"")</f>
        <v/>
      </c>
      <c r="P27" s="6">
        <f>IFERROR((('raw-PriceList'!J26/'raw-PriceList'!J27)-1)-Table14[[#This Row],[RF]],"")</f>
        <v>2.1371032547843644E-2</v>
      </c>
      <c r="Q27" s="6">
        <f>IFERROR((('raw-PriceList'!K26/'raw-PriceList'!K27)-1)-Table14[[#This Row],[RF]],"")</f>
        <v>2.7774349025953743E-2</v>
      </c>
      <c r="R27" s="6">
        <f>IFERROR((('raw-PriceList'!L26/'raw-PriceList'!L27)-1)-Table14[[#This Row],[RF]],"")</f>
        <v>1.6778760494528727E-2</v>
      </c>
      <c r="S27" s="6" t="str">
        <f>IFERROR((('raw-PriceList'!#REF!/'raw-PriceList'!#REF!)-1)-Table14[[#This Row],[RF]],"")</f>
        <v/>
      </c>
      <c r="T27" s="6">
        <f>IFERROR((('raw-PriceList'!M26/'raw-PriceList'!M27)-1)-Table14[[#This Row],[RF]],"")</f>
        <v>3.7164023309531335E-3</v>
      </c>
      <c r="U27" s="6">
        <f>IFERROR((('raw-PriceList'!N26/'raw-PriceList'!N27)-1)-Table14[[#This Row],[RF]],"")</f>
        <v>7.1664773685887473E-3</v>
      </c>
      <c r="V27" s="6">
        <f>IFERROR((('raw-PriceList'!O26/'raw-PriceList'!O27)-1)-Table14[[#This Row],[RF]],"")</f>
        <v>8.5747665780741555E-4</v>
      </c>
      <c r="W27" s="6">
        <f>IFERROR((('raw-PriceList'!P26/'raw-PriceList'!P27)-1)-Table14[[#This Row],[RF]],"")</f>
        <v>-1.2074318551605373E-2</v>
      </c>
      <c r="X27" s="6">
        <f>IFERROR((('raw-PriceList'!Q26/'raw-PriceList'!Q27)-1)-Table14[[#This Row],[RF]],"")</f>
        <v>-3.625868493137091E-3</v>
      </c>
      <c r="Y27" s="6" t="str">
        <f>IFERROR((('raw-PriceList'!#REF!/'raw-PriceList'!#REF!)-1)-Table14[[#This Row],[RF]],"")</f>
        <v/>
      </c>
      <c r="Z27" s="6">
        <f>IFERROR((('raw-PriceList'!R26/'raw-PriceList'!R27)-1)-Table14[[#This Row],[RF]],"")</f>
        <v>-1.7259360862726419E-2</v>
      </c>
      <c r="AA27" s="6" t="str">
        <f>IFERROR((('raw-PriceList'!#REF!/'raw-PriceList'!#REF!)-1)-Table14[[#This Row],[RF]],"")</f>
        <v/>
      </c>
      <c r="AB27" s="6" t="str">
        <f>IFERROR((('raw-PriceList'!#REF!/'raw-PriceList'!#REF!)-1)-Table14[[#This Row],[RF]],"")</f>
        <v/>
      </c>
      <c r="AC27" s="6">
        <f>IFERROR((('raw-PriceList'!S26/'raw-PriceList'!S27)-1)-Table14[[#This Row],[RF]],"")</f>
        <v>-8.8208025343189667E-3</v>
      </c>
      <c r="AD27" s="6">
        <f>IFERROR((('raw-PriceList'!T26/'raw-PriceList'!T27)-1)-Table14[[#This Row],[RF]],"")</f>
        <v>-6.8013961355241348E-3</v>
      </c>
      <c r="AE27" s="6" t="str">
        <f>IFERROR((('raw-PriceList'!#REF!/'raw-PriceList'!#REF!)-1)-Table14[[#This Row],[RF]],"")</f>
        <v/>
      </c>
      <c r="AF27" s="6">
        <f>IFERROR((('raw-PriceList'!U26/'raw-PriceList'!U27)-1)-Table14[[#This Row],[RF]],"")</f>
        <v>-1.6108760281519224E-2</v>
      </c>
      <c r="AG27" s="6">
        <f>IFERROR((('raw-PriceList'!V26/'raw-PriceList'!V27)-1)-Table14[[#This Row],[RF]],"")</f>
        <v>-1.3537368874327355E-2</v>
      </c>
      <c r="AH27" s="6">
        <f>IFERROR((('raw-PriceList'!W26/'raw-PriceList'!W27)-1)-Table14[[#This Row],[RF]],"")</f>
        <v>-4.8709650711346308E-3</v>
      </c>
      <c r="AI27" s="6">
        <f>IFERROR((('raw-PriceList'!X26/'raw-PriceList'!X27)-1)-Table14[[#This Row],[RF]],"")</f>
        <v>-1.9382729558705597E-2</v>
      </c>
      <c r="AJ27" s="6" t="str">
        <f>IFERROR((('raw-PriceList'!#REF!/'raw-PriceList'!#REF!)-1)-Table14[[#This Row],[RF]],"")</f>
        <v/>
      </c>
      <c r="AK27" s="6" t="str">
        <f>IFERROR((('raw-PriceList'!#REF!/'raw-PriceList'!#REF!)-1)-Table14[[#This Row],[RF]],"")</f>
        <v/>
      </c>
      <c r="AL27" s="6">
        <f>IFERROR((('raw-PriceList'!Y26/'raw-PriceList'!Y27)-1)-Table14[[#This Row],[RF]],"")</f>
        <v>2.3876794534730322E-2</v>
      </c>
      <c r="AM27" s="6" t="str">
        <f>IFERROR((('raw-PriceList'!#REF!/'raw-PriceList'!#REF!)-1)-Table14[[#This Row],[RF]],"")</f>
        <v/>
      </c>
      <c r="AN27" s="6" t="str">
        <f>IFERROR((('raw-PriceList'!#REF!/'raw-PriceList'!#REF!)-1)-Table14[[#This Row],[RF]],"")</f>
        <v/>
      </c>
      <c r="AO27" s="6">
        <f>IFERROR((('raw-PriceList'!AA26/'raw-PriceList'!AA27)-1)-Table14[[#This Row],[RF]],"")</f>
        <v>-1.5943755267938148E-2</v>
      </c>
      <c r="AP27" s="6" t="str">
        <f>IFERROR((('raw-PriceList'!#REF!/'raw-PriceList'!#REF!)-1)-Table14[[#This Row],[RF]],"")</f>
        <v/>
      </c>
      <c r="AQ27" s="6">
        <f>IFERROR((('raw-PriceList'!AB26/'raw-PriceList'!AB27)-1)-Table14[[#This Row],[RF]],"")</f>
        <v>7.3825980359623899E-3</v>
      </c>
      <c r="AR27" s="6">
        <f>IFERROR((('raw-PriceList'!AC26/'raw-PriceList'!AC27)-1)-Table14[[#This Row],[RF]],"")</f>
        <v>1.4143472021510867E-2</v>
      </c>
      <c r="AS27" s="6" t="str">
        <f>IFERROR((('raw-PriceList'!#REF!/'raw-PriceList'!#REF!)-1)-Table14[[#This Row],[RF]],"")</f>
        <v/>
      </c>
      <c r="AT27" s="6" t="str">
        <f>IFERROR((('raw-PriceList'!#REF!/'raw-PriceList'!#REF!)-1)-Table14[[#This Row],[RF]],"")</f>
        <v/>
      </c>
      <c r="AU27" s="6" t="str">
        <f>IFERROR((('raw-PriceList'!#REF!/'raw-PriceList'!#REF!)-1)-Table14[[#This Row],[RF]],"")</f>
        <v/>
      </c>
      <c r="AV27" s="6">
        <f>IFERROR((('raw-PriceList'!AD26/'raw-PriceList'!AD27)-1)-Table14[[#This Row],[RF]],"")</f>
        <v>1.9449978278777674E-2</v>
      </c>
      <c r="AW27" s="6">
        <f>IFERROR((('raw-PriceList'!AE26/'raw-PriceList'!AE27)-1)-Table14[[#This Row],[RF]],"")</f>
        <v>1.9449978278777674E-2</v>
      </c>
      <c r="AX27" s="6">
        <f>IFERROR((('raw-PriceList'!AF26/'raw-PriceList'!AF27)-1)-Table14[[#This Row],[RF]],"")</f>
        <v>8.6096354064811587E-3</v>
      </c>
      <c r="AY27" s="6">
        <f>IFERROR((('raw-PriceList'!AG26/'raw-PriceList'!AG27)-1)-Table14[[#This Row],[RF]],"")</f>
        <v>-4.718332872955236E-2</v>
      </c>
      <c r="AZ27" s="6">
        <f>IFERROR((('raw-PriceList'!AH26/'raw-PriceList'!AH27)-1)-Table14[[#This Row],[RF]],"")</f>
        <v>2.101643407944026E-3</v>
      </c>
      <c r="BA27" s="6" t="str">
        <f>IFERROR((('raw-PriceList'!#REF!/'raw-PriceList'!#REF!)-1)-Table14[[#This Row],[RF]],"")</f>
        <v/>
      </c>
      <c r="BB27" s="6" t="str">
        <f>IFERROR((('raw-PriceList'!AI26/'raw-PriceList'!AI27)-1)-Table14[[#This Row],[RF]],"")</f>
        <v/>
      </c>
    </row>
    <row r="28" spans="1:54" x14ac:dyDescent="0.2">
      <c r="A28" s="5">
        <v>42674</v>
      </c>
      <c r="B28" s="9">
        <v>1</v>
      </c>
      <c r="C28" s="4">
        <v>1.8200000000000001E-2</v>
      </c>
      <c r="D28" s="4">
        <v>1.8200000000000001E-2</v>
      </c>
      <c r="E28" s="4">
        <v>1.8200000000000001E-2</v>
      </c>
      <c r="F28" s="4">
        <v>1.8200000000000001E-2</v>
      </c>
      <c r="G28" s="4">
        <v>1.8200000000000001E-2</v>
      </c>
      <c r="H28" s="6">
        <f>IFERROR((('raw-PriceList'!B27/'raw-PriceList'!B28)-1)-Table14[[#This Row],[RF]],"")</f>
        <v>-1.4963244479049516E-2</v>
      </c>
      <c r="I28" s="6">
        <f>IFERROR((('raw-PriceList'!C27/'raw-PriceList'!C28)-1)-Table14[[#This Row],[RF]],"")</f>
        <v>-1.2573374561594582E-2</v>
      </c>
      <c r="J28" s="6">
        <f>IFERROR((('raw-PriceList'!D27/'raw-PriceList'!D28)-1)-Table14[[#This Row],[RF]],"")</f>
        <v>-1.6349813378453433E-2</v>
      </c>
      <c r="K28" s="6" t="str">
        <f>IFERROR((('raw-PriceList'!E27/'raw-PriceList'!E28)-1)-Table14[[#This Row],[RF]],"")</f>
        <v/>
      </c>
      <c r="L28" s="6" t="str">
        <f>IFERROR((('raw-PriceList'!#REF!/'raw-PriceList'!#REF!)-1)-Table14[[#This Row],[RF]],"")</f>
        <v/>
      </c>
      <c r="M28" s="6">
        <f>IFERROR((('raw-PriceList'!G27/'raw-PriceList'!G28)-1)-Table14[[#This Row],[RF]],"")</f>
        <v>-1.5308855310606224E-2</v>
      </c>
      <c r="N28" s="6">
        <f>IFERROR((('raw-PriceList'!H27/'raw-PriceList'!H28)-1)-Table14[[#This Row],[RF]],"")</f>
        <v>-5.7940216503364964E-3</v>
      </c>
      <c r="O28" s="6" t="str">
        <f>IFERROR((('raw-PriceList'!I27/'raw-PriceList'!I28)-1)-Table14[[#This Row],[RF]],"")</f>
        <v/>
      </c>
      <c r="P28" s="6">
        <f>IFERROR((('raw-PriceList'!J27/'raw-PriceList'!J28)-1)-Table14[[#This Row],[RF]],"")</f>
        <v>-3.8799518634836244E-4</v>
      </c>
      <c r="Q28" s="6">
        <f>IFERROR((('raw-PriceList'!K27/'raw-PriceList'!K28)-1)-Table14[[#This Row],[RF]],"")</f>
        <v>1.8082387239811253E-2</v>
      </c>
      <c r="R28" s="6">
        <f>IFERROR((('raw-PriceList'!L27/'raw-PriceList'!L28)-1)-Table14[[#This Row],[RF]],"")</f>
        <v>-1.6257213671170063E-2</v>
      </c>
      <c r="S28" s="6" t="str">
        <f>IFERROR((('raw-PriceList'!#REF!/'raw-PriceList'!#REF!)-1)-Table14[[#This Row],[RF]],"")</f>
        <v/>
      </c>
      <c r="T28" s="6">
        <f>IFERROR((('raw-PriceList'!M27/'raw-PriceList'!M28)-1)-Table14[[#This Row],[RF]],"")</f>
        <v>-2.7377940907797951E-3</v>
      </c>
      <c r="U28" s="6">
        <f>IFERROR((('raw-PriceList'!N27/'raw-PriceList'!N28)-1)-Table14[[#This Row],[RF]],"")</f>
        <v>8.8559447471752081E-3</v>
      </c>
      <c r="V28" s="6">
        <f>IFERROR((('raw-PriceList'!O27/'raw-PriceList'!O28)-1)-Table14[[#This Row],[RF]],"")</f>
        <v>-1.17205078270275E-2</v>
      </c>
      <c r="W28" s="6">
        <f>IFERROR((('raw-PriceList'!P27/'raw-PriceList'!P28)-1)-Table14[[#This Row],[RF]],"")</f>
        <v>-1.483445539156892E-2</v>
      </c>
      <c r="X28" s="6">
        <f>IFERROR((('raw-PriceList'!Q27/'raw-PriceList'!Q28)-1)-Table14[[#This Row],[RF]],"")</f>
        <v>-1.7414434351882731E-2</v>
      </c>
      <c r="Y28" s="6" t="str">
        <f>IFERROR((('raw-PriceList'!#REF!/'raw-PriceList'!#REF!)-1)-Table14[[#This Row],[RF]],"")</f>
        <v/>
      </c>
      <c r="Z28" s="6">
        <f>IFERROR((('raw-PriceList'!R27/'raw-PriceList'!R28)-1)-Table14[[#This Row],[RF]],"")</f>
        <v>-1.5025971195864914E-2</v>
      </c>
      <c r="AA28" s="6" t="str">
        <f>IFERROR((('raw-PriceList'!#REF!/'raw-PriceList'!#REF!)-1)-Table14[[#This Row],[RF]],"")</f>
        <v/>
      </c>
      <c r="AB28" s="6" t="str">
        <f>IFERROR((('raw-PriceList'!#REF!/'raw-PriceList'!#REF!)-1)-Table14[[#This Row],[RF]],"")</f>
        <v/>
      </c>
      <c r="AC28" s="6">
        <f>IFERROR((('raw-PriceList'!S27/'raw-PriceList'!S28)-1)-Table14[[#This Row],[RF]],"")</f>
        <v>1.8464480038051338E-2</v>
      </c>
      <c r="AD28" s="6">
        <f>IFERROR((('raw-PriceList'!T27/'raw-PriceList'!T28)-1)-Table14[[#This Row],[RF]],"")</f>
        <v>2.3231960854171556E-2</v>
      </c>
      <c r="AE28" s="6" t="str">
        <f>IFERROR((('raw-PriceList'!#REF!/'raw-PriceList'!#REF!)-1)-Table14[[#This Row],[RF]],"")</f>
        <v/>
      </c>
      <c r="AF28" s="6">
        <f>IFERROR((('raw-PriceList'!U27/'raw-PriceList'!U28)-1)-Table14[[#This Row],[RF]],"")</f>
        <v>-1.4613319061286496E-2</v>
      </c>
      <c r="AG28" s="6">
        <f>IFERROR((('raw-PriceList'!V27/'raw-PriceList'!V28)-1)-Table14[[#This Row],[RF]],"")</f>
        <v>1.1423524768700226E-2</v>
      </c>
      <c r="AH28" s="6">
        <f>IFERROR((('raw-PriceList'!W27/'raw-PriceList'!W28)-1)-Table14[[#This Row],[RF]],"")</f>
        <v>-1.2490828359809088E-2</v>
      </c>
      <c r="AI28" s="6">
        <f>IFERROR((('raw-PriceList'!X27/'raw-PriceList'!X28)-1)-Table14[[#This Row],[RF]],"")</f>
        <v>-2.0184785228378417E-2</v>
      </c>
      <c r="AJ28" s="6" t="str">
        <f>IFERROR((('raw-PriceList'!#REF!/'raw-PriceList'!#REF!)-1)-Table14[[#This Row],[RF]],"")</f>
        <v/>
      </c>
      <c r="AK28" s="6" t="str">
        <f>IFERROR((('raw-PriceList'!#REF!/'raw-PriceList'!#REF!)-1)-Table14[[#This Row],[RF]],"")</f>
        <v/>
      </c>
      <c r="AL28" s="6">
        <f>IFERROR((('raw-PriceList'!Y27/'raw-PriceList'!Y28)-1)-Table14[[#This Row],[RF]],"")</f>
        <v>-5.9435379594697385E-4</v>
      </c>
      <c r="AM28" s="6" t="str">
        <f>IFERROR((('raw-PriceList'!#REF!/'raw-PriceList'!#REF!)-1)-Table14[[#This Row],[RF]],"")</f>
        <v/>
      </c>
      <c r="AN28" s="6" t="str">
        <f>IFERROR((('raw-PriceList'!#REF!/'raw-PriceList'!#REF!)-1)-Table14[[#This Row],[RF]],"")</f>
        <v/>
      </c>
      <c r="AO28" s="6">
        <f>IFERROR((('raw-PriceList'!AA27/'raw-PriceList'!AA28)-1)-Table14[[#This Row],[RF]],"")</f>
        <v>-1.6483636892149274E-2</v>
      </c>
      <c r="AP28" s="6" t="str">
        <f>IFERROR((('raw-PriceList'!#REF!/'raw-PriceList'!#REF!)-1)-Table14[[#This Row],[RF]],"")</f>
        <v/>
      </c>
      <c r="AQ28" s="6">
        <f>IFERROR((('raw-PriceList'!AB27/'raw-PriceList'!AB28)-1)-Table14[[#This Row],[RF]],"")</f>
        <v>1.5246658612253709E-2</v>
      </c>
      <c r="AR28" s="6">
        <f>IFERROR((('raw-PriceList'!AC27/'raw-PriceList'!AC28)-1)-Table14[[#This Row],[RF]],"")</f>
        <v>3.5020695590206527E-3</v>
      </c>
      <c r="AS28" s="6" t="str">
        <f>IFERROR((('raw-PriceList'!#REF!/'raw-PriceList'!#REF!)-1)-Table14[[#This Row],[RF]],"")</f>
        <v/>
      </c>
      <c r="AT28" s="6" t="str">
        <f>IFERROR((('raw-PriceList'!#REF!/'raw-PriceList'!#REF!)-1)-Table14[[#This Row],[RF]],"")</f>
        <v/>
      </c>
      <c r="AU28" s="6" t="str">
        <f>IFERROR((('raw-PriceList'!#REF!/'raw-PriceList'!#REF!)-1)-Table14[[#This Row],[RF]],"")</f>
        <v/>
      </c>
      <c r="AV28" s="6">
        <f>IFERROR((('raw-PriceList'!AD27/'raw-PriceList'!AD28)-1)-Table14[[#This Row],[RF]],"")</f>
        <v>-3.8828252387879819E-4</v>
      </c>
      <c r="AW28" s="6">
        <f>IFERROR((('raw-PriceList'!AE27/'raw-PriceList'!AE28)-1)-Table14[[#This Row],[RF]],"")</f>
        <v>-3.8828252387879819E-4</v>
      </c>
      <c r="AX28" s="6">
        <f>IFERROR((('raw-PriceList'!AF27/'raw-PriceList'!AF28)-1)-Table14[[#This Row],[RF]],"")</f>
        <v>1.9728306532582611E-2</v>
      </c>
      <c r="AY28" s="6">
        <f>IFERROR((('raw-PriceList'!AG27/'raw-PriceList'!AG28)-1)-Table14[[#This Row],[RF]],"")</f>
        <v>-1.4369233125703935E-2</v>
      </c>
      <c r="AZ28" s="6">
        <f>IFERROR((('raw-PriceList'!AH27/'raw-PriceList'!AH28)-1)-Table14[[#This Row],[RF]],"")</f>
        <v>3.1020096233010268E-2</v>
      </c>
      <c r="BA28" s="6" t="str">
        <f>IFERROR((('raw-PriceList'!#REF!/'raw-PriceList'!#REF!)-1)-Table14[[#This Row],[RF]],"")</f>
        <v/>
      </c>
      <c r="BB28" s="6" t="str">
        <f>IFERROR((('raw-PriceList'!AI27/'raw-PriceList'!AI28)-1)-Table14[[#This Row],[RF]],"")</f>
        <v/>
      </c>
    </row>
    <row r="29" spans="1:54" x14ac:dyDescent="0.2">
      <c r="A29" s="5">
        <v>42643</v>
      </c>
      <c r="B29" s="9">
        <v>1</v>
      </c>
      <c r="C29" s="4">
        <v>4.8600000000000004E-2</v>
      </c>
      <c r="D29" s="4">
        <v>4.8600000000000004E-2</v>
      </c>
      <c r="E29" s="4">
        <v>4.8600000000000004E-2</v>
      </c>
      <c r="F29" s="4">
        <v>4.8600000000000004E-2</v>
      </c>
      <c r="G29" s="4">
        <v>4.8600000000000004E-2</v>
      </c>
      <c r="H29" s="6">
        <f>IFERROR((('raw-PriceList'!B28/'raw-PriceList'!B29)-1)-Table14[[#This Row],[RF]],"")</f>
        <v>-5.5150695658621324E-2</v>
      </c>
      <c r="I29" s="6">
        <f>IFERROR((('raw-PriceList'!C28/'raw-PriceList'!C29)-1)-Table14[[#This Row],[RF]],"")</f>
        <v>-4.739401193676554E-2</v>
      </c>
      <c r="J29" s="6">
        <f>IFERROR((('raw-PriceList'!D28/'raw-PriceList'!D29)-1)-Table14[[#This Row],[RF]],"")</f>
        <v>-4.9800781614504325E-2</v>
      </c>
      <c r="K29" s="6" t="str">
        <f>IFERROR((('raw-PriceList'!E28/'raw-PriceList'!E29)-1)-Table14[[#This Row],[RF]],"")</f>
        <v/>
      </c>
      <c r="L29" s="6" t="str">
        <f>IFERROR((('raw-PriceList'!#REF!/'raw-PriceList'!#REF!)-1)-Table14[[#This Row],[RF]],"")</f>
        <v/>
      </c>
      <c r="M29" s="6">
        <f>IFERROR((('raw-PriceList'!G28/'raw-PriceList'!G29)-1)-Table14[[#This Row],[RF]],"")</f>
        <v>-5.0625981653994373E-2</v>
      </c>
      <c r="N29" s="6">
        <f>IFERROR((('raw-PriceList'!H28/'raw-PriceList'!H29)-1)-Table14[[#This Row],[RF]],"")</f>
        <v>-8.286366654597635E-2</v>
      </c>
      <c r="O29" s="6" t="str">
        <f>IFERROR((('raw-PriceList'!I28/'raw-PriceList'!I29)-1)-Table14[[#This Row],[RF]],"")</f>
        <v/>
      </c>
      <c r="P29" s="6">
        <f>IFERROR((('raw-PriceList'!J28/'raw-PriceList'!J29)-1)-Table14[[#This Row],[RF]],"")</f>
        <v>-3.2871627593099834E-2</v>
      </c>
      <c r="Q29" s="6">
        <f>IFERROR((('raw-PriceList'!K28/'raw-PriceList'!K29)-1)-Table14[[#This Row],[RF]],"")</f>
        <v>-4.0025935254893091E-2</v>
      </c>
      <c r="R29" s="6">
        <f>IFERROR((('raw-PriceList'!L28/'raw-PriceList'!L29)-1)-Table14[[#This Row],[RF]],"")</f>
        <v>-2.6055438998226849E-2</v>
      </c>
      <c r="S29" s="6" t="str">
        <f>IFERROR((('raw-PriceList'!#REF!/'raw-PriceList'!#REF!)-1)-Table14[[#This Row],[RF]],"")</f>
        <v/>
      </c>
      <c r="T29" s="6">
        <f>IFERROR((('raw-PriceList'!M28/'raw-PriceList'!M29)-1)-Table14[[#This Row],[RF]],"")</f>
        <v>-3.514193279862779E-2</v>
      </c>
      <c r="U29" s="6">
        <f>IFERROR((('raw-PriceList'!N28/'raw-PriceList'!N29)-1)-Table14[[#This Row],[RF]],"")</f>
        <v>-4.6242581222984774E-2</v>
      </c>
      <c r="V29" s="6">
        <f>IFERROR((('raw-PriceList'!O28/'raw-PriceList'!O29)-1)-Table14[[#This Row],[RF]],"")</f>
        <v>-2.671245007053627E-2</v>
      </c>
      <c r="W29" s="6">
        <f>IFERROR((('raw-PriceList'!P28/'raw-PriceList'!P29)-1)-Table14[[#This Row],[RF]],"")</f>
        <v>-4.8458674530478058E-2</v>
      </c>
      <c r="X29" s="6">
        <f>IFERROR((('raw-PriceList'!Q28/'raw-PriceList'!Q29)-1)-Table14[[#This Row],[RF]],"")</f>
        <v>-3.5577476340128894E-2</v>
      </c>
      <c r="Y29" s="6" t="str">
        <f>IFERROR((('raw-PriceList'!#REF!/'raw-PriceList'!#REF!)-1)-Table14[[#This Row],[RF]],"")</f>
        <v/>
      </c>
      <c r="Z29" s="6">
        <f>IFERROR((('raw-PriceList'!R28/'raw-PriceList'!R29)-1)-Table14[[#This Row],[RF]],"")</f>
        <v>-4.9248445882973085E-2</v>
      </c>
      <c r="AA29" s="6" t="str">
        <f>IFERROR((('raw-PriceList'!#REF!/'raw-PriceList'!#REF!)-1)-Table14[[#This Row],[RF]],"")</f>
        <v/>
      </c>
      <c r="AB29" s="6" t="str">
        <f>IFERROR((('raw-PriceList'!#REF!/'raw-PriceList'!#REF!)-1)-Table14[[#This Row],[RF]],"")</f>
        <v/>
      </c>
      <c r="AC29" s="6">
        <f>IFERROR((('raw-PriceList'!S28/'raw-PriceList'!S29)-1)-Table14[[#This Row],[RF]],"")</f>
        <v>-3.2482956639597244E-2</v>
      </c>
      <c r="AD29" s="6">
        <f>IFERROR((('raw-PriceList'!T28/'raw-PriceList'!T29)-1)-Table14[[#This Row],[RF]],"")</f>
        <v>-3.7835838077024536E-2</v>
      </c>
      <c r="AE29" s="6" t="str">
        <f>IFERROR((('raw-PriceList'!#REF!/'raw-PriceList'!#REF!)-1)-Table14[[#This Row],[RF]],"")</f>
        <v/>
      </c>
      <c r="AF29" s="6">
        <f>IFERROR((('raw-PriceList'!U28/'raw-PriceList'!U29)-1)-Table14[[#This Row],[RF]],"")</f>
        <v>-5.4136464180542215E-2</v>
      </c>
      <c r="AG29" s="6">
        <f>IFERROR((('raw-PriceList'!V28/'raw-PriceList'!V29)-1)-Table14[[#This Row],[RF]],"")</f>
        <v>-4.4309855473672333E-3</v>
      </c>
      <c r="AH29" s="6">
        <f>IFERROR((('raw-PriceList'!W28/'raw-PriceList'!W29)-1)-Table14[[#This Row],[RF]],"")</f>
        <v>-5.7050817935029446E-2</v>
      </c>
      <c r="AI29" s="6">
        <f>IFERROR((('raw-PriceList'!X28/'raw-PriceList'!X29)-1)-Table14[[#This Row],[RF]],"")</f>
        <v>-4.6425330206309817E-2</v>
      </c>
      <c r="AJ29" s="6" t="str">
        <f>IFERROR((('raw-PriceList'!#REF!/'raw-PriceList'!#REF!)-1)-Table14[[#This Row],[RF]],"")</f>
        <v/>
      </c>
      <c r="AK29" s="6" t="str">
        <f>IFERROR((('raw-PriceList'!#REF!/'raw-PriceList'!#REF!)-1)-Table14[[#This Row],[RF]],"")</f>
        <v/>
      </c>
      <c r="AL29" s="6">
        <f>IFERROR((('raw-PriceList'!Y28/'raw-PriceList'!Y29)-1)-Table14[[#This Row],[RF]],"")</f>
        <v>-4.3639381969712093E-2</v>
      </c>
      <c r="AM29" s="6" t="str">
        <f>IFERROR((('raw-PriceList'!#REF!/'raw-PriceList'!#REF!)-1)-Table14[[#This Row],[RF]],"")</f>
        <v/>
      </c>
      <c r="AN29" s="6" t="str">
        <f>IFERROR((('raw-PriceList'!#REF!/'raw-PriceList'!#REF!)-1)-Table14[[#This Row],[RF]],"")</f>
        <v/>
      </c>
      <c r="AO29" s="6">
        <f>IFERROR((('raw-PriceList'!AA28/'raw-PriceList'!AA29)-1)-Table14[[#This Row],[RF]],"")</f>
        <v>-5.5614408230279549E-2</v>
      </c>
      <c r="AP29" s="6" t="str">
        <f>IFERROR((('raw-PriceList'!#REF!/'raw-PriceList'!#REF!)-1)-Table14[[#This Row],[RF]],"")</f>
        <v/>
      </c>
      <c r="AQ29" s="6">
        <f>IFERROR((('raw-PriceList'!AB28/'raw-PriceList'!AB29)-1)-Table14[[#This Row],[RF]],"")</f>
        <v>-8.3616942771450736E-2</v>
      </c>
      <c r="AR29" s="6">
        <f>IFERROR((('raw-PriceList'!AC28/'raw-PriceList'!AC29)-1)-Table14[[#This Row],[RF]],"")</f>
        <v>-4.3848559246882052E-2</v>
      </c>
      <c r="AS29" s="6" t="str">
        <f>IFERROR((('raw-PriceList'!#REF!/'raw-PriceList'!#REF!)-1)-Table14[[#This Row],[RF]],"")</f>
        <v/>
      </c>
      <c r="AT29" s="6" t="str">
        <f>IFERROR((('raw-PriceList'!#REF!/'raw-PriceList'!#REF!)-1)-Table14[[#This Row],[RF]],"")</f>
        <v/>
      </c>
      <c r="AU29" s="6" t="str">
        <f>IFERROR((('raw-PriceList'!#REF!/'raw-PriceList'!#REF!)-1)-Table14[[#This Row],[RF]],"")</f>
        <v/>
      </c>
      <c r="AV29" s="6">
        <f>IFERROR((('raw-PriceList'!AD28/'raw-PriceList'!AD29)-1)-Table14[[#This Row],[RF]],"")</f>
        <v>-3.4163633404416444E-2</v>
      </c>
      <c r="AW29" s="6">
        <f>IFERROR((('raw-PriceList'!AE28/'raw-PriceList'!AE29)-1)-Table14[[#This Row],[RF]],"")</f>
        <v>-3.4163633404416444E-2</v>
      </c>
      <c r="AX29" s="6">
        <f>IFERROR((('raw-PriceList'!AF28/'raw-PriceList'!AF29)-1)-Table14[[#This Row],[RF]],"")</f>
        <v>-4.9242691147184742E-2</v>
      </c>
      <c r="AY29" s="6">
        <f>IFERROR((('raw-PriceList'!AG28/'raw-PriceList'!AG29)-1)-Table14[[#This Row],[RF]],"")</f>
        <v>1.7503881131621685E-2</v>
      </c>
      <c r="AZ29" s="6">
        <f>IFERROR((('raw-PriceList'!AH28/'raw-PriceList'!AH29)-1)-Table14[[#This Row],[RF]],"")</f>
        <v>-6.6857373836131356E-2</v>
      </c>
      <c r="BA29" s="6" t="str">
        <f>IFERROR((('raw-PriceList'!#REF!/'raw-PriceList'!#REF!)-1)-Table14[[#This Row],[RF]],"")</f>
        <v/>
      </c>
      <c r="BB29" s="6" t="str">
        <f>IFERROR((('raw-PriceList'!AI28/'raw-PriceList'!AI29)-1)-Table14[[#This Row],[RF]],"")</f>
        <v/>
      </c>
    </row>
    <row r="30" spans="1:54" x14ac:dyDescent="0.2">
      <c r="A30" s="5">
        <v>42613</v>
      </c>
      <c r="B30" s="9">
        <v>1</v>
      </c>
      <c r="C30" s="4">
        <v>-2.0199999999999999E-2</v>
      </c>
      <c r="D30" s="4">
        <v>-2.0199999999999999E-2</v>
      </c>
      <c r="E30" s="4">
        <v>-2.0199999999999999E-2</v>
      </c>
      <c r="F30" s="4">
        <v>-2.0199999999999999E-2</v>
      </c>
      <c r="G30" s="4">
        <v>-2.0199999999999999E-2</v>
      </c>
      <c r="H30" s="6">
        <f>IFERROR((('raw-PriceList'!B29/'raw-PriceList'!B30)-1)-Table14[[#This Row],[RF]],"")</f>
        <v>-1.4750451227654279E-2</v>
      </c>
      <c r="I30" s="6">
        <f>IFERROR((('raw-PriceList'!C29/'raw-PriceList'!C30)-1)-Table14[[#This Row],[RF]],"")</f>
        <v>-4.5648920367324708E-2</v>
      </c>
      <c r="J30" s="6">
        <f>IFERROR((('raw-PriceList'!D29/'raw-PriceList'!D30)-1)-Table14[[#This Row],[RF]],"")</f>
        <v>-7.4329313107587246E-3</v>
      </c>
      <c r="K30" s="6" t="str">
        <f>IFERROR((('raw-PriceList'!E29/'raw-PriceList'!E30)-1)-Table14[[#This Row],[RF]],"")</f>
        <v/>
      </c>
      <c r="L30" s="6" t="str">
        <f>IFERROR((('raw-PriceList'!#REF!/'raw-PriceList'!#REF!)-1)-Table14[[#This Row],[RF]],"")</f>
        <v/>
      </c>
      <c r="M30" s="6">
        <f>IFERROR((('raw-PriceList'!G29/'raw-PriceList'!G30)-1)-Table14[[#This Row],[RF]],"")</f>
        <v>8.9093763517619252E-3</v>
      </c>
      <c r="N30" s="6">
        <f>IFERROR((('raw-PriceList'!H29/'raw-PriceList'!H30)-1)-Table14[[#This Row],[RF]],"")</f>
        <v>-9.4816790578533094E-2</v>
      </c>
      <c r="O30" s="6" t="str">
        <f>IFERROR((('raw-PriceList'!I29/'raw-PriceList'!I30)-1)-Table14[[#This Row],[RF]],"")</f>
        <v/>
      </c>
      <c r="P30" s="6">
        <f>IFERROR((('raw-PriceList'!J29/'raw-PriceList'!J30)-1)-Table14[[#This Row],[RF]],"")</f>
        <v>5.5620464930970615E-2</v>
      </c>
      <c r="Q30" s="6">
        <f>IFERROR((('raw-PriceList'!K29/'raw-PriceList'!K30)-1)-Table14[[#This Row],[RF]],"")</f>
        <v>2.9906394087689806E-2</v>
      </c>
      <c r="R30" s="6">
        <f>IFERROR((('raw-PriceList'!L29/'raw-PriceList'!L30)-1)-Table14[[#This Row],[RF]],"")</f>
        <v>7.8259020642372334E-2</v>
      </c>
      <c r="S30" s="6" t="str">
        <f>IFERROR((('raw-PriceList'!#REF!/'raw-PriceList'!#REF!)-1)-Table14[[#This Row],[RF]],"")</f>
        <v/>
      </c>
      <c r="T30" s="6">
        <f>IFERROR((('raw-PriceList'!M29/'raw-PriceList'!M30)-1)-Table14[[#This Row],[RF]],"")</f>
        <v>0.10574208068949087</v>
      </c>
      <c r="U30" s="6">
        <f>IFERROR((('raw-PriceList'!N29/'raw-PriceList'!N30)-1)-Table14[[#This Row],[RF]],"")</f>
        <v>8.5461943222329806E-2</v>
      </c>
      <c r="V30" s="6">
        <f>IFERROR((('raw-PriceList'!O29/'raw-PriceList'!O30)-1)-Table14[[#This Row],[RF]],"")</f>
        <v>0.12223686931801847</v>
      </c>
      <c r="W30" s="6">
        <f>IFERROR((('raw-PriceList'!P29/'raw-PriceList'!P30)-1)-Table14[[#This Row],[RF]],"")</f>
        <v>-1.2205577690322707E-2</v>
      </c>
      <c r="X30" s="6">
        <f>IFERROR((('raw-PriceList'!Q29/'raw-PriceList'!Q30)-1)-Table14[[#This Row],[RF]],"")</f>
        <v>-3.1388876536270871E-2</v>
      </c>
      <c r="Y30" s="6" t="str">
        <f>IFERROR((('raw-PriceList'!#REF!/'raw-PriceList'!#REF!)-1)-Table14[[#This Row],[RF]],"")</f>
        <v/>
      </c>
      <c r="Z30" s="6">
        <f>IFERROR((('raw-PriceList'!R29/'raw-PriceList'!R30)-1)-Table14[[#This Row],[RF]],"")</f>
        <v>8.9706615184288498E-3</v>
      </c>
      <c r="AA30" s="6" t="str">
        <f>IFERROR((('raw-PriceList'!#REF!/'raw-PriceList'!#REF!)-1)-Table14[[#This Row],[RF]],"")</f>
        <v/>
      </c>
      <c r="AB30" s="6" t="str">
        <f>IFERROR((('raw-PriceList'!#REF!/'raw-PriceList'!#REF!)-1)-Table14[[#This Row],[RF]],"")</f>
        <v/>
      </c>
      <c r="AC30" s="6">
        <f>IFERROR((('raw-PriceList'!S29/'raw-PriceList'!S30)-1)-Table14[[#This Row],[RF]],"")</f>
        <v>5.131062995759942E-3</v>
      </c>
      <c r="AD30" s="6">
        <f>IFERROR((('raw-PriceList'!T29/'raw-PriceList'!T30)-1)-Table14[[#This Row],[RF]],"")</f>
        <v>-1.1043370198960921E-3</v>
      </c>
      <c r="AE30" s="6" t="str">
        <f>IFERROR((('raw-PriceList'!#REF!/'raw-PriceList'!#REF!)-1)-Table14[[#This Row],[RF]],"")</f>
        <v/>
      </c>
      <c r="AF30" s="6">
        <f>IFERROR((('raw-PriceList'!U29/'raw-PriceList'!U30)-1)-Table14[[#This Row],[RF]],"")</f>
        <v>-7.1357012975380406E-3</v>
      </c>
      <c r="AG30" s="6">
        <f>IFERROR((('raw-PriceList'!V29/'raw-PriceList'!V30)-1)-Table14[[#This Row],[RF]],"")</f>
        <v>-3.1442424874147355E-3</v>
      </c>
      <c r="AH30" s="6">
        <f>IFERROR((('raw-PriceList'!W29/'raw-PriceList'!W30)-1)-Table14[[#This Row],[RF]],"")</f>
        <v>-5.8986384027720051E-2</v>
      </c>
      <c r="AI30" s="6">
        <f>IFERROR((('raw-PriceList'!X29/'raw-PriceList'!X30)-1)-Table14[[#This Row],[RF]],"")</f>
        <v>1.4903640490329665E-2</v>
      </c>
      <c r="AJ30" s="6" t="str">
        <f>IFERROR((('raw-PriceList'!#REF!/'raw-PriceList'!#REF!)-1)-Table14[[#This Row],[RF]],"")</f>
        <v/>
      </c>
      <c r="AK30" s="6" t="str">
        <f>IFERROR((('raw-PriceList'!#REF!/'raw-PriceList'!#REF!)-1)-Table14[[#This Row],[RF]],"")</f>
        <v/>
      </c>
      <c r="AL30" s="6">
        <f>IFERROR((('raw-PriceList'!Y29/'raw-PriceList'!Y30)-1)-Table14[[#This Row],[RF]],"")</f>
        <v>4.9950652405273743E-2</v>
      </c>
      <c r="AM30" s="6" t="str">
        <f>IFERROR((('raw-PriceList'!#REF!/'raw-PriceList'!#REF!)-1)-Table14[[#This Row],[RF]],"")</f>
        <v/>
      </c>
      <c r="AN30" s="6" t="str">
        <f>IFERROR((('raw-PriceList'!#REF!/'raw-PriceList'!#REF!)-1)-Table14[[#This Row],[RF]],"")</f>
        <v/>
      </c>
      <c r="AO30" s="6">
        <f>IFERROR((('raw-PriceList'!AA29/'raw-PriceList'!AA30)-1)-Table14[[#This Row],[RF]],"")</f>
        <v>8.1221202528869788E-4</v>
      </c>
      <c r="AP30" s="6" t="str">
        <f>IFERROR((('raw-PriceList'!#REF!/'raw-PriceList'!#REF!)-1)-Table14[[#This Row],[RF]],"")</f>
        <v/>
      </c>
      <c r="AQ30" s="6">
        <f>IFERROR((('raw-PriceList'!AB29/'raw-PriceList'!AB30)-1)-Table14[[#This Row],[RF]],"")</f>
        <v>-1.8708587597596523E-2</v>
      </c>
      <c r="AR30" s="6">
        <f>IFERROR((('raw-PriceList'!AC29/'raw-PriceList'!AC30)-1)-Table14[[#This Row],[RF]],"")</f>
        <v>7.9571027248856341E-2</v>
      </c>
      <c r="AS30" s="6" t="str">
        <f>IFERROR((('raw-PriceList'!#REF!/'raw-PriceList'!#REF!)-1)-Table14[[#This Row],[RF]],"")</f>
        <v/>
      </c>
      <c r="AT30" s="6" t="str">
        <f>IFERROR((('raw-PriceList'!#REF!/'raw-PriceList'!#REF!)-1)-Table14[[#This Row],[RF]],"")</f>
        <v/>
      </c>
      <c r="AU30" s="6" t="str">
        <f>IFERROR((('raw-PriceList'!#REF!/'raw-PriceList'!#REF!)-1)-Table14[[#This Row],[RF]],"")</f>
        <v/>
      </c>
      <c r="AV30" s="6">
        <f>IFERROR((('raw-PriceList'!AD29/'raw-PriceList'!AD30)-1)-Table14[[#This Row],[RF]],"")</f>
        <v>5.7320870841824911E-2</v>
      </c>
      <c r="AW30" s="6">
        <f>IFERROR((('raw-PriceList'!AE29/'raw-PriceList'!AE30)-1)-Table14[[#This Row],[RF]],"")</f>
        <v>5.7320870841824911E-2</v>
      </c>
      <c r="AX30" s="6">
        <f>IFERROR((('raw-PriceList'!AF29/'raw-PriceList'!AF30)-1)-Table14[[#This Row],[RF]],"")</f>
        <v>5.2268509380647643E-2</v>
      </c>
      <c r="AY30" s="6">
        <f>IFERROR((('raw-PriceList'!AG29/'raw-PriceList'!AG30)-1)-Table14[[#This Row],[RF]],"")</f>
        <v>5.2736031369617908E-2</v>
      </c>
      <c r="AZ30" s="6">
        <f>IFERROR((('raw-PriceList'!AH29/'raw-PriceList'!AH30)-1)-Table14[[#This Row],[RF]],"")</f>
        <v>6.5104875457042723E-3</v>
      </c>
      <c r="BA30" s="6" t="str">
        <f>IFERROR((('raw-PriceList'!#REF!/'raw-PriceList'!#REF!)-1)-Table14[[#This Row],[RF]],"")</f>
        <v/>
      </c>
      <c r="BB30" s="6" t="str">
        <f>IFERROR((('raw-PriceList'!AI29/'raw-PriceList'!AI30)-1)-Table14[[#This Row],[RF]],"")</f>
        <v/>
      </c>
    </row>
    <row r="31" spans="1:54" x14ac:dyDescent="0.2">
      <c r="A31" s="5">
        <v>42582</v>
      </c>
      <c r="B31" s="9">
        <v>1</v>
      </c>
      <c r="C31" s="4">
        <v>2.5000000000000001E-3</v>
      </c>
      <c r="D31" s="4">
        <v>2.5000000000000001E-3</v>
      </c>
      <c r="E31" s="4">
        <v>2.5000000000000001E-3</v>
      </c>
      <c r="F31" s="4">
        <v>2.5000000000000001E-3</v>
      </c>
      <c r="G31" s="4">
        <v>2.5000000000000001E-3</v>
      </c>
      <c r="H31" s="6">
        <f>IFERROR((('raw-PriceList'!B30/'raw-PriceList'!B31)-1)-Table14[[#This Row],[RF]],"")</f>
        <v>-1.408894295840407E-2</v>
      </c>
      <c r="I31" s="6">
        <f>IFERROR((('raw-PriceList'!C30/'raw-PriceList'!C31)-1)-Table14[[#This Row],[RF]],"")</f>
        <v>-3.5969245929518723E-2</v>
      </c>
      <c r="J31" s="6">
        <f>IFERROR((('raw-PriceList'!D30/'raw-PriceList'!D31)-1)-Table14[[#This Row],[RF]],"")</f>
        <v>-1.3817571341845079E-2</v>
      </c>
      <c r="K31" s="6" t="str">
        <f>IFERROR((('raw-PriceList'!E30/'raw-PriceList'!E31)-1)-Table14[[#This Row],[RF]],"")</f>
        <v/>
      </c>
      <c r="L31" s="6" t="str">
        <f>IFERROR((('raw-PriceList'!#REF!/'raw-PriceList'!F2)-1)-Table14[[#This Row],[RF]],"")</f>
        <v/>
      </c>
      <c r="M31" s="6">
        <f>IFERROR((('raw-PriceList'!G30/'raw-PriceList'!G31)-1)-Table14[[#This Row],[RF]],"")</f>
        <v>-6.3370625977515176E-3</v>
      </c>
      <c r="N31" s="6">
        <f>IFERROR((('raw-PriceList'!H30/'raw-PriceList'!H31)-1)-Table14[[#This Row],[RF]],"")</f>
        <v>-6.418150034232134E-2</v>
      </c>
      <c r="O31" s="6" t="str">
        <f>IFERROR((('raw-PriceList'!I30/'raw-PriceList'!I31)-1)-Table14[[#This Row],[RF]],"")</f>
        <v/>
      </c>
      <c r="P31" s="6">
        <f>IFERROR((('raw-PriceList'!J30/'raw-PriceList'!J31)-1)-Table14[[#This Row],[RF]],"")</f>
        <v>-1.8283961618438534E-2</v>
      </c>
      <c r="Q31" s="6">
        <f>IFERROR((('raw-PriceList'!K30/'raw-PriceList'!K31)-1)-Table14[[#This Row],[RF]],"")</f>
        <v>-2.4681209626439878E-2</v>
      </c>
      <c r="R31" s="6">
        <f>IFERROR((('raw-PriceList'!L30/'raw-PriceList'!L31)-1)-Table14[[#This Row],[RF]],"")</f>
        <v>-1.3025541467885647E-2</v>
      </c>
      <c r="S31" s="6" t="str">
        <f>IFERROR((('raw-PriceList'!#REF!/'raw-PriceList'!#REF!)-1)-Table14[[#This Row],[RF]],"")</f>
        <v/>
      </c>
      <c r="T31" s="6">
        <f>IFERROR((('raw-PriceList'!M30/'raw-PriceList'!M31)-1)-Table14[[#This Row],[RF]],"")</f>
        <v>-4.3231276949719566E-2</v>
      </c>
      <c r="U31" s="6">
        <f>IFERROR((('raw-PriceList'!N30/'raw-PriceList'!N31)-1)-Table14[[#This Row],[RF]],"")</f>
        <v>-5.633602570121693E-2</v>
      </c>
      <c r="V31" s="6">
        <f>IFERROR((('raw-PriceList'!O30/'raw-PriceList'!O31)-1)-Table14[[#This Row],[RF]],"")</f>
        <v>-3.1593013097201028E-2</v>
      </c>
      <c r="W31" s="6">
        <f>IFERROR((('raw-PriceList'!P30/'raw-PriceList'!P31)-1)-Table14[[#This Row],[RF]],"")</f>
        <v>-1.3885113238261191E-2</v>
      </c>
      <c r="X31" s="6">
        <f>IFERROR((('raw-PriceList'!Q30/'raw-PriceList'!Q31)-1)-Table14[[#This Row],[RF]],"")</f>
        <v>-3.0713642102288937E-2</v>
      </c>
      <c r="Y31" s="6" t="str">
        <f>IFERROR((('raw-PriceList'!#REF!/'raw-PriceList'!#REF!)-1)-Table14[[#This Row],[RF]],"")</f>
        <v/>
      </c>
      <c r="Z31" s="6">
        <f>IFERROR((('raw-PriceList'!R30/'raw-PriceList'!R31)-1)-Table14[[#This Row],[RF]],"")</f>
        <v>-5.3301465165995193E-3</v>
      </c>
      <c r="AA31" s="6" t="str">
        <f>IFERROR((('raw-PriceList'!#REF!/'raw-PriceList'!#REF!)-1)-Table14[[#This Row],[RF]],"")</f>
        <v/>
      </c>
      <c r="AB31" s="6" t="str">
        <f>IFERROR((('raw-PriceList'!#REF!/'raw-PriceList'!#REF!)-1)-Table14[[#This Row],[RF]],"")</f>
        <v/>
      </c>
      <c r="AC31" s="6">
        <f>IFERROR((('raw-PriceList'!S30/'raw-PriceList'!S31)-1)-Table14[[#This Row],[RF]],"")</f>
        <v>-2.6542048324137698E-2</v>
      </c>
      <c r="AD31" s="6">
        <f>IFERROR((('raw-PriceList'!T30/'raw-PriceList'!T31)-1)-Table14[[#This Row],[RF]],"")</f>
        <v>-1.9452685593133786E-2</v>
      </c>
      <c r="AE31" s="6" t="str">
        <f>IFERROR((('raw-PriceList'!#REF!/'raw-PriceList'!#REF!)-1)-Table14[[#This Row],[RF]],"")</f>
        <v/>
      </c>
      <c r="AF31" s="6">
        <f>IFERROR((('raw-PriceList'!U30/'raw-PriceList'!U31)-1)-Table14[[#This Row],[RF]],"")</f>
        <v>-1.2964813832331999E-2</v>
      </c>
      <c r="AG31" s="6">
        <f>IFERROR((('raw-PriceList'!V30/'raw-PriceList'!V31)-1)-Table14[[#This Row],[RF]],"")</f>
        <v>-3.7794356662477491E-2</v>
      </c>
      <c r="AH31" s="6">
        <f>IFERROR((('raw-PriceList'!W30/'raw-PriceList'!W31)-1)-Table14[[#This Row],[RF]],"")</f>
        <v>-4.5300378281409814E-2</v>
      </c>
      <c r="AI31" s="6">
        <f>IFERROR((('raw-PriceList'!X30/'raw-PriceList'!X31)-1)-Table14[[#This Row],[RF]],"")</f>
        <v>-4.217714843000096E-3</v>
      </c>
      <c r="AJ31" s="6" t="str">
        <f>IFERROR((('raw-PriceList'!#REF!/'raw-PriceList'!#REF!)-1)-Table14[[#This Row],[RF]],"")</f>
        <v/>
      </c>
      <c r="AK31" s="6" t="str">
        <f>IFERROR((('raw-PriceList'!#REF!/'raw-PriceList'!#REF!)-1)-Table14[[#This Row],[RF]],"")</f>
        <v/>
      </c>
      <c r="AL31" s="6">
        <f>IFERROR((('raw-PriceList'!Y30/'raw-PriceList'!Y31)-1)-Table14[[#This Row],[RF]],"")</f>
        <v>-2.1804536283056172E-2</v>
      </c>
      <c r="AM31" s="6" t="str">
        <f>IFERROR((('raw-PriceList'!#REF!/'raw-PriceList'!#REF!)-1)-Table14[[#This Row],[RF]],"")</f>
        <v/>
      </c>
      <c r="AN31" s="6" t="str">
        <f>IFERROR((('raw-PriceList'!#REF!/'raw-PriceList'!#REF!)-1)-Table14[[#This Row],[RF]],"")</f>
        <v/>
      </c>
      <c r="AO31" s="6">
        <f>IFERROR((('raw-PriceList'!AA30/'raw-PriceList'!AA31)-1)-Table14[[#This Row],[RF]],"")</f>
        <v>-7.2883874839209644E-3</v>
      </c>
      <c r="AP31" s="6" t="str">
        <f>IFERROR((('raw-PriceList'!#REF!/'raw-PriceList'!#REF!)-1)-Table14[[#This Row],[RF]],"")</f>
        <v/>
      </c>
      <c r="AQ31" s="6">
        <f>IFERROR((('raw-PriceList'!AB30/'raw-PriceList'!AB31)-1)-Table14[[#This Row],[RF]],"")</f>
        <v>-5.0944895686960645E-2</v>
      </c>
      <c r="AR31" s="6">
        <f>IFERROR((('raw-PriceList'!AC30/'raw-PriceList'!AC31)-1)-Table14[[#This Row],[RF]],"")</f>
        <v>-2.6661924780453868E-2</v>
      </c>
      <c r="AS31" s="6" t="str">
        <f>IFERROR((('raw-PriceList'!#REF!/'raw-PriceList'!#REF!)-1)-Table14[[#This Row],[RF]],"")</f>
        <v/>
      </c>
      <c r="AT31" s="6" t="str">
        <f>IFERROR((('raw-PriceList'!#REF!/'raw-PriceList'!#REF!)-1)-Table14[[#This Row],[RF]],"")</f>
        <v/>
      </c>
      <c r="AU31" s="6" t="str">
        <f>IFERROR((('raw-PriceList'!#REF!/'raw-PriceList'!#REF!)-1)-Table14[[#This Row],[RF]],"")</f>
        <v/>
      </c>
      <c r="AV31" s="6">
        <f>IFERROR((('raw-PriceList'!AD30/'raw-PriceList'!AD31)-1)-Table14[[#This Row],[RF]],"")</f>
        <v>-2.033259865066955E-2</v>
      </c>
      <c r="AW31" s="6">
        <f>IFERROR((('raw-PriceList'!AE30/'raw-PriceList'!AE31)-1)-Table14[[#This Row],[RF]],"")</f>
        <v>-2.033259865066955E-2</v>
      </c>
      <c r="AX31" s="6">
        <f>IFERROR((('raw-PriceList'!AF30/'raw-PriceList'!AF31)-1)-Table14[[#This Row],[RF]],"")</f>
        <v>-3.9611590678392428E-2</v>
      </c>
      <c r="AY31" s="6">
        <f>IFERROR((('raw-PriceList'!AG30/'raw-PriceList'!AG31)-1)-Table14[[#This Row],[RF]],"")</f>
        <v>-3.8617409231579691E-2</v>
      </c>
      <c r="AZ31" s="6">
        <f>IFERROR((('raw-PriceList'!AH30/'raw-PriceList'!AH31)-1)-Table14[[#This Row],[RF]],"")</f>
        <v>-1.1725210722947797E-2</v>
      </c>
      <c r="BA31" s="6" t="str">
        <f>IFERROR((('raw-PriceList'!#REF!/'raw-PriceList'!#REF!)-1)-Table14[[#This Row],[RF]],"")</f>
        <v/>
      </c>
      <c r="BB31" s="6" t="str">
        <f>IFERROR((('raw-PriceList'!AI30/'raw-PriceList'!AI31)-1)-Table14[[#This Row],[RF]],"")</f>
        <v/>
      </c>
    </row>
    <row r="32" spans="1:54" x14ac:dyDescent="0.2">
      <c r="A32" s="5">
        <v>42551</v>
      </c>
      <c r="B32" s="9">
        <v>1</v>
      </c>
      <c r="C32" s="4">
        <v>5.0000000000000001E-3</v>
      </c>
      <c r="D32" s="4">
        <v>5.0000000000000001E-3</v>
      </c>
      <c r="E32" s="4">
        <v>5.0000000000000001E-3</v>
      </c>
      <c r="F32" s="4">
        <v>5.0000000000000001E-3</v>
      </c>
      <c r="G32" s="4">
        <v>5.0000000000000001E-3</v>
      </c>
      <c r="H32" s="6">
        <f>IFERROR((('raw-PriceList'!B31/'raw-PriceList'!B32)-1)-Table14[[#This Row],[RF]],"")</f>
        <v>-5.4334050011812752E-3</v>
      </c>
      <c r="I32" s="6">
        <f>IFERROR((('raw-PriceList'!C31/'raw-PriceList'!C32)-1)-Table14[[#This Row],[RF]],"")</f>
        <v>-1.6971558942143413E-2</v>
      </c>
      <c r="J32" s="6">
        <f>IFERROR((('raw-PriceList'!D31/'raw-PriceList'!D32)-1)-Table14[[#This Row],[RF]],"")</f>
        <v>-5.9417084712322056E-3</v>
      </c>
      <c r="K32" s="6" t="str">
        <f>IFERROR((('raw-PriceList'!E31/'raw-PriceList'!E32)-1)-Table14[[#This Row],[RF]],"")</f>
        <v/>
      </c>
      <c r="L32" s="6">
        <f>IFERROR((('raw-PriceList'!F2/'raw-PriceList'!F3)-1)-Table14[[#This Row],[RF]],"")</f>
        <v>-3.9030825024320938E-3</v>
      </c>
      <c r="M32" s="6">
        <f>IFERROR((('raw-PriceList'!G31/'raw-PriceList'!G32)-1)-Table14[[#This Row],[RF]],"")</f>
        <v>-4.3859901268202784E-3</v>
      </c>
      <c r="N32" s="6">
        <f>IFERROR((('raw-PriceList'!H31/'raw-PriceList'!H32)-1)-Table14[[#This Row],[RF]],"")</f>
        <v>-3.4535350975237071E-2</v>
      </c>
      <c r="O32" s="6" t="str">
        <f>IFERROR((('raw-PriceList'!I31/'raw-PriceList'!I32)-1)-Table14[[#This Row],[RF]],"")</f>
        <v/>
      </c>
      <c r="P32" s="6">
        <f>IFERROR((('raw-PriceList'!J31/'raw-PriceList'!J32)-1)-Table14[[#This Row],[RF]],"")</f>
        <v>-1.0916215455214814E-2</v>
      </c>
      <c r="Q32" s="6">
        <f>IFERROR((('raw-PriceList'!K31/'raw-PriceList'!K32)-1)-Table14[[#This Row],[RF]],"")</f>
        <v>-1.3346899504741395E-3</v>
      </c>
      <c r="R32" s="6">
        <f>IFERROR((('raw-PriceList'!L31/'raw-PriceList'!L32)-1)-Table14[[#This Row],[RF]],"")</f>
        <v>-1.8551156714497249E-2</v>
      </c>
      <c r="S32" s="6" t="str">
        <f>IFERROR((('raw-PriceList'!#REF!/'raw-PriceList'!#REF!)-1)-Table14[[#This Row],[RF]],"")</f>
        <v/>
      </c>
      <c r="T32" s="6">
        <f>IFERROR((('raw-PriceList'!M31/'raw-PriceList'!M32)-1)-Table14[[#This Row],[RF]],"")</f>
        <v>-5.9965276460591755E-3</v>
      </c>
      <c r="U32" s="6">
        <f>IFERROR((('raw-PriceList'!N31/'raw-PriceList'!N32)-1)-Table14[[#This Row],[RF]],"")</f>
        <v>-2.6005797432612178E-3</v>
      </c>
      <c r="V32" s="6">
        <f>IFERROR((('raw-PriceList'!O31/'raw-PriceList'!O32)-1)-Table14[[#This Row],[RF]],"")</f>
        <v>-8.0532711676320999E-3</v>
      </c>
      <c r="W32" s="6">
        <f>IFERROR((('raw-PriceList'!P31/'raw-PriceList'!P32)-1)-Table14[[#This Row],[RF]],"")</f>
        <v>-5.7986616394114466E-3</v>
      </c>
      <c r="X32" s="6">
        <f>IFERROR((('raw-PriceList'!Q31/'raw-PriceList'!Q32)-1)-Table14[[#This Row],[RF]],"")</f>
        <v>-1.2828306626767812E-2</v>
      </c>
      <c r="Y32" s="6" t="str">
        <f>IFERROR((('raw-PriceList'!#REF!/'raw-PriceList'!#REF!)-1)-Table14[[#This Row],[RF]],"")</f>
        <v/>
      </c>
      <c r="Z32" s="6">
        <f>IFERROR((('raw-PriceList'!R31/'raw-PriceList'!R32)-1)-Table14[[#This Row],[RF]],"")</f>
        <v>-6.98461717257592E-3</v>
      </c>
      <c r="AA32" s="6" t="str">
        <f>IFERROR((('raw-PriceList'!#REF!/'raw-PriceList'!#REF!)-1)-Table14[[#This Row],[RF]],"")</f>
        <v/>
      </c>
      <c r="AB32" s="6" t="str">
        <f>IFERROR((('raw-PriceList'!#REF!/'raw-PriceList'!#REF!)-1)-Table14[[#This Row],[RF]],"")</f>
        <v/>
      </c>
      <c r="AC32" s="6">
        <f>IFERROR((('raw-PriceList'!S31/'raw-PriceList'!S32)-1)-Table14[[#This Row],[RF]],"")</f>
        <v>6.6568138384709473E-3</v>
      </c>
      <c r="AD32" s="6">
        <f>IFERROR((('raw-PriceList'!T31/'raw-PriceList'!T32)-1)-Table14[[#This Row],[RF]],"")</f>
        <v>5.0225101295581264E-3</v>
      </c>
      <c r="AE32" s="6" t="str">
        <f>IFERROR((('raw-PriceList'!#REF!/'raw-PriceList'!#REF!)-1)-Table14[[#This Row],[RF]],"")</f>
        <v/>
      </c>
      <c r="AF32" s="6">
        <f>IFERROR((('raw-PriceList'!U31/'raw-PriceList'!U32)-1)-Table14[[#This Row],[RF]],"")</f>
        <v>-1.835976403891877E-3</v>
      </c>
      <c r="AG32" s="6">
        <f>IFERROR((('raw-PriceList'!V31/'raw-PriceList'!V32)-1)-Table14[[#This Row],[RF]],"")</f>
        <v>-2.5323687593564693E-3</v>
      </c>
      <c r="AH32" s="6">
        <f>IFERROR((('raw-PriceList'!W31/'raw-PriceList'!W32)-1)-Table14[[#This Row],[RF]],"")</f>
        <v>-2.0900345154260865E-2</v>
      </c>
      <c r="AI32" s="6">
        <f>IFERROR((('raw-PriceList'!X31/'raw-PriceList'!X32)-1)-Table14[[#This Row],[RF]],"")</f>
        <v>-3.735314510368566E-3</v>
      </c>
      <c r="AJ32" s="6" t="str">
        <f>IFERROR((('raw-PriceList'!#REF!/'raw-PriceList'!#REF!)-1)-Table14[[#This Row],[RF]],"")</f>
        <v/>
      </c>
      <c r="AK32" s="6" t="str">
        <f>IFERROR((('raw-PriceList'!#REF!/'raw-PriceList'!#REF!)-1)-Table14[[#This Row],[RF]],"")</f>
        <v/>
      </c>
      <c r="AL32" s="6">
        <f>IFERROR((('raw-PriceList'!Y31/'raw-PriceList'!Y32)-1)-Table14[[#This Row],[RF]],"")</f>
        <v>-1.9429913609574353E-2</v>
      </c>
      <c r="AM32" s="6" t="str">
        <f>IFERROR((('raw-PriceList'!#REF!/'raw-PriceList'!#REF!)-1)-Table14[[#This Row],[RF]],"")</f>
        <v/>
      </c>
      <c r="AN32" s="6" t="str">
        <f>IFERROR((('raw-PriceList'!#REF!/'raw-PriceList'!#REF!)-1)-Table14[[#This Row],[RF]],"")</f>
        <v/>
      </c>
      <c r="AO32" s="6">
        <f>IFERROR((('raw-PriceList'!AA31/'raw-PriceList'!AA32)-1)-Table14[[#This Row],[RF]],"")</f>
        <v>-2.9866777564658787E-3</v>
      </c>
      <c r="AP32" s="6" t="str">
        <f>IFERROR((('raw-PriceList'!#REF!/'raw-PriceList'!#REF!)-1)-Table14[[#This Row],[RF]],"")</f>
        <v/>
      </c>
      <c r="AQ32" s="6">
        <f>IFERROR((('raw-PriceList'!AB31/'raw-PriceList'!AB32)-1)-Table14[[#This Row],[RF]],"")</f>
        <v>-6.9031101314697817E-4</v>
      </c>
      <c r="AR32" s="6">
        <f>IFERROR((('raw-PriceList'!AC31/'raw-PriceList'!AC32)-1)-Table14[[#This Row],[RF]],"")</f>
        <v>-6.0783444290395351E-3</v>
      </c>
      <c r="AS32" s="6" t="str">
        <f>IFERROR((('raw-PriceList'!#REF!/'raw-PriceList'!#REF!)-1)-Table14[[#This Row],[RF]],"")</f>
        <v/>
      </c>
      <c r="AT32" s="6" t="str">
        <f>IFERROR((('raw-PriceList'!#REF!/'raw-PriceList'!#REF!)-1)-Table14[[#This Row],[RF]],"")</f>
        <v/>
      </c>
      <c r="AU32" s="6" t="str">
        <f>IFERROR((('raw-PriceList'!#REF!/'raw-PriceList'!#REF!)-1)-Table14[[#This Row],[RF]],"")</f>
        <v/>
      </c>
      <c r="AV32" s="6">
        <f>IFERROR((('raw-PriceList'!AD31/'raw-PriceList'!AD32)-1)-Table14[[#This Row],[RF]],"")</f>
        <v>-8.9210639537548007E-3</v>
      </c>
      <c r="AW32" s="6">
        <f>IFERROR((('raw-PriceList'!AE31/'raw-PriceList'!AE32)-1)-Table14[[#This Row],[RF]],"")</f>
        <v>-8.9210639537548007E-3</v>
      </c>
      <c r="AX32" s="6">
        <f>IFERROR((('raw-PriceList'!AF31/'raw-PriceList'!AF32)-1)-Table14[[#This Row],[RF]],"")</f>
        <v>-4.3202539586885092E-3</v>
      </c>
      <c r="AY32" s="6">
        <f>IFERROR((('raw-PriceList'!AG31/'raw-PriceList'!AG32)-1)-Table14[[#This Row],[RF]],"")</f>
        <v>-1.1858015025575482E-2</v>
      </c>
      <c r="AZ32" s="6">
        <f>IFERROR((('raw-PriceList'!AH31/'raw-PriceList'!AH32)-1)-Table14[[#This Row],[RF]],"")</f>
        <v>2.0929210044027372E-2</v>
      </c>
      <c r="BA32" s="6" t="str">
        <f>IFERROR((('raw-PriceList'!#REF!/'raw-PriceList'!#REF!)-1)-Table14[[#This Row],[RF]],"")</f>
        <v/>
      </c>
      <c r="BB32" s="6" t="str">
        <f>IFERROR((('raw-PriceList'!AI31/'raw-PriceList'!AI32)-1)-Table14[[#This Row],[RF]],"")</f>
        <v/>
      </c>
    </row>
    <row r="33" spans="1:54" x14ac:dyDescent="0.2">
      <c r="A33" s="5">
        <v>42521</v>
      </c>
      <c r="B33" s="9">
        <v>1</v>
      </c>
      <c r="C33" s="4">
        <v>3.95E-2</v>
      </c>
      <c r="D33" s="4">
        <v>3.95E-2</v>
      </c>
      <c r="E33" s="4">
        <v>3.95E-2</v>
      </c>
      <c r="F33" s="4">
        <v>3.95E-2</v>
      </c>
      <c r="G33" s="4">
        <v>3.95E-2</v>
      </c>
      <c r="H33" s="6">
        <f>IFERROR((('raw-PriceList'!B32/'raw-PriceList'!B33)-1)-Table14[[#This Row],[RF]],"")</f>
        <v>-4.6599450728851986E-2</v>
      </c>
      <c r="I33" s="6">
        <f>IFERROR((('raw-PriceList'!C32/'raw-PriceList'!C33)-1)-Table14[[#This Row],[RF]],"")</f>
        <v>-4.6123581219326713E-2</v>
      </c>
      <c r="J33" s="6">
        <f>IFERROR((('raw-PriceList'!D32/'raw-PriceList'!D33)-1)-Table14[[#This Row],[RF]],"")</f>
        <v>-4.4479516956019059E-2</v>
      </c>
      <c r="K33" s="6" t="str">
        <f>IFERROR((('raw-PriceList'!E32/'raw-PriceList'!E33)-1)-Table14[[#This Row],[RF]],"")</f>
        <v/>
      </c>
      <c r="L33" s="6">
        <f>IFERROR((('raw-PriceList'!F3/'raw-PriceList'!F4)-1)-Table14[[#This Row],[RF]],"")</f>
        <v>-2.954625076797348E-2</v>
      </c>
      <c r="M33" s="6">
        <f>IFERROR((('raw-PriceList'!G32/'raw-PriceList'!G33)-1)-Table14[[#This Row],[RF]],"")</f>
        <v>-4.3439337069793103E-2</v>
      </c>
      <c r="N33" s="6">
        <f>IFERROR((('raw-PriceList'!H32/'raw-PriceList'!H33)-1)-Table14[[#This Row],[RF]],"")</f>
        <v>-5.4512487232230698E-2</v>
      </c>
      <c r="O33" s="6" t="str">
        <f>IFERROR((('raw-PriceList'!I32/'raw-PriceList'!I33)-1)-Table14[[#This Row],[RF]],"")</f>
        <v/>
      </c>
      <c r="P33" s="6">
        <f>IFERROR((('raw-PriceList'!J32/'raw-PriceList'!J33)-1)-Table14[[#This Row],[RF]],"")</f>
        <v>-3.8129494852642408E-2</v>
      </c>
      <c r="Q33" s="6">
        <f>IFERROR((('raw-PriceList'!K32/'raw-PriceList'!K33)-1)-Table14[[#This Row],[RF]],"")</f>
        <v>-4.2500934081483054E-2</v>
      </c>
      <c r="R33" s="6">
        <f>IFERROR((('raw-PriceList'!L32/'raw-PriceList'!L33)-1)-Table14[[#This Row],[RF]],"")</f>
        <v>-3.4125320102280775E-2</v>
      </c>
      <c r="S33" s="6" t="str">
        <f>IFERROR((('raw-PriceList'!#REF!/'raw-PriceList'!#REF!)-1)-Table14[[#This Row],[RF]],"")</f>
        <v/>
      </c>
      <c r="T33" s="6">
        <f>IFERROR((('raw-PriceList'!M32/'raw-PriceList'!M33)-1)-Table14[[#This Row],[RF]],"")</f>
        <v>-3.2538311227983917E-2</v>
      </c>
      <c r="U33" s="6">
        <f>IFERROR((('raw-PriceList'!N32/'raw-PriceList'!N33)-1)-Table14[[#This Row],[RF]],"")</f>
        <v>-3.4329221246068541E-2</v>
      </c>
      <c r="V33" s="6">
        <f>IFERROR((('raw-PriceList'!O32/'raw-PriceList'!O33)-1)-Table14[[#This Row],[RF]],"")</f>
        <v>-3.2296737816717956E-2</v>
      </c>
      <c r="W33" s="6">
        <f>IFERROR((('raw-PriceList'!P32/'raw-PriceList'!P33)-1)-Table14[[#This Row],[RF]],"")</f>
        <v>-4.4046773875837129E-2</v>
      </c>
      <c r="X33" s="6">
        <f>IFERROR((('raw-PriceList'!Q32/'raw-PriceList'!Q33)-1)-Table14[[#This Row],[RF]],"")</f>
        <v>-4.1225409881875973E-2</v>
      </c>
      <c r="Y33" s="6" t="str">
        <f>IFERROR((('raw-PriceList'!#REF!/'raw-PriceList'!#REF!)-1)-Table14[[#This Row],[RF]],"")</f>
        <v/>
      </c>
      <c r="Z33" s="6">
        <f>IFERROR((('raw-PriceList'!R32/'raw-PriceList'!R33)-1)-Table14[[#This Row],[RF]],"")</f>
        <v>-4.2095130694489023E-2</v>
      </c>
      <c r="AA33" s="6" t="str">
        <f>IFERROR((('raw-PriceList'!#REF!/'raw-PriceList'!#REF!)-1)-Table14[[#This Row],[RF]],"")</f>
        <v/>
      </c>
      <c r="AB33" s="6" t="str">
        <f>IFERROR((('raw-PriceList'!#REF!/'raw-PriceList'!#REF!)-1)-Table14[[#This Row],[RF]],"")</f>
        <v/>
      </c>
      <c r="AC33" s="6">
        <f>IFERROR((('raw-PriceList'!S32/'raw-PriceList'!S33)-1)-Table14[[#This Row],[RF]],"")</f>
        <v>-3.5484124381097402E-2</v>
      </c>
      <c r="AD33" s="6">
        <f>IFERROR((('raw-PriceList'!T32/'raw-PriceList'!T33)-1)-Table14[[#This Row],[RF]],"")</f>
        <v>-3.2545077265974463E-2</v>
      </c>
      <c r="AE33" s="6" t="str">
        <f>IFERROR((('raw-PriceList'!#REF!/'raw-PriceList'!#REF!)-1)-Table14[[#This Row],[RF]],"")</f>
        <v/>
      </c>
      <c r="AF33" s="6">
        <f>IFERROR((('raw-PriceList'!U32/'raw-PriceList'!U33)-1)-Table14[[#This Row],[RF]],"")</f>
        <v>-4.7930905953737078E-2</v>
      </c>
      <c r="AG33" s="6">
        <f>IFERROR((('raw-PriceList'!V32/'raw-PriceList'!V33)-1)-Table14[[#This Row],[RF]],"")</f>
        <v>-3.26825082818595E-2</v>
      </c>
      <c r="AH33" s="6">
        <f>IFERROR((('raw-PriceList'!W32/'raw-PriceList'!W33)-1)-Table14[[#This Row],[RF]],"")</f>
        <v>-5.171181331103205E-2</v>
      </c>
      <c r="AI33" s="6">
        <f>IFERROR((('raw-PriceList'!X32/'raw-PriceList'!X33)-1)-Table14[[#This Row],[RF]],"")</f>
        <v>-4.2519427166593203E-2</v>
      </c>
      <c r="AJ33" s="6" t="str">
        <f>IFERROR((('raw-PriceList'!#REF!/'raw-PriceList'!#REF!)-1)-Table14[[#This Row],[RF]],"")</f>
        <v/>
      </c>
      <c r="AK33" s="6" t="str">
        <f>IFERROR((('raw-PriceList'!#REF!/'raw-PriceList'!#REF!)-1)-Table14[[#This Row],[RF]],"")</f>
        <v/>
      </c>
      <c r="AL33" s="6">
        <f>IFERROR((('raw-PriceList'!Y32/'raw-PriceList'!Y33)-1)-Table14[[#This Row],[RF]],"")</f>
        <v>-3.9611777208298581E-2</v>
      </c>
      <c r="AM33" s="6" t="str">
        <f>IFERROR((('raw-PriceList'!#REF!/'raw-PriceList'!#REF!)-1)-Table14[[#This Row],[RF]],"")</f>
        <v/>
      </c>
      <c r="AN33" s="6" t="str">
        <f>IFERROR((('raw-PriceList'!#REF!/'raw-PriceList'!#REF!)-1)-Table14[[#This Row],[RF]],"")</f>
        <v/>
      </c>
      <c r="AO33" s="6">
        <f>IFERROR((('raw-PriceList'!AA32/'raw-PriceList'!AA33)-1)-Table14[[#This Row],[RF]],"")</f>
        <v>-3.9328201160282815E-2</v>
      </c>
      <c r="AP33" s="6" t="str">
        <f>IFERROR((('raw-PriceList'!#REF!/'raw-PriceList'!#REF!)-1)-Table14[[#This Row],[RF]],"")</f>
        <v/>
      </c>
      <c r="AQ33" s="6">
        <f>IFERROR((('raw-PriceList'!AB32/'raw-PriceList'!AB33)-1)-Table14[[#This Row],[RF]],"")</f>
        <v>-4.5011050639823601E-2</v>
      </c>
      <c r="AR33" s="6">
        <f>IFERROR((('raw-PriceList'!AC32/'raw-PriceList'!AC33)-1)-Table14[[#This Row],[RF]],"")</f>
        <v>-3.0098707269716661E-2</v>
      </c>
      <c r="AS33" s="6" t="str">
        <f>IFERROR((('raw-PriceList'!#REF!/'raw-PriceList'!#REF!)-1)-Table14[[#This Row],[RF]],"")</f>
        <v/>
      </c>
      <c r="AT33" s="6" t="str">
        <f>IFERROR((('raw-PriceList'!#REF!/'raw-PriceList'!#REF!)-1)-Table14[[#This Row],[RF]],"")</f>
        <v/>
      </c>
      <c r="AU33" s="6" t="str">
        <f>IFERROR((('raw-PriceList'!#REF!/'raw-PriceList'!#REF!)-1)-Table14[[#This Row],[RF]],"")</f>
        <v/>
      </c>
      <c r="AV33" s="6">
        <f>IFERROR((('raw-PriceList'!AD32/'raw-PriceList'!AD33)-1)-Table14[[#This Row],[RF]],"")</f>
        <v>-3.854610993857701E-2</v>
      </c>
      <c r="AW33" s="6">
        <f>IFERROR((('raw-PriceList'!AE32/'raw-PriceList'!AE33)-1)-Table14[[#This Row],[RF]],"")</f>
        <v>-3.854610993857701E-2</v>
      </c>
      <c r="AX33" s="6">
        <f>IFERROR((('raw-PriceList'!AF32/'raw-PriceList'!AF33)-1)-Table14[[#This Row],[RF]],"")</f>
        <v>-4.6944875410488772E-2</v>
      </c>
      <c r="AY33" s="6">
        <f>IFERROR((('raw-PriceList'!AG32/'raw-PriceList'!AG33)-1)-Table14[[#This Row],[RF]],"")</f>
        <v>-9.8992639964374823E-2</v>
      </c>
      <c r="AZ33" s="6">
        <f>IFERROR((('raw-PriceList'!AH32/'raw-PriceList'!AH33)-1)-Table14[[#This Row],[RF]],"")</f>
        <v>-3.7819948675653546E-2</v>
      </c>
      <c r="BA33" s="6" t="str">
        <f>IFERROR((('raw-PriceList'!#REF!/'raw-PriceList'!#REF!)-1)-Table14[[#This Row],[RF]],"")</f>
        <v/>
      </c>
      <c r="BB33" s="6" t="str">
        <f>IFERROR((('raw-PriceList'!AI32/'raw-PriceList'!AI33)-1)-Table14[[#This Row],[RF]],"")</f>
        <v/>
      </c>
    </row>
    <row r="34" spans="1:54" x14ac:dyDescent="0.2">
      <c r="A34" s="5">
        <v>42490</v>
      </c>
      <c r="B34" s="9">
        <v>1</v>
      </c>
      <c r="C34" s="4">
        <v>-5.0000000000000001E-4</v>
      </c>
      <c r="D34" s="4">
        <v>-5.0000000000000001E-4</v>
      </c>
      <c r="E34" s="4">
        <v>-5.0000000000000001E-4</v>
      </c>
      <c r="F34" s="4">
        <v>-5.0000000000000001E-4</v>
      </c>
      <c r="G34" s="4">
        <v>-5.0000000000000001E-4</v>
      </c>
      <c r="H34" s="6">
        <f>IFERROR((('raw-PriceList'!B33/'raw-PriceList'!B34)-1)-Table14[[#This Row],[RF]],"")</f>
        <v>3.7713557879122668E-3</v>
      </c>
      <c r="I34" s="6">
        <f>IFERROR((('raw-PriceList'!C33/'raw-PriceList'!C34)-1)-Table14[[#This Row],[RF]],"")</f>
        <v>2.5060426559618876E-2</v>
      </c>
      <c r="J34" s="6">
        <f>IFERROR((('raw-PriceList'!D33/'raw-PriceList'!D34)-1)-Table14[[#This Row],[RF]],"")</f>
        <v>4.188975348528079E-3</v>
      </c>
      <c r="K34" s="6" t="str">
        <f>IFERROR((('raw-PriceList'!E33/'raw-PriceList'!E34)-1)-Table14[[#This Row],[RF]],"")</f>
        <v/>
      </c>
      <c r="L34" s="6">
        <f>IFERROR((('raw-PriceList'!F4/'raw-PriceList'!F5)-1)-Table14[[#This Row],[RF]],"")</f>
        <v>-8.8198956104489912E-3</v>
      </c>
      <c r="M34" s="6">
        <f>IFERROR((('raw-PriceList'!G33/'raw-PriceList'!G34)-1)-Table14[[#This Row],[RF]],"")</f>
        <v>7.6813619443943893E-4</v>
      </c>
      <c r="N34" s="6">
        <f>IFERROR((('raw-PriceList'!H33/'raw-PriceList'!H34)-1)-Table14[[#This Row],[RF]],"")</f>
        <v>3.4023645207931497E-2</v>
      </c>
      <c r="O34" s="6" t="str">
        <f>IFERROR((('raw-PriceList'!I33/'raw-PriceList'!I34)-1)-Table14[[#This Row],[RF]],"")</f>
        <v/>
      </c>
      <c r="P34" s="6">
        <f>IFERROR((('raw-PriceList'!J33/'raw-PriceList'!J34)-1)-Table14[[#This Row],[RF]],"")</f>
        <v>3.7141314082737964E-2</v>
      </c>
      <c r="Q34" s="6">
        <f>IFERROR((('raw-PriceList'!K33/'raw-PriceList'!K34)-1)-Table14[[#This Row],[RF]],"")</f>
        <v>4.8207400998873828E-2</v>
      </c>
      <c r="R34" s="6">
        <f>IFERROR((('raw-PriceList'!L33/'raw-PriceList'!L34)-1)-Table14[[#This Row],[RF]],"")</f>
        <v>2.8853015672150761E-2</v>
      </c>
      <c r="S34" s="6" t="str">
        <f>IFERROR((('raw-PriceList'!#REF!/'raw-PriceList'!#REF!)-1)-Table14[[#This Row],[RF]],"")</f>
        <v/>
      </c>
      <c r="T34" s="6">
        <f>IFERROR((('raw-PriceList'!M33/'raw-PriceList'!M34)-1)-Table14[[#This Row],[RF]],"")</f>
        <v>5.0874694384245134E-2</v>
      </c>
      <c r="U34" s="6">
        <f>IFERROR((('raw-PriceList'!N33/'raw-PriceList'!N34)-1)-Table14[[#This Row],[RF]],"")</f>
        <v>5.5986627422016488E-2</v>
      </c>
      <c r="V34" s="6">
        <f>IFERROR((('raw-PriceList'!O33/'raw-PriceList'!O34)-1)-Table14[[#This Row],[RF]],"")</f>
        <v>4.6616753678215439E-2</v>
      </c>
      <c r="W34" s="6">
        <f>IFERROR((('raw-PriceList'!P33/'raw-PriceList'!P34)-1)-Table14[[#This Row],[RF]],"")</f>
        <v>7.7615876040988963E-3</v>
      </c>
      <c r="X34" s="6">
        <f>IFERROR((('raw-PriceList'!Q33/'raw-PriceList'!Q34)-1)-Table14[[#This Row],[RF]],"")</f>
        <v>2.2546336890131358E-2</v>
      </c>
      <c r="Y34" s="6" t="str">
        <f>IFERROR((('raw-PriceList'!#REF!/'raw-PriceList'!#REF!)-1)-Table14[[#This Row],[RF]],"")</f>
        <v/>
      </c>
      <c r="Z34" s="6">
        <f>IFERROR((('raw-PriceList'!R33/'raw-PriceList'!R34)-1)-Table14[[#This Row],[RF]],"")</f>
        <v>1.5127548726226454E-3</v>
      </c>
      <c r="AA34" s="6" t="str">
        <f>IFERROR((('raw-PriceList'!#REF!/'raw-PriceList'!#REF!)-1)-Table14[[#This Row],[RF]],"")</f>
        <v/>
      </c>
      <c r="AB34" s="6" t="str">
        <f>IFERROR((('raw-PriceList'!#REF!/'raw-PriceList'!#REF!)-1)-Table14[[#This Row],[RF]],"")</f>
        <v/>
      </c>
      <c r="AC34" s="6">
        <f>IFERROR((('raw-PriceList'!S33/'raw-PriceList'!S34)-1)-Table14[[#This Row],[RF]],"")</f>
        <v>4.2115914574153257E-2</v>
      </c>
      <c r="AD34" s="6">
        <f>IFERROR((('raw-PriceList'!T33/'raw-PriceList'!T34)-1)-Table14[[#This Row],[RF]],"")</f>
        <v>4.2942787568561347E-2</v>
      </c>
      <c r="AE34" s="6" t="str">
        <f>IFERROR((('raw-PriceList'!#REF!/'raw-PriceList'!#REF!)-1)-Table14[[#This Row],[RF]],"")</f>
        <v/>
      </c>
      <c r="AF34" s="6">
        <f>IFERROR((('raw-PriceList'!U33/'raw-PriceList'!U34)-1)-Table14[[#This Row],[RF]],"")</f>
        <v>-2.494046065984472E-4</v>
      </c>
      <c r="AG34" s="6">
        <f>IFERROR((('raw-PriceList'!V33/'raw-PriceList'!V34)-1)-Table14[[#This Row],[RF]],"")</f>
        <v>3.526299148874884E-2</v>
      </c>
      <c r="AH34" s="6">
        <f>IFERROR((('raw-PriceList'!W33/'raw-PriceList'!W34)-1)-Table14[[#This Row],[RF]],"")</f>
        <v>1.9377831375173626E-2</v>
      </c>
      <c r="AI34" s="6">
        <f>IFERROR((('raw-PriceList'!X33/'raw-PriceList'!X34)-1)-Table14[[#This Row],[RF]],"")</f>
        <v>-1.4652156024611012E-3</v>
      </c>
      <c r="AJ34" s="6" t="str">
        <f>IFERROR((('raw-PriceList'!#REF!/'raw-PriceList'!#REF!)-1)-Table14[[#This Row],[RF]],"")</f>
        <v/>
      </c>
      <c r="AK34" s="6" t="str">
        <f>IFERROR((('raw-PriceList'!#REF!/'raw-PriceList'!#REF!)-1)-Table14[[#This Row],[RF]],"")</f>
        <v/>
      </c>
      <c r="AL34" s="6">
        <f>IFERROR((('raw-PriceList'!Y33/'raw-PriceList'!Y34)-1)-Table14[[#This Row],[RF]],"")</f>
        <v>2.3677894209388761E-2</v>
      </c>
      <c r="AM34" s="6" t="str">
        <f>IFERROR((('raw-PriceList'!#REF!/'raw-PriceList'!#REF!)-1)-Table14[[#This Row],[RF]],"")</f>
        <v/>
      </c>
      <c r="AN34" s="6" t="str">
        <f>IFERROR((('raw-PriceList'!#REF!/'raw-PriceList'!#REF!)-1)-Table14[[#This Row],[RF]],"")</f>
        <v/>
      </c>
      <c r="AO34" s="6">
        <f>IFERROR((('raw-PriceList'!AA33/'raw-PriceList'!AA34)-1)-Table14[[#This Row],[RF]],"")</f>
        <v>3.6295117013324064E-4</v>
      </c>
      <c r="AP34" s="6" t="str">
        <f>IFERROR((('raw-PriceList'!#REF!/'raw-PriceList'!#REF!)-1)-Table14[[#This Row],[RF]],"")</f>
        <v/>
      </c>
      <c r="AQ34" s="6">
        <f>IFERROR((('raw-PriceList'!AB33/'raw-PriceList'!AB34)-1)-Table14[[#This Row],[RF]],"")</f>
        <v>4.0820569737328782E-2</v>
      </c>
      <c r="AR34" s="6">
        <f>IFERROR((('raw-PriceList'!AC33/'raw-PriceList'!AC34)-1)-Table14[[#This Row],[RF]],"")</f>
        <v>4.2612142878800274E-2</v>
      </c>
      <c r="AS34" s="6" t="str">
        <f>IFERROR((('raw-PriceList'!#REF!/'raw-PriceList'!#REF!)-1)-Table14[[#This Row],[RF]],"")</f>
        <v/>
      </c>
      <c r="AT34" s="6" t="str">
        <f>IFERROR((('raw-PriceList'!#REF!/'raw-PriceList'!#REF!)-1)-Table14[[#This Row],[RF]],"")</f>
        <v/>
      </c>
      <c r="AU34" s="6" t="str">
        <f>IFERROR((('raw-PriceList'!#REF!/'raw-PriceList'!#REF!)-1)-Table14[[#This Row],[RF]],"")</f>
        <v/>
      </c>
      <c r="AV34" s="6">
        <f>IFERROR((('raw-PriceList'!AD33/'raw-PriceList'!AD34)-1)-Table14[[#This Row],[RF]],"")</f>
        <v>3.7313190129275642E-2</v>
      </c>
      <c r="AW34" s="6">
        <f>IFERROR((('raw-PriceList'!AE33/'raw-PriceList'!AE34)-1)-Table14[[#This Row],[RF]],"")</f>
        <v>3.7313190129275642E-2</v>
      </c>
      <c r="AX34" s="6">
        <f>IFERROR((('raw-PriceList'!AF33/'raw-PriceList'!AF34)-1)-Table14[[#This Row],[RF]],"")</f>
        <v>5.1774392154434523E-2</v>
      </c>
      <c r="AY34" s="6">
        <f>IFERROR((('raw-PriceList'!AG33/'raw-PriceList'!AG34)-1)-Table14[[#This Row],[RF]],"")</f>
        <v>2.7656721636742099E-2</v>
      </c>
      <c r="AZ34" s="6">
        <f>IFERROR((('raw-PriceList'!AH33/'raw-PriceList'!AH34)-1)-Table14[[#This Row],[RF]],"")</f>
        <v>5.7887884803790535E-2</v>
      </c>
      <c r="BA34" s="6" t="str">
        <f>IFERROR((('raw-PriceList'!#REF!/'raw-PriceList'!#REF!)-1)-Table14[[#This Row],[RF]],"")</f>
        <v/>
      </c>
      <c r="BB34" s="6" t="str">
        <f>IFERROR((('raw-PriceList'!AI33/'raw-PriceList'!AI34)-1)-Table14[[#This Row],[RF]],"")</f>
        <v/>
      </c>
    </row>
    <row r="35" spans="1:54" x14ac:dyDescent="0.2">
      <c r="A35" s="5">
        <v>42460</v>
      </c>
      <c r="B35" s="9">
        <v>1</v>
      </c>
      <c r="C35" s="4">
        <v>1.78E-2</v>
      </c>
      <c r="D35" s="4">
        <v>1.78E-2</v>
      </c>
      <c r="E35" s="4">
        <v>1.78E-2</v>
      </c>
      <c r="F35" s="4">
        <v>1.78E-2</v>
      </c>
      <c r="G35" s="4">
        <v>1.78E-2</v>
      </c>
      <c r="H35" s="6">
        <f>IFERROR((('raw-PriceList'!B34/'raw-PriceList'!B35)-1)-Table14[[#This Row],[RF]],"")</f>
        <v>5.8816631929608336E-3</v>
      </c>
      <c r="I35" s="6">
        <f>IFERROR((('raw-PriceList'!C34/'raw-PriceList'!C35)-1)-Table14[[#This Row],[RF]],"")</f>
        <v>3.0391117289696939E-2</v>
      </c>
      <c r="J35" s="6">
        <f>IFERROR((('raw-PriceList'!D34/'raw-PriceList'!D35)-1)-Table14[[#This Row],[RF]],"")</f>
        <v>4.6496975258717918E-4</v>
      </c>
      <c r="K35" s="6" t="str">
        <f>IFERROR((('raw-PriceList'!E34/'raw-PriceList'!E35)-1)-Table14[[#This Row],[RF]],"")</f>
        <v/>
      </c>
      <c r="L35" s="6">
        <f>IFERROR((('raw-PriceList'!F5/'raw-PriceList'!F6)-1)-Table14[[#This Row],[RF]],"")</f>
        <v>-1.3557849729363986E-2</v>
      </c>
      <c r="M35" s="6">
        <f>IFERROR((('raw-PriceList'!G34/'raw-PriceList'!G35)-1)-Table14[[#This Row],[RF]],"")</f>
        <v>-8.8347188579275988E-3</v>
      </c>
      <c r="N35" s="6">
        <f>IFERROR((('raw-PriceList'!H34/'raw-PriceList'!H35)-1)-Table14[[#This Row],[RF]],"")</f>
        <v>7.240857591447751E-2</v>
      </c>
      <c r="O35" s="6" t="str">
        <f>IFERROR((('raw-PriceList'!I34/'raw-PriceList'!I35)-1)-Table14[[#This Row],[RF]],"")</f>
        <v/>
      </c>
      <c r="P35" s="6">
        <f>IFERROR((('raw-PriceList'!J34/'raw-PriceList'!J35)-1)-Table14[[#This Row],[RF]],"")</f>
        <v>-2.0041340510090284E-2</v>
      </c>
      <c r="Q35" s="6">
        <f>IFERROR((('raw-PriceList'!K34/'raw-PriceList'!K35)-1)-Table14[[#This Row],[RF]],"")</f>
        <v>-2.7971010727361151E-2</v>
      </c>
      <c r="R35" s="6">
        <f>IFERROR((('raw-PriceList'!L34/'raw-PriceList'!L35)-1)-Table14[[#This Row],[RF]],"")</f>
        <v>-1.3607782591046298E-2</v>
      </c>
      <c r="S35" s="6" t="str">
        <f>IFERROR((('raw-PriceList'!#REF!/'raw-PriceList'!#REF!)-1)-Table14[[#This Row],[RF]],"")</f>
        <v/>
      </c>
      <c r="T35" s="6">
        <f>IFERROR((('raw-PriceList'!M34/'raw-PriceList'!M35)-1)-Table14[[#This Row],[RF]],"")</f>
        <v>-1.7372556297605663E-2</v>
      </c>
      <c r="U35" s="6">
        <f>IFERROR((('raw-PriceList'!N34/'raw-PriceList'!N35)-1)-Table14[[#This Row],[RF]],"")</f>
        <v>-1.5331554551091215E-2</v>
      </c>
      <c r="V35" s="6">
        <f>IFERROR((('raw-PriceList'!O34/'raw-PriceList'!O35)-1)-Table14[[#This Row],[RF]],"")</f>
        <v>-1.9143044304536689E-2</v>
      </c>
      <c r="W35" s="6">
        <f>IFERROR((('raw-PriceList'!P34/'raw-PriceList'!P35)-1)-Table14[[#This Row],[RF]],"")</f>
        <v>5.5622749289050803E-3</v>
      </c>
      <c r="X35" s="6">
        <f>IFERROR((('raw-PriceList'!Q34/'raw-PriceList'!Q35)-1)-Table14[[#This Row],[RF]],"")</f>
        <v>2.5761377726553108E-2</v>
      </c>
      <c r="Y35" s="6" t="str">
        <f>IFERROR((('raw-PriceList'!#REF!/'raw-PriceList'!#REF!)-1)-Table14[[#This Row],[RF]],"")</f>
        <v/>
      </c>
      <c r="Z35" s="6">
        <f>IFERROR((('raw-PriceList'!R34/'raw-PriceList'!R35)-1)-Table14[[#This Row],[RF]],"")</f>
        <v>-7.3257506909918009E-3</v>
      </c>
      <c r="AA35" s="6" t="str">
        <f>IFERROR((('raw-PriceList'!#REF!/'raw-PriceList'!#REF!)-1)-Table14[[#This Row],[RF]],"")</f>
        <v/>
      </c>
      <c r="AB35" s="6" t="str">
        <f>IFERROR((('raw-PriceList'!#REF!/'raw-PriceList'!#REF!)-1)-Table14[[#This Row],[RF]],"")</f>
        <v/>
      </c>
      <c r="AC35" s="6">
        <f>IFERROR((('raw-PriceList'!S34/'raw-PriceList'!S35)-1)-Table14[[#This Row],[RF]],"")</f>
        <v>-5.1715082379992852E-2</v>
      </c>
      <c r="AD35" s="6">
        <f>IFERROR((('raw-PriceList'!T34/'raw-PriceList'!T35)-1)-Table14[[#This Row],[RF]],"")</f>
        <v>-3.7422920893098247E-2</v>
      </c>
      <c r="AE35" s="6" t="str">
        <f>IFERROR((('raw-PriceList'!#REF!/'raw-PriceList'!#REF!)-1)-Table14[[#This Row],[RF]],"")</f>
        <v/>
      </c>
      <c r="AF35" s="6">
        <f>IFERROR((('raw-PriceList'!U34/'raw-PriceList'!U35)-1)-Table14[[#This Row],[RF]],"")</f>
        <v>1.5299973995859632E-3</v>
      </c>
      <c r="AG35" s="6">
        <f>IFERROR((('raw-PriceList'!V34/'raw-PriceList'!V35)-1)-Table14[[#This Row],[RF]],"")</f>
        <v>-7.7482960534416903E-2</v>
      </c>
      <c r="AH35" s="6">
        <f>IFERROR((('raw-PriceList'!W34/'raw-PriceList'!W35)-1)-Table14[[#This Row],[RF]],"")</f>
        <v>4.1727980285156271E-2</v>
      </c>
      <c r="AI35" s="6">
        <f>IFERROR((('raw-PriceList'!X34/'raw-PriceList'!X35)-1)-Table14[[#This Row],[RF]],"")</f>
        <v>-1.1272703332187734E-2</v>
      </c>
      <c r="AJ35" s="6" t="str">
        <f>IFERROR((('raw-PriceList'!#REF!/'raw-PriceList'!#REF!)-1)-Table14[[#This Row],[RF]],"")</f>
        <v/>
      </c>
      <c r="AK35" s="6" t="str">
        <f>IFERROR((('raw-PriceList'!#REF!/'raw-PriceList'!#REF!)-1)-Table14[[#This Row],[RF]],"")</f>
        <v/>
      </c>
      <c r="AL35" s="6">
        <f>IFERROR((('raw-PriceList'!Y34/'raw-PriceList'!Y35)-1)-Table14[[#This Row],[RF]],"")</f>
        <v>4.2528320124594551E-4</v>
      </c>
      <c r="AM35" s="6" t="str">
        <f>IFERROR((('raw-PriceList'!#REF!/'raw-PriceList'!#REF!)-1)-Table14[[#This Row],[RF]],"")</f>
        <v/>
      </c>
      <c r="AN35" s="6" t="str">
        <f>IFERROR((('raw-PriceList'!#REF!/'raw-PriceList'!#REF!)-1)-Table14[[#This Row],[RF]],"")</f>
        <v/>
      </c>
      <c r="AO35" s="6">
        <f>IFERROR((('raw-PriceList'!AA34/'raw-PriceList'!AA35)-1)-Table14[[#This Row],[RF]],"")</f>
        <v>-1.0431822140077169E-2</v>
      </c>
      <c r="AP35" s="6" t="str">
        <f>IFERROR((('raw-PriceList'!#REF!/'raw-PriceList'!#REF!)-1)-Table14[[#This Row],[RF]],"")</f>
        <v/>
      </c>
      <c r="AQ35" s="6">
        <f>IFERROR((('raw-PriceList'!AB34/'raw-PriceList'!AB35)-1)-Table14[[#This Row],[RF]],"")</f>
        <v>-1.0881392587432443E-2</v>
      </c>
      <c r="AR35" s="6">
        <f>IFERROR((('raw-PriceList'!AC34/'raw-PriceList'!AC35)-1)-Table14[[#This Row],[RF]],"")</f>
        <v>-2.0043159875001455E-2</v>
      </c>
      <c r="AS35" s="6" t="str">
        <f>IFERROR((('raw-PriceList'!#REF!/'raw-PriceList'!#REF!)-1)-Table14[[#This Row],[RF]],"")</f>
        <v/>
      </c>
      <c r="AT35" s="6" t="str">
        <f>IFERROR((('raw-PriceList'!#REF!/'raw-PriceList'!#REF!)-1)-Table14[[#This Row],[RF]],"")</f>
        <v/>
      </c>
      <c r="AU35" s="6" t="str">
        <f>IFERROR((('raw-PriceList'!#REF!/'raw-PriceList'!#REF!)-1)-Table14[[#This Row],[RF]],"")</f>
        <v/>
      </c>
      <c r="AV35" s="6">
        <f>IFERROR((('raw-PriceList'!AD34/'raw-PriceList'!AD35)-1)-Table14[[#This Row],[RF]],"")</f>
        <v>-1.975653845720456E-2</v>
      </c>
      <c r="AW35" s="6">
        <f>IFERROR((('raw-PriceList'!AE34/'raw-PriceList'!AE35)-1)-Table14[[#This Row],[RF]],"")</f>
        <v>-1.975653845720456E-2</v>
      </c>
      <c r="AX35" s="6">
        <f>IFERROR((('raw-PriceList'!AF34/'raw-PriceList'!AF35)-1)-Table14[[#This Row],[RF]],"")</f>
        <v>-2.497024771487762E-2</v>
      </c>
      <c r="AY35" s="6">
        <f>IFERROR((('raw-PriceList'!AG34/'raw-PriceList'!AG35)-1)-Table14[[#This Row],[RF]],"")</f>
        <v>4.7050122319306317E-2</v>
      </c>
      <c r="AZ35" s="6">
        <f>IFERROR((('raw-PriceList'!AH34/'raw-PriceList'!AH35)-1)-Table14[[#This Row],[RF]],"")</f>
        <v>-2.4371816261418672E-2</v>
      </c>
      <c r="BA35" s="6" t="str">
        <f>IFERROR((('raw-PriceList'!#REF!/'raw-PriceList'!#REF!)-1)-Table14[[#This Row],[RF]],"")</f>
        <v/>
      </c>
      <c r="BB35" s="6" t="str">
        <f>IFERROR((('raw-PriceList'!AI34/'raw-PriceList'!AI35)-1)-Table14[[#This Row],[RF]],"")</f>
        <v/>
      </c>
    </row>
    <row r="36" spans="1:54" x14ac:dyDescent="0.2">
      <c r="A36" s="5">
        <v>42429</v>
      </c>
      <c r="B36" s="9">
        <v>1</v>
      </c>
      <c r="C36" s="4">
        <v>9.1999999999999998E-3</v>
      </c>
      <c r="D36" s="4">
        <v>9.1999999999999998E-3</v>
      </c>
      <c r="E36" s="4">
        <v>9.1999999999999998E-3</v>
      </c>
      <c r="F36" s="4">
        <v>9.1999999999999998E-3</v>
      </c>
      <c r="G36" s="4">
        <v>9.1999999999999998E-3</v>
      </c>
      <c r="H36" s="6">
        <f>IFERROR((('raw-PriceList'!B35/'raw-PriceList'!B36)-1)-Table14[[#This Row],[RF]],"")</f>
        <v>-1.3070281013790166E-2</v>
      </c>
      <c r="I36" s="6">
        <f>IFERROR((('raw-PriceList'!C35/'raw-PriceList'!C36)-1)-Table14[[#This Row],[RF]],"")</f>
        <v>-1.1876432879940127E-2</v>
      </c>
      <c r="J36" s="6">
        <f>IFERROR((('raw-PriceList'!D35/'raw-PriceList'!D36)-1)-Table14[[#This Row],[RF]],"")</f>
        <v>-1.1060882183499446E-2</v>
      </c>
      <c r="K36" s="6" t="str">
        <f>IFERROR((('raw-PriceList'!E35/'raw-PriceList'!E36)-1)-Table14[[#This Row],[RF]],"")</f>
        <v/>
      </c>
      <c r="L36" s="6">
        <f>IFERROR((('raw-PriceList'!F6/'raw-PriceList'!F7)-1)-Table14[[#This Row],[RF]],"")</f>
        <v>-9.3844551267065063E-3</v>
      </c>
      <c r="M36" s="6">
        <f>IFERROR((('raw-PriceList'!G35/'raw-PriceList'!G36)-1)-Table14[[#This Row],[RF]],"")</f>
        <v>-1.2325553593288699E-2</v>
      </c>
      <c r="N36" s="6">
        <f>IFERROR((('raw-PriceList'!H35/'raw-PriceList'!H36)-1)-Table14[[#This Row],[RF]],"")</f>
        <v>1.6763182415727579E-3</v>
      </c>
      <c r="O36" s="6" t="str">
        <f>IFERROR((('raw-PriceList'!I35/'raw-PriceList'!I36)-1)-Table14[[#This Row],[RF]],"")</f>
        <v/>
      </c>
      <c r="P36" s="6">
        <f>IFERROR((('raw-PriceList'!J35/'raw-PriceList'!J36)-1)-Table14[[#This Row],[RF]],"")</f>
        <v>8.2722948496455201E-3</v>
      </c>
      <c r="Q36" s="6">
        <f>IFERROR((('raw-PriceList'!K35/'raw-PriceList'!K36)-1)-Table14[[#This Row],[RF]],"")</f>
        <v>1.3346649631377092E-2</v>
      </c>
      <c r="R36" s="6">
        <f>IFERROR((('raw-PriceList'!L35/'raw-PriceList'!L36)-1)-Table14[[#This Row],[RF]],"")</f>
        <v>3.5820956321011982E-3</v>
      </c>
      <c r="S36" s="6" t="str">
        <f>IFERROR((('raw-PriceList'!#REF!/'raw-PriceList'!#REF!)-1)-Table14[[#This Row],[RF]],"")</f>
        <v/>
      </c>
      <c r="T36" s="6">
        <f>IFERROR((('raw-PriceList'!M35/'raw-PriceList'!M36)-1)-Table14[[#This Row],[RF]],"")</f>
        <v>9.7149595013764495E-3</v>
      </c>
      <c r="U36" s="6">
        <f>IFERROR((('raw-PriceList'!N35/'raw-PriceList'!N36)-1)-Table14[[#This Row],[RF]],"")</f>
        <v>1.611753298343209E-2</v>
      </c>
      <c r="V36" s="6">
        <f>IFERROR((('raw-PriceList'!O35/'raw-PriceList'!O36)-1)-Table14[[#This Row],[RF]],"")</f>
        <v>4.9880231772257838E-3</v>
      </c>
      <c r="W36" s="6">
        <f>IFERROR((('raw-PriceList'!P35/'raw-PriceList'!P36)-1)-Table14[[#This Row],[RF]],"")</f>
        <v>-1.1357428062508404E-2</v>
      </c>
      <c r="X36" s="6">
        <f>IFERROR((('raw-PriceList'!Q35/'raw-PriceList'!Q36)-1)-Table14[[#This Row],[RF]],"")</f>
        <v>-1.609494059684459E-2</v>
      </c>
      <c r="Y36" s="6" t="str">
        <f>IFERROR((('raw-PriceList'!#REF!/'raw-PriceList'!#REF!)-1)-Table14[[#This Row],[RF]],"")</f>
        <v/>
      </c>
      <c r="Z36" s="6">
        <f>IFERROR((('raw-PriceList'!R35/'raw-PriceList'!R36)-1)-Table14[[#This Row],[RF]],"")</f>
        <v>-1.1548567994553852E-2</v>
      </c>
      <c r="AA36" s="6" t="str">
        <f>IFERROR((('raw-PriceList'!#REF!/'raw-PriceList'!#REF!)-1)-Table14[[#This Row],[RF]],"")</f>
        <v/>
      </c>
      <c r="AB36" s="6" t="str">
        <f>IFERROR((('raw-PriceList'!#REF!/'raw-PriceList'!#REF!)-1)-Table14[[#This Row],[RF]],"")</f>
        <v/>
      </c>
      <c r="AC36" s="6">
        <f>IFERROR((('raw-PriceList'!S35/'raw-PriceList'!S36)-1)-Table14[[#This Row],[RF]],"")</f>
        <v>-1.2151554462649608E-2</v>
      </c>
      <c r="AD36" s="6">
        <f>IFERROR((('raw-PriceList'!T35/'raw-PriceList'!T36)-1)-Table14[[#This Row],[RF]],"")</f>
        <v>-1.718278884216197E-2</v>
      </c>
      <c r="AE36" s="6" t="str">
        <f>IFERROR((('raw-PriceList'!#REF!/'raw-PriceList'!#REF!)-1)-Table14[[#This Row],[RF]],"")</f>
        <v/>
      </c>
      <c r="AF36" s="6">
        <f>IFERROR((('raw-PriceList'!U35/'raw-PriceList'!U36)-1)-Table14[[#This Row],[RF]],"")</f>
        <v>-1.2492890978633944E-2</v>
      </c>
      <c r="AG36" s="6">
        <f>IFERROR((('raw-PriceList'!V35/'raw-PriceList'!V36)-1)-Table14[[#This Row],[RF]],"")</f>
        <v>-1.3984165981056021E-2</v>
      </c>
      <c r="AH36" s="6">
        <f>IFERROR((('raw-PriceList'!W35/'raw-PriceList'!W36)-1)-Table14[[#This Row],[RF]],"")</f>
        <v>-4.8297494537187374E-3</v>
      </c>
      <c r="AI36" s="6">
        <f>IFERROR((('raw-PriceList'!X35/'raw-PriceList'!X36)-1)-Table14[[#This Row],[RF]],"")</f>
        <v>-1.1332221953778268E-2</v>
      </c>
      <c r="AJ36" s="6" t="str">
        <f>IFERROR((('raw-PriceList'!#REF!/'raw-PriceList'!#REF!)-1)-Table14[[#This Row],[RF]],"")</f>
        <v/>
      </c>
      <c r="AK36" s="6" t="str">
        <f>IFERROR((('raw-PriceList'!#REF!/'raw-PriceList'!#REF!)-1)-Table14[[#This Row],[RF]],"")</f>
        <v/>
      </c>
      <c r="AL36" s="6">
        <f>IFERROR((('raw-PriceList'!Y35/'raw-PriceList'!Y36)-1)-Table14[[#This Row],[RF]],"")</f>
        <v>2.9478811581983011E-4</v>
      </c>
      <c r="AM36" s="6" t="str">
        <f>IFERROR((('raw-PriceList'!#REF!/'raw-PriceList'!#REF!)-1)-Table14[[#This Row],[RF]],"")</f>
        <v/>
      </c>
      <c r="AN36" s="6" t="str">
        <f>IFERROR((('raw-PriceList'!#REF!/'raw-PriceList'!#REF!)-1)-Table14[[#This Row],[RF]],"")</f>
        <v/>
      </c>
      <c r="AO36" s="6">
        <f>IFERROR((('raw-PriceList'!AA35/'raw-PriceList'!AA36)-1)-Table14[[#This Row],[RF]],"")</f>
        <v>-1.0297277417780318E-2</v>
      </c>
      <c r="AP36" s="6" t="str">
        <f>IFERROR((('raw-PriceList'!#REF!/'raw-PriceList'!#REF!)-1)-Table14[[#This Row],[RF]],"")</f>
        <v/>
      </c>
      <c r="AQ36" s="6">
        <f>IFERROR((('raw-PriceList'!AB35/'raw-PriceList'!AB36)-1)-Table14[[#This Row],[RF]],"")</f>
        <v>-2.643662319314645E-2</v>
      </c>
      <c r="AR36" s="6">
        <f>IFERROR((('raw-PriceList'!AC35/'raw-PriceList'!AC36)-1)-Table14[[#This Row],[RF]],"")</f>
        <v>5.2212949465625241E-3</v>
      </c>
      <c r="AS36" s="6" t="str">
        <f>IFERROR((('raw-PriceList'!#REF!/'raw-PriceList'!#REF!)-1)-Table14[[#This Row],[RF]],"")</f>
        <v/>
      </c>
      <c r="AT36" s="6" t="str">
        <f>IFERROR((('raw-PriceList'!#REF!/'raw-PriceList'!#REF!)-1)-Table14[[#This Row],[RF]],"")</f>
        <v/>
      </c>
      <c r="AU36" s="6" t="str">
        <f>IFERROR((('raw-PriceList'!#REF!/'raw-PriceList'!#REF!)-1)-Table14[[#This Row],[RF]],"")</f>
        <v/>
      </c>
      <c r="AV36" s="6">
        <f>IFERROR((('raw-PriceList'!AD35/'raw-PriceList'!AD36)-1)-Table14[[#This Row],[RF]],"")</f>
        <v>8.409761533730728E-3</v>
      </c>
      <c r="AW36" s="6">
        <f>IFERROR((('raw-PriceList'!AE35/'raw-PriceList'!AE36)-1)-Table14[[#This Row],[RF]],"")</f>
        <v>8.409761533730728E-3</v>
      </c>
      <c r="AX36" s="6">
        <f>IFERROR((('raw-PriceList'!AF35/'raw-PriceList'!AF36)-1)-Table14[[#This Row],[RF]],"")</f>
        <v>1.4432499076766012E-2</v>
      </c>
      <c r="AY36" s="6">
        <f>IFERROR((('raw-PriceList'!AG35/'raw-PriceList'!AG36)-1)-Table14[[#This Row],[RF]],"")</f>
        <v>-1.0814027428524567E-2</v>
      </c>
      <c r="AZ36" s="6">
        <f>IFERROR((('raw-PriceList'!AH35/'raw-PriceList'!AH36)-1)-Table14[[#This Row],[RF]],"")</f>
        <v>1.4541992791429065E-3</v>
      </c>
      <c r="BA36" s="6" t="str">
        <f>IFERROR((('raw-PriceList'!#REF!/'raw-PriceList'!#REF!)-1)-Table14[[#This Row],[RF]],"")</f>
        <v/>
      </c>
      <c r="BB36" s="6" t="str">
        <f>IFERROR((('raw-PriceList'!AI35/'raw-PriceList'!AI36)-1)-Table14[[#This Row],[RF]],"")</f>
        <v/>
      </c>
    </row>
    <row r="37" spans="1:54" x14ac:dyDescent="0.2">
      <c r="A37" s="5">
        <v>42400</v>
      </c>
      <c r="B37" s="9">
        <v>1</v>
      </c>
      <c r="C37" s="4">
        <v>6.9599999999999995E-2</v>
      </c>
      <c r="D37" s="4">
        <v>6.9599999999999995E-2</v>
      </c>
      <c r="E37" s="4">
        <v>6.9599999999999995E-2</v>
      </c>
      <c r="F37" s="4">
        <v>6.9599999999999995E-2</v>
      </c>
      <c r="G37" s="4">
        <v>6.9599999999999995E-2</v>
      </c>
      <c r="H37" s="6">
        <f>IFERROR((('raw-PriceList'!B36/'raw-PriceList'!B37)-1)-Table14[[#This Row],[RF]],"")</f>
        <v>-6.8837408459167526E-2</v>
      </c>
      <c r="I37" s="6">
        <f>IFERROR((('raw-PriceList'!C36/'raw-PriceList'!C37)-1)-Table14[[#This Row],[RF]],"")</f>
        <v>-6.1510368960305262E-2</v>
      </c>
      <c r="J37" s="6">
        <f>IFERROR((('raw-PriceList'!D36/'raw-PriceList'!D37)-1)-Table14[[#This Row],[RF]],"")</f>
        <v>-6.7554155696722407E-2</v>
      </c>
      <c r="K37" s="6" t="str">
        <f>IFERROR((('raw-PriceList'!E36/'raw-PriceList'!E37)-1)-Table14[[#This Row],[RF]],"")</f>
        <v/>
      </c>
      <c r="L37" s="6">
        <f>IFERROR((('raw-PriceList'!F7/'raw-PriceList'!F8)-1)-Table14[[#This Row],[RF]],"")</f>
        <v>-7.2892447601087484E-2</v>
      </c>
      <c r="M37" s="6">
        <f>IFERROR((('raw-PriceList'!G36/'raw-PriceList'!G37)-1)-Table14[[#This Row],[RF]],"")</f>
        <v>-6.9854371096299772E-2</v>
      </c>
      <c r="N37" s="6">
        <f>IFERROR((('raw-PriceList'!H36/'raw-PriceList'!H37)-1)-Table14[[#This Row],[RF]],"")</f>
        <v>-8.0882522238938659E-2</v>
      </c>
      <c r="O37" s="6" t="str">
        <f>IFERROR((('raw-PriceList'!I36/'raw-PriceList'!I37)-1)-Table14[[#This Row],[RF]],"")</f>
        <v/>
      </c>
      <c r="P37" s="6">
        <f>IFERROR((('raw-PriceList'!J36/'raw-PriceList'!J37)-1)-Table14[[#This Row],[RF]],"")</f>
        <v>-6.5308006955747788E-2</v>
      </c>
      <c r="Q37" s="6">
        <f>IFERROR((('raw-PriceList'!K36/'raw-PriceList'!K37)-1)-Table14[[#This Row],[RF]],"")</f>
        <v>-7.7868217849712429E-2</v>
      </c>
      <c r="R37" s="6">
        <f>IFERROR((('raw-PriceList'!L36/'raw-PriceList'!L37)-1)-Table14[[#This Row],[RF]],"")</f>
        <v>-5.483084612760647E-2</v>
      </c>
      <c r="S37" s="6" t="str">
        <f>IFERROR((('raw-PriceList'!#REF!/'raw-PriceList'!#REF!)-1)-Table14[[#This Row],[RF]],"")</f>
        <v/>
      </c>
      <c r="T37" s="6">
        <f>IFERROR((('raw-PriceList'!M36/'raw-PriceList'!M37)-1)-Table14[[#This Row],[RF]],"")</f>
        <v>-5.2042953838812633E-2</v>
      </c>
      <c r="U37" s="6">
        <f>IFERROR((('raw-PriceList'!N36/'raw-PriceList'!N37)-1)-Table14[[#This Row],[RF]],"")</f>
        <v>-5.6385327227732485E-2</v>
      </c>
      <c r="V37" s="6">
        <f>IFERROR((('raw-PriceList'!O36/'raw-PriceList'!O37)-1)-Table14[[#This Row],[RF]],"")</f>
        <v>-4.8632533848241066E-2</v>
      </c>
      <c r="W37" s="6">
        <f>IFERROR((('raw-PriceList'!P36/'raw-PriceList'!P37)-1)-Table14[[#This Row],[RF]],"")</f>
        <v>-6.238459904622895E-2</v>
      </c>
      <c r="X37" s="6">
        <f>IFERROR((('raw-PriceList'!Q36/'raw-PriceList'!Q37)-1)-Table14[[#This Row],[RF]],"")</f>
        <v>-4.9817787568523397E-2</v>
      </c>
      <c r="Y37" s="6" t="str">
        <f>IFERROR((('raw-PriceList'!#REF!/'raw-PriceList'!#REF!)-1)-Table14[[#This Row],[RF]],"")</f>
        <v/>
      </c>
      <c r="Z37" s="6">
        <f>IFERROR((('raw-PriceList'!R36/'raw-PriceList'!R37)-1)-Table14[[#This Row],[RF]],"")</f>
        <v>-6.7628776908301158E-2</v>
      </c>
      <c r="AA37" s="6" t="str">
        <f>IFERROR((('raw-PriceList'!#REF!/'raw-PriceList'!#REF!)-1)-Table14[[#This Row],[RF]],"")</f>
        <v/>
      </c>
      <c r="AB37" s="6" t="str">
        <f>IFERROR((('raw-PriceList'!#REF!/'raw-PriceList'!#REF!)-1)-Table14[[#This Row],[RF]],"")</f>
        <v/>
      </c>
      <c r="AC37" s="6">
        <f>IFERROR((('raw-PriceList'!S36/'raw-PriceList'!S37)-1)-Table14[[#This Row],[RF]],"")</f>
        <v>-4.6478400061092606E-2</v>
      </c>
      <c r="AD37" s="6">
        <f>IFERROR((('raw-PriceList'!T36/'raw-PriceList'!T37)-1)-Table14[[#This Row],[RF]],"")</f>
        <v>-4.8978529830155826E-2</v>
      </c>
      <c r="AE37" s="6" t="str">
        <f>IFERROR((('raw-PriceList'!#REF!/'raw-PriceList'!#REF!)-1)-Table14[[#This Row],[RF]],"")</f>
        <v/>
      </c>
      <c r="AF37" s="6">
        <f>IFERROR((('raw-PriceList'!U36/'raw-PriceList'!U37)-1)-Table14[[#This Row],[RF]],"")</f>
        <v>-7.2113839238577837E-2</v>
      </c>
      <c r="AG37" s="6">
        <f>IFERROR((('raw-PriceList'!V36/'raw-PriceList'!V37)-1)-Table14[[#This Row],[RF]],"")</f>
        <v>-4.2014972856441957E-2</v>
      </c>
      <c r="AH37" s="6">
        <f>IFERROR((('raw-PriceList'!W36/'raw-PriceList'!W37)-1)-Table14[[#This Row],[RF]],"")</f>
        <v>-7.4689712937255348E-2</v>
      </c>
      <c r="AI37" s="6">
        <f>IFERROR((('raw-PriceList'!X36/'raw-PriceList'!X37)-1)-Table14[[#This Row],[RF]],"")</f>
        <v>-6.9931884816522794E-2</v>
      </c>
      <c r="AJ37" s="6" t="str">
        <f>IFERROR((('raw-PriceList'!#REF!/'raw-PriceList'!#REF!)-1)-Table14[[#This Row],[RF]],"")</f>
        <v/>
      </c>
      <c r="AK37" s="6" t="str">
        <f>IFERROR((('raw-PriceList'!#REF!/'raw-PriceList'!#REF!)-1)-Table14[[#This Row],[RF]],"")</f>
        <v/>
      </c>
      <c r="AL37" s="6">
        <f>IFERROR((('raw-PriceList'!Y36/'raw-PriceList'!Y37)-1)-Table14[[#This Row],[RF]],"")</f>
        <v>-7.2624489165786676E-2</v>
      </c>
      <c r="AM37" s="6" t="str">
        <f>IFERROR((('raw-PriceList'!#REF!/'raw-PriceList'!#REF!)-1)-Table14[[#This Row],[RF]],"")</f>
        <v/>
      </c>
      <c r="AN37" s="6" t="str">
        <f>IFERROR((('raw-PriceList'!#REF!/'raw-PriceList'!#REF!)-1)-Table14[[#This Row],[RF]],"")</f>
        <v/>
      </c>
      <c r="AO37" s="6">
        <f>IFERROR((('raw-PriceList'!AA36/'raw-PriceList'!AA37)-1)-Table14[[#This Row],[RF]],"")</f>
        <v>-6.8733873819012303E-2</v>
      </c>
      <c r="AP37" s="6" t="str">
        <f>IFERROR((('raw-PriceList'!#REF!/'raw-PriceList'!#REF!)-1)-Table14[[#This Row],[RF]],"")</f>
        <v/>
      </c>
      <c r="AQ37" s="6">
        <f>IFERROR((('raw-PriceList'!AB36/'raw-PriceList'!AB37)-1)-Table14[[#This Row],[RF]],"")</f>
        <v>-4.865338039052991E-2</v>
      </c>
      <c r="AR37" s="6">
        <f>IFERROR((('raw-PriceList'!AC36/'raw-PriceList'!AC37)-1)-Table14[[#This Row],[RF]],"")</f>
        <v>-5.9743894231547245E-2</v>
      </c>
      <c r="AS37" s="6" t="str">
        <f>IFERROR((('raw-PriceList'!#REF!/'raw-PriceList'!#REF!)-1)-Table14[[#This Row],[RF]],"")</f>
        <v/>
      </c>
      <c r="AT37" s="6" t="str">
        <f>IFERROR((('raw-PriceList'!#REF!/'raw-PriceList'!#REF!)-1)-Table14[[#This Row],[RF]],"")</f>
        <v/>
      </c>
      <c r="AU37" s="6" t="str">
        <f>IFERROR((('raw-PriceList'!#REF!/'raw-PriceList'!#REF!)-1)-Table14[[#This Row],[RF]],"")</f>
        <v/>
      </c>
      <c r="AV37" s="6">
        <f>IFERROR((('raw-PriceList'!AD36/'raw-PriceList'!AD37)-1)-Table14[[#This Row],[RF]],"")</f>
        <v>-6.5828310731397388E-2</v>
      </c>
      <c r="AW37" s="6">
        <f>IFERROR((('raw-PriceList'!AE36/'raw-PriceList'!AE37)-1)-Table14[[#This Row],[RF]],"")</f>
        <v>-6.5828310731397388E-2</v>
      </c>
      <c r="AX37" s="6">
        <f>IFERROR((('raw-PriceList'!AF36/'raw-PriceList'!AF37)-1)-Table14[[#This Row],[RF]],"")</f>
        <v>-6.9508042115912994E-2</v>
      </c>
      <c r="AY37" s="6">
        <f>IFERROR((('raw-PriceList'!AG36/'raw-PriceList'!AG37)-1)-Table14[[#This Row],[RF]],"")</f>
        <v>-7.1551797283143759E-2</v>
      </c>
      <c r="AZ37" s="6">
        <f>IFERROR((('raw-PriceList'!AH36/'raw-PriceList'!AH37)-1)-Table14[[#This Row],[RF]],"")</f>
        <v>-6.4906040955032274E-2</v>
      </c>
      <c r="BA37" s="6" t="str">
        <f>IFERROR((('raw-PriceList'!#REF!/'raw-PriceList'!#REF!)-1)-Table14[[#This Row],[RF]],"")</f>
        <v/>
      </c>
      <c r="BB37" s="6" t="str">
        <f>IFERROR((('raw-PriceList'!AI36/'raw-PriceList'!AI37)-1)-Table14[[#This Row],[RF]],"")</f>
        <v/>
      </c>
    </row>
    <row r="38" spans="1:54" x14ac:dyDescent="0.2">
      <c r="A38" s="5">
        <v>42369</v>
      </c>
      <c r="B38" s="9">
        <v>1</v>
      </c>
      <c r="C38" s="4">
        <v>-7.000000000000001E-4</v>
      </c>
      <c r="D38" s="4">
        <v>-7.000000000000001E-4</v>
      </c>
      <c r="E38" s="4">
        <v>-7.000000000000001E-4</v>
      </c>
      <c r="F38" s="4">
        <v>-7.000000000000001E-4</v>
      </c>
      <c r="G38" s="4">
        <v>-7.000000000000001E-4</v>
      </c>
      <c r="H38" s="6">
        <f>IFERROR((('raw-PriceList'!B37/'raw-PriceList'!B38)-1)-Table14[[#This Row],[RF]],"")</f>
        <v>1.1605198500836821E-2</v>
      </c>
      <c r="I38" s="6">
        <f>IFERROR((('raw-PriceList'!C37/'raw-PriceList'!C38)-1)-Table14[[#This Row],[RF]],"")</f>
        <v>2.9786714076430597E-2</v>
      </c>
      <c r="J38" s="6">
        <f>IFERROR((('raw-PriceList'!D37/'raw-PriceList'!D38)-1)-Table14[[#This Row],[RF]],"")</f>
        <v>7.3566603196958064E-3</v>
      </c>
      <c r="K38" s="6" t="str">
        <f>IFERROR((('raw-PriceList'!E37/'raw-PriceList'!E38)-1)-Table14[[#This Row],[RF]],"")</f>
        <v/>
      </c>
      <c r="L38" s="6">
        <f>IFERROR((('raw-PriceList'!F8/'raw-PriceList'!F9)-1)-Table14[[#This Row],[RF]],"")</f>
        <v>3.3006549941513256E-4</v>
      </c>
      <c r="M38" s="6">
        <f>IFERROR((('raw-PriceList'!G37/'raw-PriceList'!G38)-1)-Table14[[#This Row],[RF]],"")</f>
        <v>4.0603703525340035E-3</v>
      </c>
      <c r="N38" s="6">
        <f>IFERROR((('raw-PriceList'!H37/'raw-PriceList'!H38)-1)-Table14[[#This Row],[RF]],"")</f>
        <v>-6.7568763298513695E-3</v>
      </c>
      <c r="O38" s="6" t="str">
        <f>IFERROR((('raw-PriceList'!I37/'raw-PriceList'!I38)-1)-Table14[[#This Row],[RF]],"")</f>
        <v/>
      </c>
      <c r="P38" s="6">
        <f>IFERROR((('raw-PriceList'!J37/'raw-PriceList'!J38)-1)-Table14[[#This Row],[RF]],"")</f>
        <v>5.944131450704989E-2</v>
      </c>
      <c r="Q38" s="6">
        <f>IFERROR((('raw-PriceList'!K37/'raw-PriceList'!K38)-1)-Table14[[#This Row],[RF]],"")</f>
        <v>6.7127376339224915E-2</v>
      </c>
      <c r="R38" s="6">
        <f>IFERROR((('raw-PriceList'!L37/'raw-PriceList'!L38)-1)-Table14[[#This Row],[RF]],"")</f>
        <v>5.7126808402896488E-2</v>
      </c>
      <c r="S38" s="6" t="str">
        <f>IFERROR((('raw-PriceList'!#REF!/'raw-PriceList'!#REF!)-1)-Table14[[#This Row],[RF]],"")</f>
        <v/>
      </c>
      <c r="T38" s="6">
        <f>IFERROR((('raw-PriceList'!M37/'raw-PriceList'!M38)-1)-Table14[[#This Row],[RF]],"")</f>
        <v>8.2365144288023856E-2</v>
      </c>
      <c r="U38" s="6">
        <f>IFERROR((('raw-PriceList'!N37/'raw-PriceList'!N38)-1)-Table14[[#This Row],[RF]],"")</f>
        <v>7.6530135086773615E-2</v>
      </c>
      <c r="V38" s="6">
        <f>IFERROR((('raw-PriceList'!O37/'raw-PriceList'!O38)-1)-Table14[[#This Row],[RF]],"")</f>
        <v>8.605136262653143E-2</v>
      </c>
      <c r="W38" s="6">
        <f>IFERROR((('raw-PriceList'!P37/'raw-PriceList'!P38)-1)-Table14[[#This Row],[RF]],"")</f>
        <v>2.0758241287715272E-2</v>
      </c>
      <c r="X38" s="6">
        <f>IFERROR((('raw-PriceList'!Q37/'raw-PriceList'!Q38)-1)-Table14[[#This Row],[RF]],"")</f>
        <v>6.0250471161781359E-2</v>
      </c>
      <c r="Y38" s="6" t="str">
        <f>IFERROR((('raw-PriceList'!#REF!/'raw-PriceList'!#REF!)-1)-Table14[[#This Row],[RF]],"")</f>
        <v/>
      </c>
      <c r="Z38" s="6">
        <f>IFERROR((('raw-PriceList'!R37/'raw-PriceList'!R38)-1)-Table14[[#This Row],[RF]],"")</f>
        <v>1.0941836138448201E-2</v>
      </c>
      <c r="AA38" s="6" t="str">
        <f>IFERROR((('raw-PriceList'!#REF!/'raw-PriceList'!#REF!)-1)-Table14[[#This Row],[RF]],"")</f>
        <v/>
      </c>
      <c r="AB38" s="6" t="str">
        <f>IFERROR((('raw-PriceList'!#REF!/'raw-PriceList'!#REF!)-1)-Table14[[#This Row],[RF]],"")</f>
        <v/>
      </c>
      <c r="AC38" s="6">
        <f>IFERROR((('raw-PriceList'!S37/'raw-PriceList'!S38)-1)-Table14[[#This Row],[RF]],"")</f>
        <v>6.7982468275151614E-2</v>
      </c>
      <c r="AD38" s="6">
        <f>IFERROR((('raw-PriceList'!T37/'raw-PriceList'!T38)-1)-Table14[[#This Row],[RF]],"")</f>
        <v>8.0435928527122419E-2</v>
      </c>
      <c r="AE38" s="6" t="str">
        <f>IFERROR((('raw-PriceList'!#REF!/'raw-PriceList'!#REF!)-1)-Table14[[#This Row],[RF]],"")</f>
        <v/>
      </c>
      <c r="AF38" s="6">
        <f>IFERROR((('raw-PriceList'!U37/'raw-PriceList'!U38)-1)-Table14[[#This Row],[RF]],"")</f>
        <v>1.5410162302090464E-3</v>
      </c>
      <c r="AG38" s="6">
        <f>IFERROR((('raw-PriceList'!V37/'raw-PriceList'!V38)-1)-Table14[[#This Row],[RF]],"")</f>
        <v>6.4974364569432147E-2</v>
      </c>
      <c r="AH38" s="6">
        <f>IFERROR((('raw-PriceList'!W37/'raw-PriceList'!W38)-1)-Table14[[#This Row],[RF]],"")</f>
        <v>-1.28487833497607E-3</v>
      </c>
      <c r="AI38" s="6">
        <f>IFERROR((('raw-PriceList'!X37/'raw-PriceList'!X38)-1)-Table14[[#This Row],[RF]],"")</f>
        <v>1.7130205777472146E-3</v>
      </c>
      <c r="AJ38" s="6" t="str">
        <f>IFERROR((('raw-PriceList'!#REF!/'raw-PriceList'!#REF!)-1)-Table14[[#This Row],[RF]],"")</f>
        <v/>
      </c>
      <c r="AK38" s="6" t="str">
        <f>IFERROR((('raw-PriceList'!#REF!/'raw-PriceList'!#REF!)-1)-Table14[[#This Row],[RF]],"")</f>
        <v/>
      </c>
      <c r="AL38" s="6">
        <f>IFERROR((('raw-PriceList'!Y37/'raw-PriceList'!Y38)-1)-Table14[[#This Row],[RF]],"")</f>
        <v>5.7800408670658131E-2</v>
      </c>
      <c r="AM38" s="6" t="str">
        <f>IFERROR((('raw-PriceList'!#REF!/'raw-PriceList'!Z38)-1)-Table14[[#This Row],[RF]],"")</f>
        <v/>
      </c>
      <c r="AN38" s="6" t="str">
        <f>IFERROR((('raw-PriceList'!#REF!/'raw-PriceList'!#REF!)-1)-Table14[[#This Row],[RF]],"")</f>
        <v/>
      </c>
      <c r="AO38" s="6">
        <f>IFERROR((('raw-PriceList'!AA37/'raw-PriceList'!AA38)-1)-Table14[[#This Row],[RF]],"")</f>
        <v>1.1086358373629474E-3</v>
      </c>
      <c r="AP38" s="6" t="str">
        <f>IFERROR((('raw-PriceList'!#REF!/'raw-PriceList'!#REF!)-1)-Table14[[#This Row],[RF]],"")</f>
        <v/>
      </c>
      <c r="AQ38" s="6">
        <f>IFERROR((('raw-PriceList'!AB37/'raw-PriceList'!AB38)-1)-Table14[[#This Row],[RF]],"")</f>
        <v>9.0041546008393064E-2</v>
      </c>
      <c r="AR38" s="6">
        <f>IFERROR((('raw-PriceList'!AC37/'raw-PriceList'!AC38)-1)-Table14[[#This Row],[RF]],"")</f>
        <v>7.4426086409423359E-2</v>
      </c>
      <c r="AS38" s="6" t="str">
        <f>IFERROR((('raw-PriceList'!#REF!/'raw-PriceList'!#REF!)-1)-Table14[[#This Row],[RF]],"")</f>
        <v/>
      </c>
      <c r="AT38" s="6" t="str">
        <f>IFERROR((('raw-PriceList'!#REF!/'raw-PriceList'!#REF!)-1)-Table14[[#This Row],[RF]],"")</f>
        <v/>
      </c>
      <c r="AU38" s="6" t="str">
        <f>IFERROR((('raw-PriceList'!#REF!/'raw-PriceList'!#REF!)-1)-Table14[[#This Row],[RF]],"")</f>
        <v/>
      </c>
      <c r="AV38" s="6">
        <f>IFERROR((('raw-PriceList'!AD37/'raw-PriceList'!AD38)-1)-Table14[[#This Row],[RF]],"")</f>
        <v>6.3635155931110216E-2</v>
      </c>
      <c r="AW38" s="6">
        <f>IFERROR((('raw-PriceList'!AE37/'raw-PriceList'!AE38)-1)-Table14[[#This Row],[RF]],"")</f>
        <v>6.3635155931110216E-2</v>
      </c>
      <c r="AX38" s="6">
        <f>IFERROR((('raw-PriceList'!AF37/'raw-PriceList'!AF38)-1)-Table14[[#This Row],[RF]],"")</f>
        <v>8.1347431644233165E-2</v>
      </c>
      <c r="AY38" s="6">
        <f>IFERROR((('raw-PriceList'!AG37/'raw-PriceList'!AG38)-1)-Table14[[#This Row],[RF]],"")</f>
        <v>5.0607827004649351E-2</v>
      </c>
      <c r="AZ38" s="6">
        <f>IFERROR((('raw-PriceList'!AH37/'raw-PriceList'!AH38)-1)-Table14[[#This Row],[RF]],"")</f>
        <v>7.5571623529631399E-2</v>
      </c>
      <c r="BA38" s="6" t="str">
        <f>IFERROR((('raw-PriceList'!#REF!/'raw-PriceList'!#REF!)-1)-Table14[[#This Row],[RF]],"")</f>
        <v/>
      </c>
      <c r="BB38" s="6" t="str">
        <f>IFERROR((('raw-PriceList'!AI37/'raw-PriceList'!AI38)-1)-Table14[[#This Row],[RF]],"")</f>
        <v/>
      </c>
    </row>
    <row r="39" spans="1:54" x14ac:dyDescent="0.2">
      <c r="A39" s="5">
        <v>42338</v>
      </c>
      <c r="B39" s="9">
        <v>1</v>
      </c>
      <c r="C39" s="4">
        <v>-5.7699999999999994E-2</v>
      </c>
      <c r="D39" s="4">
        <v>-5.7699999999999994E-2</v>
      </c>
      <c r="E39" s="4">
        <v>-5.7699999999999994E-2</v>
      </c>
      <c r="F39" s="4">
        <v>-5.7699999999999994E-2</v>
      </c>
      <c r="G39" s="4">
        <v>-5.7699999999999994E-2</v>
      </c>
      <c r="H39" s="6">
        <f>IFERROR((('raw-PriceList'!B38/'raw-PriceList'!B39)-1)-Table14[[#This Row],[RF]],"")</f>
        <v>6.6680703192843499E-2</v>
      </c>
      <c r="I39" s="6">
        <f>IFERROR((('raw-PriceList'!C38/'raw-PriceList'!C39)-1)-Table14[[#This Row],[RF]],"")</f>
        <v>7.5367453542720592E-2</v>
      </c>
      <c r="J39" s="6">
        <f>IFERROR((('raw-PriceList'!D38/'raw-PriceList'!D39)-1)-Table14[[#This Row],[RF]],"")</f>
        <v>6.4161314826053722E-2</v>
      </c>
      <c r="K39" s="6" t="str">
        <f>IFERROR((('raw-PriceList'!E38/'raw-PriceList'!E39)-1)-Table14[[#This Row],[RF]],"")</f>
        <v/>
      </c>
      <c r="L39" s="6">
        <f>IFERROR((('raw-PriceList'!F9/'raw-PriceList'!F10)-1)-Table14[[#This Row],[RF]],"")</f>
        <v>5.8268652184649959E-2</v>
      </c>
      <c r="M39" s="6">
        <f>IFERROR((('raw-PriceList'!G38/'raw-PriceList'!G39)-1)-Table14[[#This Row],[RF]],"")</f>
        <v>5.9692009269775824E-2</v>
      </c>
      <c r="N39" s="6">
        <f>IFERROR((('raw-PriceList'!H38/'raw-PriceList'!H39)-1)-Table14[[#This Row],[RF]],"")</f>
        <v>9.8157686864377564E-2</v>
      </c>
      <c r="O39" s="6" t="str">
        <f>IFERROR((('raw-PriceList'!I38/'raw-PriceList'!I39)-1)-Table14[[#This Row],[RF]],"")</f>
        <v/>
      </c>
      <c r="P39" s="6">
        <f>IFERROR((('raw-PriceList'!J38/'raw-PriceList'!J39)-1)-Table14[[#This Row],[RF]],"")</f>
        <v>5.6506910295916167E-2</v>
      </c>
      <c r="Q39" s="6">
        <f>IFERROR((('raw-PriceList'!K38/'raw-PriceList'!K39)-1)-Table14[[#This Row],[RF]],"")</f>
        <v>5.1822873681765878E-2</v>
      </c>
      <c r="R39" s="6">
        <f>IFERROR((('raw-PriceList'!L38/'raw-PriceList'!L39)-1)-Table14[[#This Row],[RF]],"")</f>
        <v>5.6638673664661597E-2</v>
      </c>
      <c r="S39" s="6" t="str">
        <f>IFERROR((('raw-PriceList'!#REF!/'raw-PriceList'!#REF!)-1)-Table14[[#This Row],[RF]],"")</f>
        <v/>
      </c>
      <c r="T39" s="6">
        <f>IFERROR((('raw-PriceList'!M38/'raw-PriceList'!M39)-1)-Table14[[#This Row],[RF]],"")</f>
        <v>6.544866761418891E-2</v>
      </c>
      <c r="U39" s="6">
        <f>IFERROR((('raw-PriceList'!N38/'raw-PriceList'!N39)-1)-Table14[[#This Row],[RF]],"")</f>
        <v>5.8258554496427049E-2</v>
      </c>
      <c r="V39" s="6">
        <f>IFERROR((('raw-PriceList'!O38/'raw-PriceList'!O39)-1)-Table14[[#This Row],[RF]],"")</f>
        <v>7.271458053811744E-2</v>
      </c>
      <c r="W39" s="6">
        <f>IFERROR((('raw-PriceList'!P38/'raw-PriceList'!P39)-1)-Table14[[#This Row],[RF]],"")</f>
        <v>6.6328121467134432E-2</v>
      </c>
      <c r="X39" s="6">
        <f>IFERROR((('raw-PriceList'!Q38/'raw-PriceList'!Q39)-1)-Table14[[#This Row],[RF]],"")</f>
        <v>6.4623884856287367E-2</v>
      </c>
      <c r="Y39" s="6" t="str">
        <f>IFERROR((('raw-PriceList'!#REF!/'raw-PriceList'!#REF!)-1)-Table14[[#This Row],[RF]],"")</f>
        <v/>
      </c>
      <c r="Z39" s="6">
        <f>IFERROR((('raw-PriceList'!R38/'raw-PriceList'!R39)-1)-Table14[[#This Row],[RF]],"")</f>
        <v>5.8456566298148348E-2</v>
      </c>
      <c r="AA39" s="6" t="str">
        <f>IFERROR((('raw-PriceList'!#REF!/'raw-PriceList'!#REF!)-1)-Table14[[#This Row],[RF]],"")</f>
        <v/>
      </c>
      <c r="AB39" s="6" t="str">
        <f>IFERROR((('raw-PriceList'!#REF!/'raw-PriceList'!#REF!)-1)-Table14[[#This Row],[RF]],"")</f>
        <v/>
      </c>
      <c r="AC39" s="6">
        <f>IFERROR((('raw-PriceList'!S38/'raw-PriceList'!S39)-1)-Table14[[#This Row],[RF]],"")</f>
        <v>2.6803562549870617E-2</v>
      </c>
      <c r="AD39" s="6">
        <f>IFERROR((('raw-PriceList'!T38/'raw-PriceList'!T39)-1)-Table14[[#This Row],[RF]],"")</f>
        <v>3.3385942241118148E-2</v>
      </c>
      <c r="AE39" s="6" t="str">
        <f>IFERROR((('raw-PriceList'!#REF!/'raw-PriceList'!#REF!)-1)-Table14[[#This Row],[RF]],"")</f>
        <v/>
      </c>
      <c r="AF39" s="6">
        <f>IFERROR((('raw-PriceList'!U38/'raw-PriceList'!U39)-1)-Table14[[#This Row],[RF]],"")</f>
        <v>6.455358454327445E-2</v>
      </c>
      <c r="AG39" s="6">
        <f>IFERROR((('raw-PriceList'!V38/'raw-PriceList'!V39)-1)-Table14[[#This Row],[RF]],"")</f>
        <v>2.5428213275007348E-2</v>
      </c>
      <c r="AH39" s="6">
        <f>IFERROR((('raw-PriceList'!W38/'raw-PriceList'!W39)-1)-Table14[[#This Row],[RF]],"")</f>
        <v>8.381154101457336E-2</v>
      </c>
      <c r="AI39" s="6">
        <f>IFERROR((('raw-PriceList'!X38/'raw-PriceList'!X39)-1)-Table14[[#This Row],[RF]],"")</f>
        <v>5.8143812546148775E-2</v>
      </c>
      <c r="AJ39" s="6" t="str">
        <f>IFERROR((('raw-PriceList'!#REF!/'raw-PriceList'!#REF!)-1)-Table14[[#This Row],[RF]],"")</f>
        <v/>
      </c>
      <c r="AK39" s="6" t="str">
        <f>IFERROR((('raw-PriceList'!#REF!/'raw-PriceList'!#REF!)-1)-Table14[[#This Row],[RF]],"")</f>
        <v/>
      </c>
      <c r="AL39" s="6">
        <f>IFERROR((('raw-PriceList'!Y38/'raw-PriceList'!Y39)-1)-Table14[[#This Row],[RF]],"")</f>
        <v>6.9010741156981054E-2</v>
      </c>
      <c r="AM39" s="6" t="str">
        <f>IFERROR((('raw-PriceList'!Z38/'raw-PriceList'!Z39)-1)-Table14[[#This Row],[RF]],"")</f>
        <v/>
      </c>
      <c r="AN39" s="6" t="str">
        <f>IFERROR((('raw-PriceList'!#REF!/'raw-PriceList'!#REF!)-1)-Table14[[#This Row],[RF]],"")</f>
        <v/>
      </c>
      <c r="AO39" s="6">
        <f>IFERROR((('raw-PriceList'!AA38/'raw-PriceList'!AA39)-1)-Table14[[#This Row],[RF]],"")</f>
        <v>5.9115386529432622E-2</v>
      </c>
      <c r="AP39" s="6" t="str">
        <f>IFERROR((('raw-PriceList'!#REF!/'raw-PriceList'!#REF!)-1)-Table14[[#This Row],[RF]],"")</f>
        <v/>
      </c>
      <c r="AQ39" s="6">
        <f>IFERROR((('raw-PriceList'!AB38/'raw-PriceList'!AB39)-1)-Table14[[#This Row],[RF]],"")</f>
        <v>6.7997790175018086E-2</v>
      </c>
      <c r="AR39" s="6">
        <f>IFERROR((('raw-PriceList'!AC38/'raw-PriceList'!AC39)-1)-Table14[[#This Row],[RF]],"")</f>
        <v>7.1290485835446754E-2</v>
      </c>
      <c r="AS39" s="6" t="str">
        <f>IFERROR((('raw-PriceList'!#REF!/'raw-PriceList'!#REF!)-1)-Table14[[#This Row],[RF]],"")</f>
        <v/>
      </c>
      <c r="AT39" s="6" t="str">
        <f>IFERROR((('raw-PriceList'!#REF!/'raw-PriceList'!#REF!)-1)-Table14[[#This Row],[RF]],"")</f>
        <v/>
      </c>
      <c r="AU39" s="6" t="str">
        <f>IFERROR((('raw-PriceList'!#REF!/'raw-PriceList'!#REF!)-1)-Table14[[#This Row],[RF]],"")</f>
        <v/>
      </c>
      <c r="AV39" s="6">
        <f>IFERROR((('raw-PriceList'!AD38/'raw-PriceList'!AD39)-1)-Table14[[#This Row],[RF]],"")</f>
        <v>5.553896406190597E-2</v>
      </c>
      <c r="AW39" s="6">
        <f>IFERROR((('raw-PriceList'!AE38/'raw-PriceList'!AE39)-1)-Table14[[#This Row],[RF]],"")</f>
        <v>5.553896406190597E-2</v>
      </c>
      <c r="AX39" s="6">
        <f>IFERROR((('raw-PriceList'!AF38/'raw-PriceList'!AF39)-1)-Table14[[#This Row],[RF]],"")</f>
        <v>6.816791752523424E-2</v>
      </c>
      <c r="AY39" s="6">
        <f>IFERROR((('raw-PriceList'!AG38/'raw-PriceList'!AG39)-1)-Table14[[#This Row],[RF]],"")</f>
        <v>9.7398517309824989E-2</v>
      </c>
      <c r="AZ39" s="6">
        <f>IFERROR((('raw-PriceList'!AH38/'raw-PriceList'!AH39)-1)-Table14[[#This Row],[RF]],"")</f>
        <v>2.2608925942571599E-2</v>
      </c>
      <c r="BA39" s="6" t="str">
        <f>IFERROR((('raw-PriceList'!#REF!/'raw-PriceList'!#REF!)-1)-Table14[[#This Row],[RF]],"")</f>
        <v/>
      </c>
      <c r="BB39" s="6" t="str">
        <f>IFERROR((('raw-PriceList'!AI38/'raw-PriceList'!AI39)-1)-Table14[[#This Row],[RF]],"")</f>
        <v/>
      </c>
    </row>
    <row r="40" spans="1:54" x14ac:dyDescent="0.2">
      <c r="A40" s="5">
        <v>42308</v>
      </c>
      <c r="B40" s="9">
        <v>1</v>
      </c>
      <c r="C40" s="4">
        <v>-2.1700000000000001E-2</v>
      </c>
      <c r="D40" s="4">
        <v>-2.1700000000000001E-2</v>
      </c>
      <c r="E40" s="4">
        <v>-2.1700000000000001E-2</v>
      </c>
      <c r="F40" s="4">
        <v>-2.1700000000000001E-2</v>
      </c>
      <c r="G40" s="4">
        <v>-2.1700000000000001E-2</v>
      </c>
      <c r="H40" s="6">
        <f>IFERROR((('raw-PriceList'!B39/'raw-PriceList'!B40)-1)-Table14[[#This Row],[RF]],"")</f>
        <v>4.0012354202343559E-2</v>
      </c>
      <c r="I40" s="6">
        <f>IFERROR((('raw-PriceList'!C39/'raw-PriceList'!C40)-1)-Table14[[#This Row],[RF]],"")</f>
        <v>4.5090092369266033E-2</v>
      </c>
      <c r="J40" s="6">
        <f>IFERROR((('raw-PriceList'!D39/'raw-PriceList'!D40)-1)-Table14[[#This Row],[RF]],"")</f>
        <v>3.3713938248704112E-2</v>
      </c>
      <c r="K40" s="6" t="str">
        <f>IFERROR((('raw-PriceList'!E39/'raw-PriceList'!E40)-1)-Table14[[#This Row],[RF]],"")</f>
        <v/>
      </c>
      <c r="L40" s="6">
        <f>IFERROR((('raw-PriceList'!F10/'raw-PriceList'!F11)-1)-Table14[[#This Row],[RF]],"")</f>
        <v>2.6823329374079555E-2</v>
      </c>
      <c r="M40" s="6">
        <f>IFERROR((('raw-PriceList'!G39/'raw-PriceList'!G40)-1)-Table14[[#This Row],[RF]],"")</f>
        <v>2.9600413940721052E-2</v>
      </c>
      <c r="N40" s="6">
        <f>IFERROR((('raw-PriceList'!H39/'raw-PriceList'!H40)-1)-Table14[[#This Row],[RF]],"")</f>
        <v>0.10606727831782575</v>
      </c>
      <c r="O40" s="6" t="str">
        <f>IFERROR((('raw-PriceList'!I39/'raw-PriceList'!I40)-1)-Table14[[#This Row],[RF]],"")</f>
        <v/>
      </c>
      <c r="P40" s="6">
        <f>IFERROR((('raw-PriceList'!J39/'raw-PriceList'!J40)-1)-Table14[[#This Row],[RF]],"")</f>
        <v>-2.8031978542228105E-2</v>
      </c>
      <c r="Q40" s="6">
        <f>IFERROR((('raw-PriceList'!K39/'raw-PriceList'!K40)-1)-Table14[[#This Row],[RF]],"")</f>
        <v>-3.4057336955965412E-2</v>
      </c>
      <c r="R40" s="6">
        <f>IFERROR((('raw-PriceList'!L39/'raw-PriceList'!L40)-1)-Table14[[#This Row],[RF]],"")</f>
        <v>-2.2506246916792757E-2</v>
      </c>
      <c r="S40" s="6" t="str">
        <f>IFERROR((('raw-PriceList'!#REF!/'raw-PriceList'!#REF!)-1)-Table14[[#This Row],[RF]],"")</f>
        <v/>
      </c>
      <c r="T40" s="6">
        <f>IFERROR((('raw-PriceList'!M39/'raw-PriceList'!M40)-1)-Table14[[#This Row],[RF]],"")</f>
        <v>-5.3850297646404754E-2</v>
      </c>
      <c r="U40" s="6">
        <f>IFERROR((('raw-PriceList'!N39/'raw-PriceList'!N40)-1)-Table14[[#This Row],[RF]],"")</f>
        <v>-6.8115256952804015E-2</v>
      </c>
      <c r="V40" s="6">
        <f>IFERROR((('raw-PriceList'!O39/'raw-PriceList'!O40)-1)-Table14[[#This Row],[RF]],"")</f>
        <v>-4.198878479068241E-2</v>
      </c>
      <c r="W40" s="6">
        <f>IFERROR((('raw-PriceList'!P39/'raw-PriceList'!P40)-1)-Table14[[#This Row],[RF]],"")</f>
        <v>2.6352140573241149E-2</v>
      </c>
      <c r="X40" s="6">
        <f>IFERROR((('raw-PriceList'!Q39/'raw-PriceList'!Q40)-1)-Table14[[#This Row],[RF]],"")</f>
        <v>1.7580788873057977E-2</v>
      </c>
      <c r="Y40" s="6" t="str">
        <f>IFERROR((('raw-PriceList'!#REF!/'raw-PriceList'!#REF!)-1)-Table14[[#This Row],[RF]],"")</f>
        <v/>
      </c>
      <c r="Z40" s="6">
        <f>IFERROR((('raw-PriceList'!R39/'raw-PriceList'!R40)-1)-Table14[[#This Row],[RF]],"")</f>
        <v>2.3893905603948166E-2</v>
      </c>
      <c r="AA40" s="6" t="str">
        <f>IFERROR((('raw-PriceList'!#REF!/'raw-PriceList'!#REF!)-1)-Table14[[#This Row],[RF]],"")</f>
        <v/>
      </c>
      <c r="AB40" s="6" t="str">
        <f>IFERROR((('raw-PriceList'!#REF!/'raw-PriceList'!#REF!)-1)-Table14[[#This Row],[RF]],"")</f>
        <v/>
      </c>
      <c r="AC40" s="6">
        <f>IFERROR((('raw-PriceList'!S39/'raw-PriceList'!S40)-1)-Table14[[#This Row],[RF]],"")</f>
        <v>-3.3564546820694041E-2</v>
      </c>
      <c r="AD40" s="6">
        <f>IFERROR((('raw-PriceList'!T39/'raw-PriceList'!T40)-1)-Table14[[#This Row],[RF]],"")</f>
        <v>-3.4328166697496776E-2</v>
      </c>
      <c r="AE40" s="6" t="str">
        <f>IFERROR((('raw-PriceList'!#REF!/'raw-PriceList'!#REF!)-1)-Table14[[#This Row],[RF]],"")</f>
        <v/>
      </c>
      <c r="AF40" s="6">
        <f>IFERROR((('raw-PriceList'!U39/'raw-PriceList'!U40)-1)-Table14[[#This Row],[RF]],"")</f>
        <v>4.4425863058767001E-2</v>
      </c>
      <c r="AG40" s="6">
        <f>IFERROR((('raw-PriceList'!V39/'raw-PriceList'!V40)-1)-Table14[[#This Row],[RF]],"")</f>
        <v>-3.3848182401756521E-2</v>
      </c>
      <c r="AH40" s="6">
        <f>IFERROR((('raw-PriceList'!W39/'raw-PriceList'!W40)-1)-Table14[[#This Row],[RF]],"")</f>
        <v>7.3937784888387037E-2</v>
      </c>
      <c r="AI40" s="6">
        <f>IFERROR((('raw-PriceList'!X39/'raw-PriceList'!X40)-1)-Table14[[#This Row],[RF]],"")</f>
        <v>2.7411005354190891E-2</v>
      </c>
      <c r="AJ40" s="6" t="str">
        <f>IFERROR((('raw-PriceList'!#REF!/'raw-PriceList'!#REF!)-1)-Table14[[#This Row],[RF]],"")</f>
        <v/>
      </c>
      <c r="AK40" s="6" t="str">
        <f>IFERROR((('raw-PriceList'!#REF!/'raw-PriceList'!#REF!)-1)-Table14[[#This Row],[RF]],"")</f>
        <v/>
      </c>
      <c r="AL40" s="6">
        <f>IFERROR((('raw-PriceList'!Y39/'raw-PriceList'!Y40)-1)-Table14[[#This Row],[RF]],"")</f>
        <v>-1.1604138298578169E-3</v>
      </c>
      <c r="AM40" s="6" t="str">
        <f>IFERROR((('raw-PriceList'!Z39/'raw-PriceList'!Z40)-1)-Table14[[#This Row],[RF]],"")</f>
        <v/>
      </c>
      <c r="AN40" s="6" t="str">
        <f>IFERROR((('raw-PriceList'!#REF!/'raw-PriceList'!#REF!)-1)-Table14[[#This Row],[RF]],"")</f>
        <v/>
      </c>
      <c r="AO40" s="6">
        <f>IFERROR((('raw-PriceList'!AA39/'raw-PriceList'!AA40)-1)-Table14[[#This Row],[RF]],"")</f>
        <v>3.40074536087695E-2</v>
      </c>
      <c r="AP40" s="6" t="str">
        <f>IFERROR((('raw-PriceList'!#REF!/'raw-PriceList'!#REF!)-1)-Table14[[#This Row],[RF]],"")</f>
        <v/>
      </c>
      <c r="AQ40" s="6">
        <f>IFERROR((('raw-PriceList'!AB39/'raw-PriceList'!AB40)-1)-Table14[[#This Row],[RF]],"")</f>
        <v>-2.6799012492768889E-2</v>
      </c>
      <c r="AR40" s="6">
        <f>IFERROR((('raw-PriceList'!AC39/'raw-PriceList'!AC40)-1)-Table14[[#This Row],[RF]],"")</f>
        <v>-4.6926278388300491E-2</v>
      </c>
      <c r="AS40" s="6" t="str">
        <f>IFERROR((('raw-PriceList'!#REF!/'raw-PriceList'!#REF!)-1)-Table14[[#This Row],[RF]],"")</f>
        <v/>
      </c>
      <c r="AT40" s="6" t="str">
        <f>IFERROR((('raw-PriceList'!#REF!/'raw-PriceList'!#REF!)-1)-Table14[[#This Row],[RF]],"")</f>
        <v/>
      </c>
      <c r="AU40" s="6" t="str">
        <f>IFERROR((('raw-PriceList'!#REF!/'raw-PriceList'!#REF!)-1)-Table14[[#This Row],[RF]],"")</f>
        <v/>
      </c>
      <c r="AV40" s="6">
        <f>IFERROR((('raw-PriceList'!AD39/'raw-PriceList'!AD40)-1)-Table14[[#This Row],[RF]],"")</f>
        <v>-2.7498101919401326E-2</v>
      </c>
      <c r="AW40" s="6">
        <f>IFERROR((('raw-PriceList'!AE39/'raw-PriceList'!AE40)-1)-Table14[[#This Row],[RF]],"")</f>
        <v>-2.7498101919401326E-2</v>
      </c>
      <c r="AX40" s="6">
        <f>IFERROR((('raw-PriceList'!AF39/'raw-PriceList'!AF40)-1)-Table14[[#This Row],[RF]],"")</f>
        <v>-5.7413630471422283E-2</v>
      </c>
      <c r="AY40" s="6">
        <f>IFERROR((('raw-PriceList'!AG39/'raw-PriceList'!AG40)-1)-Table14[[#This Row],[RF]],"")</f>
        <v>3.3967306583988666E-2</v>
      </c>
      <c r="AZ40" s="6">
        <f>IFERROR((('raw-PriceList'!AH39/'raw-PriceList'!AH40)-1)-Table14[[#This Row],[RF]],"")</f>
        <v>-3.7978234471621131E-2</v>
      </c>
      <c r="BA40" s="6" t="str">
        <f>IFERROR((('raw-PriceList'!#REF!/'raw-PriceList'!#REF!)-1)-Table14[[#This Row],[RF]],"")</f>
        <v/>
      </c>
      <c r="BB40" s="6" t="str">
        <f>IFERROR((('raw-PriceList'!AI39/'raw-PriceList'!AI40)-1)-Table14[[#This Row],[RF]],"")</f>
        <v/>
      </c>
    </row>
    <row r="41" spans="1:54" x14ac:dyDescent="0.2">
      <c r="A41" s="5">
        <v>42277</v>
      </c>
      <c r="B41" s="9">
        <v>1</v>
      </c>
      <c r="C41" s="4">
        <v>5.6000000000000008E-3</v>
      </c>
      <c r="D41" s="4">
        <v>5.6000000000000008E-3</v>
      </c>
      <c r="E41" s="4">
        <v>5.6000000000000008E-3</v>
      </c>
      <c r="F41" s="4">
        <v>5.6000000000000008E-3</v>
      </c>
      <c r="G41" s="4">
        <v>5.6000000000000008E-3</v>
      </c>
      <c r="H41" s="6">
        <f>IFERROR((('raw-PriceList'!B40/'raw-PriceList'!B41)-1)-Table14[[#This Row],[RF]],"")</f>
        <v>-1.8999353521310831E-2</v>
      </c>
      <c r="I41" s="6">
        <f>IFERROR((('raw-PriceList'!C40/'raw-PriceList'!C41)-1)-Table14[[#This Row],[RF]],"")</f>
        <v>-2.568984759231336E-2</v>
      </c>
      <c r="J41" s="6">
        <f>IFERROR((('raw-PriceList'!D40/'raw-PriceList'!D41)-1)-Table14[[#This Row],[RF]],"")</f>
        <v>-1.2291616985585292E-2</v>
      </c>
      <c r="K41" s="6" t="str">
        <f>IFERROR((('raw-PriceList'!E40/'raw-PriceList'!E41)-1)-Table14[[#This Row],[RF]],"")</f>
        <v/>
      </c>
      <c r="L41" s="6">
        <f>IFERROR((('raw-PriceList'!F11/'raw-PriceList'!F12)-1)-Table14[[#This Row],[RF]],"")</f>
        <v>-8.706463737654109E-3</v>
      </c>
      <c r="M41" s="6">
        <f>IFERROR((('raw-PriceList'!G40/'raw-PriceList'!G41)-1)-Table14[[#This Row],[RF]],"")</f>
        <v>-9.9607199123024695E-3</v>
      </c>
      <c r="N41" s="6">
        <f>IFERROR((('raw-PriceList'!H40/'raw-PriceList'!H41)-1)-Table14[[#This Row],[RF]],"")</f>
        <v>-3.2172271556886574E-2</v>
      </c>
      <c r="O41" s="6" t="str">
        <f>IFERROR((('raw-PriceList'!I40/'raw-PriceList'!I41)-1)-Table14[[#This Row],[RF]],"")</f>
        <v/>
      </c>
      <c r="P41" s="6">
        <f>IFERROR((('raw-PriceList'!J40/'raw-PriceList'!J41)-1)-Table14[[#This Row],[RF]],"")</f>
        <v>-2.7628538924011133E-2</v>
      </c>
      <c r="Q41" s="6">
        <f>IFERROR((('raw-PriceList'!K40/'raw-PriceList'!K41)-1)-Table14[[#This Row],[RF]],"")</f>
        <v>-3.4602389231305604E-2</v>
      </c>
      <c r="R41" s="6">
        <f>IFERROR((('raw-PriceList'!L40/'raw-PriceList'!L41)-1)-Table14[[#This Row],[RF]],"")</f>
        <v>-1.9796506585223091E-2</v>
      </c>
      <c r="S41" s="6" t="str">
        <f>IFERROR((('raw-PriceList'!#REF!/'raw-PriceList'!#REF!)-1)-Table14[[#This Row],[RF]],"")</f>
        <v/>
      </c>
      <c r="T41" s="6">
        <f>IFERROR((('raw-PriceList'!M40/'raw-PriceList'!M41)-1)-Table14[[#This Row],[RF]],"")</f>
        <v>-5.2993273116194013E-2</v>
      </c>
      <c r="U41" s="6">
        <f>IFERROR((('raw-PriceList'!N40/'raw-PriceList'!N41)-1)-Table14[[#This Row],[RF]],"")</f>
        <v>-4.3794707338669255E-2</v>
      </c>
      <c r="V41" s="6">
        <f>IFERROR((('raw-PriceList'!O40/'raw-PriceList'!O41)-1)-Table14[[#This Row],[RF]],"")</f>
        <v>-6.1654526934801841E-2</v>
      </c>
      <c r="W41" s="6">
        <f>IFERROR((('raw-PriceList'!P40/'raw-PriceList'!P41)-1)-Table14[[#This Row],[RF]],"")</f>
        <v>-1.8388394765051337E-2</v>
      </c>
      <c r="X41" s="6">
        <f>IFERROR((('raw-PriceList'!Q40/'raw-PriceList'!Q41)-1)-Table14[[#This Row],[RF]],"")</f>
        <v>-2.6349238911923929E-2</v>
      </c>
      <c r="Y41" s="6" t="str">
        <f>IFERROR((('raw-PriceList'!#REF!/'raw-PriceList'!#REF!)-1)-Table14[[#This Row],[RF]],"")</f>
        <v/>
      </c>
      <c r="Z41" s="6">
        <f>IFERROR((('raw-PriceList'!R40/'raw-PriceList'!R41)-1)-Table14[[#This Row],[RF]],"")</f>
        <v>-1.2557970933775371E-2</v>
      </c>
      <c r="AA41" s="6" t="str">
        <f>IFERROR((('raw-PriceList'!#REF!/'raw-PriceList'!#REF!)-1)-Table14[[#This Row],[RF]],"")</f>
        <v/>
      </c>
      <c r="AB41" s="6" t="str">
        <f>IFERROR((('raw-PriceList'!#REF!/'raw-PriceList'!#REF!)-1)-Table14[[#This Row],[RF]],"")</f>
        <v/>
      </c>
      <c r="AC41" s="6">
        <f>IFERROR((('raw-PriceList'!S40/'raw-PriceList'!S41)-1)-Table14[[#This Row],[RF]],"")</f>
        <v>-3.2934948480753019E-2</v>
      </c>
      <c r="AD41" s="6">
        <f>IFERROR((('raw-PriceList'!T40/'raw-PriceList'!T41)-1)-Table14[[#This Row],[RF]],"")</f>
        <v>-3.8356717541297609E-2</v>
      </c>
      <c r="AE41" s="6" t="str">
        <f>IFERROR((('raw-PriceList'!#REF!/'raw-PriceList'!#REF!)-1)-Table14[[#This Row],[RF]],"")</f>
        <v/>
      </c>
      <c r="AF41" s="6">
        <f>IFERROR((('raw-PriceList'!U40/'raw-PriceList'!U41)-1)-Table14[[#This Row],[RF]],"")</f>
        <v>-1.0849432717355896E-2</v>
      </c>
      <c r="AG41" s="6">
        <f>IFERROR((('raw-PriceList'!V40/'raw-PriceList'!V41)-1)-Table14[[#This Row],[RF]],"")</f>
        <v>-3.5693724606651718E-2</v>
      </c>
      <c r="AH41" s="6">
        <f>IFERROR((('raw-PriceList'!W40/'raw-PriceList'!W41)-1)-Table14[[#This Row],[RF]],"")</f>
        <v>-1.2751959820336896E-2</v>
      </c>
      <c r="AI41" s="6">
        <f>IFERROR((('raw-PriceList'!X40/'raw-PriceList'!X41)-1)-Table14[[#This Row],[RF]],"")</f>
        <v>-8.0554486135481843E-3</v>
      </c>
      <c r="AJ41" s="6" t="str">
        <f>IFERROR((('raw-PriceList'!#REF!/'raw-PriceList'!#REF!)-1)-Table14[[#This Row],[RF]],"")</f>
        <v/>
      </c>
      <c r="AK41" s="6" t="str">
        <f>IFERROR((('raw-PriceList'!#REF!/'raw-PriceList'!#REF!)-1)-Table14[[#This Row],[RF]],"")</f>
        <v/>
      </c>
      <c r="AL41" s="6">
        <f>IFERROR((('raw-PriceList'!Y40/'raw-PriceList'!Y41)-1)-Table14[[#This Row],[RF]],"")</f>
        <v>-2.0312991307889168E-2</v>
      </c>
      <c r="AM41" s="6" t="str">
        <f>IFERROR((('raw-PriceList'!Z40/'raw-PriceList'!Z41)-1)-Table14[[#This Row],[RF]],"")</f>
        <v/>
      </c>
      <c r="AN41" s="6" t="str">
        <f>IFERROR((('raw-PriceList'!#REF!/'raw-PriceList'!#REF!)-1)-Table14[[#This Row],[RF]],"")</f>
        <v/>
      </c>
      <c r="AO41" s="6">
        <f>IFERROR((('raw-PriceList'!AA40/'raw-PriceList'!AA41)-1)-Table14[[#This Row],[RF]],"")</f>
        <v>-1.2336714074359274E-2</v>
      </c>
      <c r="AP41" s="6" t="str">
        <f>IFERROR((('raw-PriceList'!#REF!/'raw-PriceList'!#REF!)-1)-Table14[[#This Row],[RF]],"")</f>
        <v/>
      </c>
      <c r="AQ41" s="6">
        <f>IFERROR((('raw-PriceList'!AB40/'raw-PriceList'!AB41)-1)-Table14[[#This Row],[RF]],"")</f>
        <v>-2.8575908221797293E-2</v>
      </c>
      <c r="AR41" s="6">
        <f>IFERROR((('raw-PriceList'!AC40/'raw-PriceList'!AC41)-1)-Table14[[#This Row],[RF]],"")</f>
        <v>-4.0302845778457171E-2</v>
      </c>
      <c r="AS41" s="6" t="str">
        <f>IFERROR((('raw-PriceList'!#REF!/'raw-PriceList'!#REF!)-1)-Table14[[#This Row],[RF]],"")</f>
        <v/>
      </c>
      <c r="AT41" s="6" t="str">
        <f>IFERROR((('raw-PriceList'!#REF!/'raw-PriceList'!#REF!)-1)-Table14[[#This Row],[RF]],"")</f>
        <v/>
      </c>
      <c r="AU41" s="6" t="str">
        <f>IFERROR((('raw-PriceList'!#REF!/'raw-PriceList'!#REF!)-1)-Table14[[#This Row],[RF]],"")</f>
        <v/>
      </c>
      <c r="AV41" s="6">
        <f>IFERROR((('raw-PriceList'!AD40/'raw-PriceList'!AD41)-1)-Table14[[#This Row],[RF]],"")</f>
        <v>-2.8639992692468481E-2</v>
      </c>
      <c r="AW41" s="6">
        <f>IFERROR((('raw-PriceList'!AE40/'raw-PriceList'!AE41)-1)-Table14[[#This Row],[RF]],"")</f>
        <v>-2.8639992692468481E-2</v>
      </c>
      <c r="AX41" s="6">
        <f>IFERROR((('raw-PriceList'!AF40/'raw-PriceList'!AF41)-1)-Table14[[#This Row],[RF]],"")</f>
        <v>-3.4717558764679142E-2</v>
      </c>
      <c r="AY41" s="6">
        <f>IFERROR((('raw-PriceList'!AG40/'raw-PriceList'!AG41)-1)-Table14[[#This Row],[RF]],"")</f>
        <v>-1.6897209614322679E-2</v>
      </c>
      <c r="AZ41" s="6">
        <f>IFERROR((('raw-PriceList'!AH40/'raw-PriceList'!AH41)-1)-Table14[[#This Row],[RF]],"")</f>
        <v>-2.4637782164068374E-2</v>
      </c>
      <c r="BA41" s="6" t="str">
        <f>IFERROR((('raw-PriceList'!#REF!/'raw-PriceList'!#REF!)-1)-Table14[[#This Row],[RF]],"")</f>
        <v/>
      </c>
      <c r="BB41" s="6" t="str">
        <f>IFERROR((('raw-PriceList'!AI40/'raw-PriceList'!AI41)-1)-Table14[[#This Row],[RF]],"")</f>
        <v/>
      </c>
    </row>
    <row r="42" spans="1:54" x14ac:dyDescent="0.2">
      <c r="A42" s="5">
        <v>42247</v>
      </c>
      <c r="B42" s="9">
        <v>1</v>
      </c>
      <c r="C42" s="4">
        <v>7.7499999999999999E-2</v>
      </c>
      <c r="D42" s="4">
        <v>7.7499999999999999E-2</v>
      </c>
      <c r="E42" s="4">
        <v>7.7499999999999999E-2</v>
      </c>
      <c r="F42" s="4">
        <v>7.7499999999999999E-2</v>
      </c>
      <c r="G42" s="4">
        <v>7.7499999999999999E-2</v>
      </c>
      <c r="H42" s="6">
        <f>IFERROR((('raw-PriceList'!B41/'raw-PriceList'!B42)-1)-Table14[[#This Row],[RF]],"")</f>
        <v>-8.3619817091382762E-2</v>
      </c>
      <c r="I42" s="6">
        <f>IFERROR((('raw-PriceList'!C41/'raw-PriceList'!C42)-1)-Table14[[#This Row],[RF]],"")</f>
        <v>-8.9428460022984754E-2</v>
      </c>
      <c r="J42" s="6">
        <f>IFERROR((('raw-PriceList'!D41/'raw-PriceList'!D42)-1)-Table14[[#This Row],[RF]],"")</f>
        <v>-8.3443171411348813E-2</v>
      </c>
      <c r="K42" s="6" t="str">
        <f>IFERROR((('raw-PriceList'!E41/'raw-PriceList'!E42)-1)-Table14[[#This Row],[RF]],"")</f>
        <v/>
      </c>
      <c r="L42" s="6">
        <f>IFERROR((('raw-PriceList'!F12/'raw-PriceList'!F13)-1)-Table14[[#This Row],[RF]],"")</f>
        <v>-7.9880623924822744E-2</v>
      </c>
      <c r="M42" s="6">
        <f>IFERROR((('raw-PriceList'!G41/'raw-PriceList'!G42)-1)-Table14[[#This Row],[RF]],"")</f>
        <v>-8.1430546592375572E-2</v>
      </c>
      <c r="N42" s="6">
        <f>IFERROR((('raw-PriceList'!H41/'raw-PriceList'!H42)-1)-Table14[[#This Row],[RF]],"")</f>
        <v>-9.1778757827151045E-2</v>
      </c>
      <c r="O42" s="6" t="str">
        <f>IFERROR((('raw-PriceList'!I41/'raw-PriceList'!I42)-1)-Table14[[#This Row],[RF]],"")</f>
        <v/>
      </c>
      <c r="P42" s="6">
        <f>IFERROR((('raw-PriceList'!J41/'raw-PriceList'!J42)-1)-Table14[[#This Row],[RF]],"")</f>
        <v>-7.3383059520519697E-2</v>
      </c>
      <c r="Q42" s="6">
        <f>IFERROR((('raw-PriceList'!K41/'raw-PriceList'!K42)-1)-Table14[[#This Row],[RF]],"")</f>
        <v>-7.5983107843033845E-2</v>
      </c>
      <c r="R42" s="6">
        <f>IFERROR((('raw-PriceList'!L41/'raw-PriceList'!L42)-1)-Table14[[#This Row],[RF]],"")</f>
        <v>-7.1976123402345368E-2</v>
      </c>
      <c r="S42" s="6" t="str">
        <f>IFERROR((('raw-PriceList'!#REF!/'raw-PriceList'!#REF!)-1)-Table14[[#This Row],[RF]],"")</f>
        <v/>
      </c>
      <c r="T42" s="6">
        <f>IFERROR((('raw-PriceList'!M41/'raw-PriceList'!M42)-1)-Table14[[#This Row],[RF]],"")</f>
        <v>-5.9361936118880285E-2</v>
      </c>
      <c r="U42" s="6">
        <f>IFERROR((('raw-PriceList'!N41/'raw-PriceList'!N42)-1)-Table14[[#This Row],[RF]],"")</f>
        <v>-5.3285492937513154E-2</v>
      </c>
      <c r="V42" s="6">
        <f>IFERROR((('raw-PriceList'!O41/'raw-PriceList'!O42)-1)-Table14[[#This Row],[RF]],"")</f>
        <v>-6.4359365759175322E-2</v>
      </c>
      <c r="W42" s="6">
        <f>IFERROR((('raw-PriceList'!P41/'raw-PriceList'!P42)-1)-Table14[[#This Row],[RF]],"")</f>
        <v>-8.0308716843065384E-2</v>
      </c>
      <c r="X42" s="6">
        <f>IFERROR((('raw-PriceList'!Q41/'raw-PriceList'!Q42)-1)-Table14[[#This Row],[RF]],"")</f>
        <v>-8.380379679533799E-2</v>
      </c>
      <c r="Y42" s="6" t="str">
        <f>IFERROR((('raw-PriceList'!#REF!/'raw-PriceList'!#REF!)-1)-Table14[[#This Row],[RF]],"")</f>
        <v/>
      </c>
      <c r="Z42" s="6">
        <f>IFERROR((('raw-PriceList'!R41/'raw-PriceList'!R42)-1)-Table14[[#This Row],[RF]],"")</f>
        <v>-7.9263157353102839E-2</v>
      </c>
      <c r="AA42" s="6" t="str">
        <f>IFERROR((('raw-PriceList'!#REF!/'raw-PriceList'!#REF!)-1)-Table14[[#This Row],[RF]],"")</f>
        <v/>
      </c>
      <c r="AB42" s="6" t="str">
        <f>IFERROR((('raw-PriceList'!#REF!/'raw-PriceList'!#REF!)-1)-Table14[[#This Row],[RF]],"")</f>
        <v/>
      </c>
      <c r="AC42" s="6">
        <f>IFERROR((('raw-PriceList'!S41/'raw-PriceList'!S42)-1)-Table14[[#This Row],[RF]],"")</f>
        <v>-8.5117626585406433E-2</v>
      </c>
      <c r="AD42" s="6">
        <f>IFERROR((('raw-PriceList'!T41/'raw-PriceList'!T42)-1)-Table14[[#This Row],[RF]],"")</f>
        <v>-9.0712931936712357E-2</v>
      </c>
      <c r="AE42" s="6" t="str">
        <f>IFERROR((('raw-PriceList'!#REF!/'raw-PriceList'!#REF!)-1)-Table14[[#This Row],[RF]],"")</f>
        <v/>
      </c>
      <c r="AF42" s="6">
        <f>IFERROR((('raw-PriceList'!U41/'raw-PriceList'!U42)-1)-Table14[[#This Row],[RF]],"")</f>
        <v>-8.2943551394768708E-2</v>
      </c>
      <c r="AG42" s="6">
        <f>IFERROR((('raw-PriceList'!V41/'raw-PriceList'!V42)-1)-Table14[[#This Row],[RF]],"")</f>
        <v>-9.0004332314699273E-2</v>
      </c>
      <c r="AH42" s="6">
        <f>IFERROR((('raw-PriceList'!W41/'raw-PriceList'!W42)-1)-Table14[[#This Row],[RF]],"")</f>
        <v>-8.8217930351024751E-2</v>
      </c>
      <c r="AI42" s="6">
        <f>IFERROR((('raw-PriceList'!X41/'raw-PriceList'!X42)-1)-Table14[[#This Row],[RF]],"")</f>
        <v>-8.0294852337461572E-2</v>
      </c>
      <c r="AJ42" s="6" t="str">
        <f>IFERROR((('raw-PriceList'!#REF!/'raw-PriceList'!#REF!)-1)-Table14[[#This Row],[RF]],"")</f>
        <v/>
      </c>
      <c r="AK42" s="6" t="str">
        <f>IFERROR((('raw-PriceList'!#REF!/'raw-PriceList'!#REF!)-1)-Table14[[#This Row],[RF]],"")</f>
        <v/>
      </c>
      <c r="AL42" s="6">
        <f>IFERROR((('raw-PriceList'!Y41/'raw-PriceList'!Y42)-1)-Table14[[#This Row],[RF]],"")</f>
        <v>-7.4849385834542578E-2</v>
      </c>
      <c r="AM42" s="6" t="str">
        <f>IFERROR((('raw-PriceList'!Z41/'raw-PriceList'!Z42)-1)-Table14[[#This Row],[RF]],"")</f>
        <v/>
      </c>
      <c r="AN42" s="6" t="str">
        <f>IFERROR((('raw-PriceList'!#REF!/'raw-PriceList'!#REF!)-1)-Table14[[#This Row],[RF]],"")</f>
        <v/>
      </c>
      <c r="AO42" s="6">
        <f>IFERROR((('raw-PriceList'!AA41/'raw-PriceList'!AA42)-1)-Table14[[#This Row],[RF]],"")</f>
        <v>-8.1236974784711022E-2</v>
      </c>
      <c r="AP42" s="6" t="str">
        <f>IFERROR((('raw-PriceList'!#REF!/'raw-PriceList'!#REF!)-1)-Table14[[#This Row],[RF]],"")</f>
        <v/>
      </c>
      <c r="AQ42" s="6">
        <f>IFERROR((('raw-PriceList'!AB41/'raw-PriceList'!AB42)-1)-Table14[[#This Row],[RF]],"")</f>
        <v>-0.1008098404801656</v>
      </c>
      <c r="AR42" s="6">
        <f>IFERROR((('raw-PriceList'!AC41/'raw-PriceList'!AC42)-1)-Table14[[#This Row],[RF]],"")</f>
        <v>-7.1283582233763063E-2</v>
      </c>
      <c r="AS42" s="6" t="str">
        <f>IFERROR((('raw-PriceList'!#REF!/'raw-PriceList'!#REF!)-1)-Table14[[#This Row],[RF]],"")</f>
        <v/>
      </c>
      <c r="AT42" s="6" t="str">
        <f>IFERROR((('raw-PriceList'!#REF!/'raw-PriceList'!#REF!)-1)-Table14[[#This Row],[RF]],"")</f>
        <v/>
      </c>
      <c r="AU42" s="6" t="str">
        <f>IFERROR((('raw-PriceList'!#REF!/'raw-PriceList'!#REF!)-1)-Table14[[#This Row],[RF]],"")</f>
        <v/>
      </c>
      <c r="AV42" s="6">
        <f>IFERROR((('raw-PriceList'!AD41/'raw-PriceList'!AD42)-1)-Table14[[#This Row],[RF]],"")</f>
        <v>-7.3275380423833622E-2</v>
      </c>
      <c r="AW42" s="6">
        <f>IFERROR((('raw-PriceList'!AE41/'raw-PriceList'!AE42)-1)-Table14[[#This Row],[RF]],"")</f>
        <v>-7.3275380423833622E-2</v>
      </c>
      <c r="AX42" s="6">
        <f>IFERROR((('raw-PriceList'!AF41/'raw-PriceList'!AF42)-1)-Table14[[#This Row],[RF]],"")</f>
        <v>-7.7700352905384781E-2</v>
      </c>
      <c r="AY42" s="6">
        <f>IFERROR((('raw-PriceList'!AG41/'raw-PriceList'!AG42)-1)-Table14[[#This Row],[RF]],"")</f>
        <v>-8.7638918225361503E-2</v>
      </c>
      <c r="AZ42" s="6">
        <f>IFERROR((('raw-PriceList'!AH41/'raw-PriceList'!AH42)-1)-Table14[[#This Row],[RF]],"")</f>
        <v>-7.7138095300762863E-2</v>
      </c>
      <c r="BA42" s="6" t="str">
        <f>IFERROR((('raw-PriceList'!#REF!/'raw-PriceList'!#REF!)-1)-Table14[[#This Row],[RF]],"")</f>
        <v/>
      </c>
      <c r="BB42" s="6" t="str">
        <f>IFERROR((('raw-PriceList'!AI41/'raw-PriceList'!AI42)-1)-Table14[[#This Row],[RF]],"")</f>
        <v/>
      </c>
    </row>
    <row r="43" spans="1:54" x14ac:dyDescent="0.2">
      <c r="A43" s="5">
        <v>42216</v>
      </c>
      <c r="B43" s="9">
        <v>1</v>
      </c>
      <c r="C43" s="4">
        <v>-3.0800000000000001E-2</v>
      </c>
      <c r="D43" s="4">
        <v>-3.0800000000000001E-2</v>
      </c>
      <c r="E43" s="4">
        <v>-3.0800000000000001E-2</v>
      </c>
      <c r="F43" s="4">
        <v>-3.0800000000000001E-2</v>
      </c>
      <c r="G43" s="4">
        <v>-3.0800000000000001E-2</v>
      </c>
      <c r="H43" s="6">
        <f>IFERROR((('raw-PriceList'!B42/'raw-PriceList'!B43)-1)-Table14[[#This Row],[RF]],"")</f>
        <v>2.9212568572016546E-2</v>
      </c>
      <c r="I43" s="6">
        <f>IFERROR((('raw-PriceList'!C42/'raw-PriceList'!C43)-1)-Table14[[#This Row],[RF]],"")</f>
        <v>3.4360273933350456E-2</v>
      </c>
      <c r="J43" s="6">
        <f>IFERROR((('raw-PriceList'!D42/'raw-PriceList'!D43)-1)-Table14[[#This Row],[RF]],"")</f>
        <v>2.9075793884255803E-2</v>
      </c>
      <c r="K43" s="6" t="str">
        <f>IFERROR((('raw-PriceList'!E42/'raw-PriceList'!E43)-1)-Table14[[#This Row],[RF]],"")</f>
        <v/>
      </c>
      <c r="L43" s="6">
        <f>IFERROR((('raw-PriceList'!F13/'raw-PriceList'!F14)-1)-Table14[[#This Row],[RF]],"")</f>
        <v>4.1477333597285844E-2</v>
      </c>
      <c r="M43" s="6">
        <f>IFERROR((('raw-PriceList'!G42/'raw-PriceList'!G43)-1)-Table14[[#This Row],[RF]],"")</f>
        <v>2.8895008259856976E-2</v>
      </c>
      <c r="N43" s="6">
        <f>IFERROR((('raw-PriceList'!H42/'raw-PriceList'!H43)-1)-Table14[[#This Row],[RF]],"")</f>
        <v>2.6447981458033017E-2</v>
      </c>
      <c r="O43" s="6" t="str">
        <f>IFERROR((('raw-PriceList'!I42/'raw-PriceList'!I43)-1)-Table14[[#This Row],[RF]],"")</f>
        <v/>
      </c>
      <c r="P43" s="6">
        <f>IFERROR((('raw-PriceList'!J42/'raw-PriceList'!J43)-1)-Table14[[#This Row],[RF]],"")</f>
        <v>0.11900189968373326</v>
      </c>
      <c r="Q43" s="6">
        <f>IFERROR((('raw-PriceList'!K42/'raw-PriceList'!K43)-1)-Table14[[#This Row],[RF]],"")</f>
        <v>0.12895558802045276</v>
      </c>
      <c r="R43" s="6">
        <f>IFERROR((('raw-PriceList'!L42/'raw-PriceList'!L43)-1)-Table14[[#This Row],[RF]],"")</f>
        <v>0.10882841623120526</v>
      </c>
      <c r="S43" s="6" t="str">
        <f>IFERROR((('raw-PriceList'!#REF!/'raw-PriceList'!#REF!)-1)-Table14[[#This Row],[RF]],"")</f>
        <v/>
      </c>
      <c r="T43" s="6">
        <f>IFERROR((('raw-PriceList'!M42/'raw-PriceList'!M43)-1)-Table14[[#This Row],[RF]],"")</f>
        <v>8.7518174354438705E-2</v>
      </c>
      <c r="U43" s="6">
        <f>IFERROR((('raw-PriceList'!N42/'raw-PriceList'!N43)-1)-Table14[[#This Row],[RF]],"")</f>
        <v>7.7362611077158638E-2</v>
      </c>
      <c r="V43" s="6">
        <f>IFERROR((('raw-PriceList'!O42/'raw-PriceList'!O43)-1)-Table14[[#This Row],[RF]],"")</f>
        <v>9.7172465860849544E-2</v>
      </c>
      <c r="W43" s="6">
        <f>IFERROR((('raw-PriceList'!P42/'raw-PriceList'!P43)-1)-Table14[[#This Row],[RF]],"")</f>
        <v>3.076874749072795E-2</v>
      </c>
      <c r="X43" s="6">
        <f>IFERROR((('raw-PriceList'!Q42/'raw-PriceList'!Q43)-1)-Table14[[#This Row],[RF]],"")</f>
        <v>3.6457496869151181E-2</v>
      </c>
      <c r="Y43" s="6" t="str">
        <f>IFERROR((('raw-PriceList'!#REF!/'raw-PriceList'!#REF!)-1)-Table14[[#This Row],[RF]],"")</f>
        <v/>
      </c>
      <c r="Z43" s="6">
        <f>IFERROR((('raw-PriceList'!R42/'raw-PriceList'!R43)-1)-Table14[[#This Row],[RF]],"")</f>
        <v>3.0462015766073831E-2</v>
      </c>
      <c r="AA43" s="6" t="str">
        <f>IFERROR((('raw-PriceList'!#REF!/'raw-PriceList'!#REF!)-1)-Table14[[#This Row],[RF]],"")</f>
        <v/>
      </c>
      <c r="AB43" s="6" t="str">
        <f>IFERROR((('raw-PriceList'!#REF!/'raw-PriceList'!#REF!)-1)-Table14[[#This Row],[RF]],"")</f>
        <v/>
      </c>
      <c r="AC43" s="6">
        <f>IFERROR((('raw-PriceList'!S42/'raw-PriceList'!S43)-1)-Table14[[#This Row],[RF]],"")</f>
        <v>9.813930590588843E-2</v>
      </c>
      <c r="AD43" s="6">
        <f>IFERROR((('raw-PriceList'!T42/'raw-PriceList'!T43)-1)-Table14[[#This Row],[RF]],"")</f>
        <v>9.7625669850561592E-2</v>
      </c>
      <c r="AE43" s="6" t="str">
        <f>IFERROR((('raw-PriceList'!#REF!/'raw-PriceList'!#REF!)-1)-Table14[[#This Row],[RF]],"")</f>
        <v/>
      </c>
      <c r="AF43" s="6">
        <f>IFERROR((('raw-PriceList'!U42/'raw-PriceList'!U43)-1)-Table14[[#This Row],[RF]],"")</f>
        <v>2.3157603417688973E-2</v>
      </c>
      <c r="AG43" s="6">
        <f>IFERROR((('raw-PriceList'!V42/'raw-PriceList'!V43)-1)-Table14[[#This Row],[RF]],"")</f>
        <v>8.9751665392782398E-2</v>
      </c>
      <c r="AH43" s="6">
        <f>IFERROR((('raw-PriceList'!W42/'raw-PriceList'!W43)-1)-Table14[[#This Row],[RF]],"")</f>
        <v>2.4720514554460955E-2</v>
      </c>
      <c r="AI43" s="6">
        <f>IFERROR((('raw-PriceList'!X42/'raw-PriceList'!X43)-1)-Table14[[#This Row],[RF]],"")</f>
        <v>2.8729970256597133E-2</v>
      </c>
      <c r="AJ43" s="6" t="str">
        <f>IFERROR((('raw-PriceList'!#REF!/'raw-PriceList'!#REF!)-1)-Table14[[#This Row],[RF]],"")</f>
        <v/>
      </c>
      <c r="AK43" s="6" t="str">
        <f>IFERROR((('raw-PriceList'!#REF!/'raw-PriceList'!#REF!)-1)-Table14[[#This Row],[RF]],"")</f>
        <v/>
      </c>
      <c r="AL43" s="6">
        <f>IFERROR((('raw-PriceList'!Y42/'raw-PriceList'!Y43)-1)-Table14[[#This Row],[RF]],"")</f>
        <v>9.8207599675940227E-2</v>
      </c>
      <c r="AM43" s="6" t="str">
        <f>IFERROR((('raw-PriceList'!Z42/'raw-PriceList'!Z43)-1)-Table14[[#This Row],[RF]],"")</f>
        <v/>
      </c>
      <c r="AN43" s="6" t="str">
        <f>IFERROR((('raw-PriceList'!#REF!/'raw-PriceList'!#REF!)-1)-Table14[[#This Row],[RF]],"")</f>
        <v/>
      </c>
      <c r="AO43" s="6">
        <f>IFERROR((('raw-PriceList'!AA42/'raw-PriceList'!AA43)-1)-Table14[[#This Row],[RF]],"")</f>
        <v>2.9290786545154997E-2</v>
      </c>
      <c r="AP43" s="6" t="str">
        <f>IFERROR((('raw-PriceList'!#REF!/'raw-PriceList'!#REF!)-1)-Table14[[#This Row],[RF]],"")</f>
        <v/>
      </c>
      <c r="AQ43" s="6">
        <f>IFERROR((('raw-PriceList'!AB42/'raw-PriceList'!AB43)-1)-Table14[[#This Row],[RF]],"")</f>
        <v>8.1347862941173743E-2</v>
      </c>
      <c r="AR43" s="6">
        <f>IFERROR((('raw-PriceList'!AC42/'raw-PriceList'!AC43)-1)-Table14[[#This Row],[RF]],"")</f>
        <v>9.3865246040679751E-2</v>
      </c>
      <c r="AS43" s="6" t="str">
        <f>IFERROR((('raw-PriceList'!#REF!/'raw-PriceList'!#REF!)-1)-Table14[[#This Row],[RF]],"")</f>
        <v/>
      </c>
      <c r="AT43" s="6" t="str">
        <f>IFERROR((('raw-PriceList'!#REF!/'raw-PriceList'!#REF!)-1)-Table14[[#This Row],[RF]],"")</f>
        <v/>
      </c>
      <c r="AU43" s="6" t="str">
        <f>IFERROR((('raw-PriceList'!#REF!/'raw-PriceList'!#REF!)-1)-Table14[[#This Row],[RF]],"")</f>
        <v/>
      </c>
      <c r="AV43" s="6">
        <f>IFERROR((('raw-PriceList'!AD42/'raw-PriceList'!AD43)-1)-Table14[[#This Row],[RF]],"")</f>
        <v>0.11528379547306861</v>
      </c>
      <c r="AW43" s="6">
        <f>IFERROR((('raw-PriceList'!AE42/'raw-PriceList'!AE43)-1)-Table14[[#This Row],[RF]],"")</f>
        <v>0.11528379547306861</v>
      </c>
      <c r="AX43" s="6">
        <f>IFERROR((('raw-PriceList'!AF42/'raw-PriceList'!AF43)-1)-Table14[[#This Row],[RF]],"")</f>
        <v>8.6818277398569343E-2</v>
      </c>
      <c r="AY43" s="6">
        <f>IFERROR((('raw-PriceList'!AG42/'raw-PriceList'!AG43)-1)-Table14[[#This Row],[RF]],"")</f>
        <v>0.11870479407331908</v>
      </c>
      <c r="AZ43" s="6">
        <f>IFERROR((('raw-PriceList'!AH42/'raw-PriceList'!AH43)-1)-Table14[[#This Row],[RF]],"")</f>
        <v>0.10641968255162643</v>
      </c>
      <c r="BA43" s="6" t="str">
        <f>IFERROR((('raw-PriceList'!#REF!/'raw-PriceList'!#REF!)-1)-Table14[[#This Row],[RF]],"")</f>
        <v/>
      </c>
      <c r="BB43" s="6" t="str">
        <f>IFERROR((('raw-PriceList'!AI42/'raw-PriceList'!AI43)-1)-Table14[[#This Row],[RF]],"")</f>
        <v/>
      </c>
    </row>
    <row r="44" spans="1:54" x14ac:dyDescent="0.2">
      <c r="A44" s="5">
        <v>42185</v>
      </c>
      <c r="B44" s="9">
        <v>1</v>
      </c>
      <c r="C44" s="4">
        <v>-6.0400000000000002E-2</v>
      </c>
      <c r="D44" s="4">
        <v>-6.0400000000000002E-2</v>
      </c>
      <c r="E44" s="4">
        <v>-6.0400000000000002E-2</v>
      </c>
      <c r="F44" s="4">
        <v>-6.0400000000000002E-2</v>
      </c>
      <c r="G44" s="4">
        <v>-6.0400000000000002E-2</v>
      </c>
      <c r="H44" s="6">
        <f>IFERROR((('raw-PriceList'!B43/'raw-PriceList'!B44)-1)-Table14[[#This Row],[RF]],"")</f>
        <v>6.9102465238766175E-2</v>
      </c>
      <c r="I44" s="6">
        <f>IFERROR((('raw-PriceList'!C43/'raw-PriceList'!C44)-1)-Table14[[#This Row],[RF]],"")</f>
        <v>6.7852025296629259E-2</v>
      </c>
      <c r="J44" s="6">
        <f>IFERROR((('raw-PriceList'!D43/'raw-PriceList'!D44)-1)-Table14[[#This Row],[RF]],"")</f>
        <v>6.6367345668802757E-2</v>
      </c>
      <c r="K44" s="6" t="str">
        <f>IFERROR((('raw-PriceList'!E43/'raw-PriceList'!E44)-1)-Table14[[#This Row],[RF]],"")</f>
        <v/>
      </c>
      <c r="L44" s="6">
        <f>IFERROR((('raw-PriceList'!F14/'raw-PriceList'!F15)-1)-Table14[[#This Row],[RF]],"")</f>
        <v>6.2069042689424585E-2</v>
      </c>
      <c r="M44" s="6">
        <f>IFERROR((('raw-PriceList'!G43/'raw-PriceList'!G44)-1)-Table14[[#This Row],[RF]],"")</f>
        <v>6.4374619882091588E-2</v>
      </c>
      <c r="N44" s="6">
        <f>IFERROR((('raw-PriceList'!H43/'raw-PriceList'!H44)-1)-Table14[[#This Row],[RF]],"")</f>
        <v>7.5101357665614987E-2</v>
      </c>
      <c r="O44" s="6" t="str">
        <f>IFERROR((('raw-PriceList'!I43/'raw-PriceList'!I44)-1)-Table14[[#This Row],[RF]],"")</f>
        <v/>
      </c>
      <c r="P44" s="6">
        <f>IFERROR((('raw-PriceList'!J43/'raw-PriceList'!J44)-1)-Table14[[#This Row],[RF]],"")</f>
        <v>3.0208624239741015E-2</v>
      </c>
      <c r="Q44" s="6">
        <f>IFERROR((('raw-PriceList'!K43/'raw-PriceList'!K44)-1)-Table14[[#This Row],[RF]],"")</f>
        <v>2.9364408634040433E-2</v>
      </c>
      <c r="R44" s="6">
        <f>IFERROR((('raw-PriceList'!L43/'raw-PriceList'!L44)-1)-Table14[[#This Row],[RF]],"")</f>
        <v>3.1926356749341515E-2</v>
      </c>
      <c r="S44" s="6" t="str">
        <f>IFERROR((('raw-PriceList'!#REF!/'raw-PriceList'!#REF!)-1)-Table14[[#This Row],[RF]],"")</f>
        <v/>
      </c>
      <c r="T44" s="6">
        <f>IFERROR((('raw-PriceList'!M43/'raw-PriceList'!M44)-1)-Table14[[#This Row],[RF]],"")</f>
        <v>6.8343812403028822E-3</v>
      </c>
      <c r="U44" s="6">
        <f>IFERROR((('raw-PriceList'!N43/'raw-PriceList'!N44)-1)-Table14[[#This Row],[RF]],"")</f>
        <v>-9.9341862718050483E-4</v>
      </c>
      <c r="V44" s="6">
        <f>IFERROR((('raw-PriceList'!O43/'raw-PriceList'!O44)-1)-Table14[[#This Row],[RF]],"")</f>
        <v>1.3465556379982695E-2</v>
      </c>
      <c r="W44" s="6">
        <f>IFERROR((('raw-PriceList'!P43/'raw-PriceList'!P44)-1)-Table14[[#This Row],[RF]],"")</f>
        <v>7.4798153799097822E-2</v>
      </c>
      <c r="X44" s="6">
        <f>IFERROR((('raw-PriceList'!Q43/'raw-PriceList'!Q44)-1)-Table14[[#This Row],[RF]],"")</f>
        <v>7.0609303401512058E-2</v>
      </c>
      <c r="Y44" s="6" t="str">
        <f>IFERROR((('raw-PriceList'!#REF!/'raw-PriceList'!#REF!)-1)-Table14[[#This Row],[RF]],"")</f>
        <v/>
      </c>
      <c r="Z44" s="6">
        <f>IFERROR((('raw-PriceList'!R43/'raw-PriceList'!R44)-1)-Table14[[#This Row],[RF]],"")</f>
        <v>6.4774583940739427E-2</v>
      </c>
      <c r="AA44" s="6" t="str">
        <f>IFERROR((('raw-PriceList'!#REF!/'raw-PriceList'!#REF!)-1)-Table14[[#This Row],[RF]],"")</f>
        <v/>
      </c>
      <c r="AB44" s="6" t="str">
        <f>IFERROR((('raw-PriceList'!#REF!/'raw-PriceList'!#REF!)-1)-Table14[[#This Row],[RF]],"")</f>
        <v/>
      </c>
      <c r="AC44" s="6">
        <f>IFERROR((('raw-PriceList'!S43/'raw-PriceList'!S44)-1)-Table14[[#This Row],[RF]],"")</f>
        <v>1.5435691212263174E-2</v>
      </c>
      <c r="AD44" s="6">
        <f>IFERROR((('raw-PriceList'!T43/'raw-PriceList'!T44)-1)-Table14[[#This Row],[RF]],"")</f>
        <v>1.499927550153534E-2</v>
      </c>
      <c r="AE44" s="6" t="str">
        <f>IFERROR((('raw-PriceList'!#REF!/'raw-PriceList'!#REF!)-1)-Table14[[#This Row],[RF]],"")</f>
        <v/>
      </c>
      <c r="AF44" s="6">
        <f>IFERROR((('raw-PriceList'!U43/'raw-PriceList'!U44)-1)-Table14[[#This Row],[RF]],"")</f>
        <v>7.1291172970673777E-2</v>
      </c>
      <c r="AG44" s="6">
        <f>IFERROR((('raw-PriceList'!V43/'raw-PriceList'!V44)-1)-Table14[[#This Row],[RF]],"")</f>
        <v>1.4797976952142793E-2</v>
      </c>
      <c r="AH44" s="6">
        <f>IFERROR((('raw-PriceList'!W43/'raw-PriceList'!W44)-1)-Table14[[#This Row],[RF]],"")</f>
        <v>7.6884121481181289E-2</v>
      </c>
      <c r="AI44" s="6">
        <f>IFERROR((('raw-PriceList'!X43/'raw-PriceList'!X44)-1)-Table14[[#This Row],[RF]],"")</f>
        <v>6.2662206334832771E-2</v>
      </c>
      <c r="AJ44" s="6" t="str">
        <f>IFERROR((('raw-PriceList'!#REF!/'raw-PriceList'!#REF!)-1)-Table14[[#This Row],[RF]],"")</f>
        <v/>
      </c>
      <c r="AK44" s="6" t="str">
        <f>IFERROR((('raw-PriceList'!#REF!/'raw-PriceList'!#REF!)-1)-Table14[[#This Row],[RF]],"")</f>
        <v/>
      </c>
      <c r="AL44" s="6">
        <f>IFERROR((('raw-PriceList'!Y43/'raw-PriceList'!Y44)-1)-Table14[[#This Row],[RF]],"")</f>
        <v>3.6158560577530412E-2</v>
      </c>
      <c r="AM44" s="6" t="str">
        <f>IFERROR((('raw-PriceList'!Z43/'raw-PriceList'!Z44)-1)-Table14[[#This Row],[RF]],"")</f>
        <v/>
      </c>
      <c r="AN44" s="6" t="str">
        <f>IFERROR((('raw-PriceList'!#REF!/'raw-PriceList'!#REF!)-1)-Table14[[#This Row],[RF]],"")</f>
        <v/>
      </c>
      <c r="AO44" s="6">
        <f>IFERROR((('raw-PriceList'!AA43/'raw-PriceList'!AA44)-1)-Table14[[#This Row],[RF]],"")</f>
        <v>6.605124869320167E-2</v>
      </c>
      <c r="AP44" s="6" t="str">
        <f>IFERROR((('raw-PriceList'!#REF!/'raw-PriceList'!#REF!)-1)-Table14[[#This Row],[RF]],"")</f>
        <v/>
      </c>
      <c r="AQ44" s="6">
        <f>IFERROR((('raw-PriceList'!AB43/'raw-PriceList'!AB44)-1)-Table14[[#This Row],[RF]],"")</f>
        <v>5.9830596385581296E-2</v>
      </c>
      <c r="AR44" s="6">
        <f>IFERROR((('raw-PriceList'!AC43/'raw-PriceList'!AC44)-1)-Table14[[#This Row],[RF]],"")</f>
        <v>1.292366367384911E-2</v>
      </c>
      <c r="AS44" s="6" t="str">
        <f>IFERROR((('raw-PriceList'!#REF!/'raw-PriceList'!#REF!)-1)-Table14[[#This Row],[RF]],"")</f>
        <v/>
      </c>
      <c r="AT44" s="6" t="str">
        <f>IFERROR((('raw-PriceList'!#REF!/'raw-PriceList'!#REF!)-1)-Table14[[#This Row],[RF]],"")</f>
        <v/>
      </c>
      <c r="AU44" s="6" t="str">
        <f>IFERROR((('raw-PriceList'!#REF!/'raw-PriceList'!#REF!)-1)-Table14[[#This Row],[RF]],"")</f>
        <v/>
      </c>
      <c r="AV44" s="6">
        <f>IFERROR((('raw-PriceList'!AD43/'raw-PriceList'!AD44)-1)-Table14[[#This Row],[RF]],"")</f>
        <v>3.0746996708983058E-2</v>
      </c>
      <c r="AW44" s="6">
        <f>IFERROR((('raw-PriceList'!AE43/'raw-PriceList'!AE44)-1)-Table14[[#This Row],[RF]],"")</f>
        <v>3.0746996708983058E-2</v>
      </c>
      <c r="AX44" s="6">
        <f>IFERROR((('raw-PriceList'!AF43/'raw-PriceList'!AF44)-1)-Table14[[#This Row],[RF]],"")</f>
        <v>1.5836912391210427E-2</v>
      </c>
      <c r="AY44" s="6">
        <f>IFERROR((('raw-PriceList'!AG43/'raw-PriceList'!AG44)-1)-Table14[[#This Row],[RF]],"")</f>
        <v>1.7564667488604233E-3</v>
      </c>
      <c r="AZ44" s="6">
        <f>IFERROR((('raw-PriceList'!AH43/'raw-PriceList'!AH44)-1)-Table14[[#This Row],[RF]],"")</f>
        <v>1.8463608369077116E-2</v>
      </c>
      <c r="BA44" s="6" t="str">
        <f>IFERROR((('raw-PriceList'!#REF!/'raw-PriceList'!#REF!)-1)-Table14[[#This Row],[RF]],"")</f>
        <v/>
      </c>
      <c r="BB44" s="6" t="str">
        <f>IFERROR((('raw-PriceList'!AI43/'raw-PriceList'!AI44)-1)-Table14[[#This Row],[RF]],"")</f>
        <v/>
      </c>
    </row>
    <row r="45" spans="1:54" x14ac:dyDescent="0.2">
      <c r="A45" s="5">
        <v>42155</v>
      </c>
      <c r="B45" s="9">
        <v>1</v>
      </c>
      <c r="C45" s="4">
        <v>1.54E-2</v>
      </c>
      <c r="D45" s="4">
        <v>1.54E-2</v>
      </c>
      <c r="E45" s="4">
        <v>1.54E-2</v>
      </c>
      <c r="F45" s="4">
        <v>1.54E-2</v>
      </c>
      <c r="G45" s="4">
        <v>1.54E-2</v>
      </c>
      <c r="H45" s="6">
        <f>IFERROR((('raw-PriceList'!B44/'raw-PriceList'!B45)-1)-Table14[[#This Row],[RF]],"")</f>
        <v>-1.9550247164250387E-2</v>
      </c>
      <c r="I45" s="6">
        <f>IFERROR((('raw-PriceList'!C44/'raw-PriceList'!C45)-1)-Table14[[#This Row],[RF]],"")</f>
        <v>-2.997788311002406E-2</v>
      </c>
      <c r="J45" s="6">
        <f>IFERROR((('raw-PriceList'!D44/'raw-PriceList'!D45)-1)-Table14[[#This Row],[RF]],"")</f>
        <v>-1.9866733767705345E-2</v>
      </c>
      <c r="K45" s="6" t="str">
        <f>IFERROR((('raw-PriceList'!E44/'raw-PriceList'!E45)-1)-Table14[[#This Row],[RF]],"")</f>
        <v/>
      </c>
      <c r="L45" s="6">
        <f>IFERROR((('raw-PriceList'!F15/'raw-PriceList'!F16)-1)-Table14[[#This Row],[RF]],"")</f>
        <v>-2.1132297934566755E-2</v>
      </c>
      <c r="M45" s="6">
        <f>IFERROR((('raw-PriceList'!G44/'raw-PriceList'!G45)-1)-Table14[[#This Row],[RF]],"")</f>
        <v>-1.7277434831408565E-2</v>
      </c>
      <c r="N45" s="6">
        <f>IFERROR((('raw-PriceList'!H44/'raw-PriceList'!H45)-1)-Table14[[#This Row],[RF]],"")</f>
        <v>-2.3442340914286017E-2</v>
      </c>
      <c r="O45" s="6" t="str">
        <f>IFERROR((('raw-PriceList'!I44/'raw-PriceList'!I45)-1)-Table14[[#This Row],[RF]],"")</f>
        <v/>
      </c>
      <c r="P45" s="6">
        <f>IFERROR((('raw-PriceList'!J44/'raw-PriceList'!J45)-1)-Table14[[#This Row],[RF]],"")</f>
        <v>-7.8543315999393709E-2</v>
      </c>
      <c r="Q45" s="6">
        <f>IFERROR((('raw-PriceList'!K44/'raw-PriceList'!K45)-1)-Table14[[#This Row],[RF]],"")</f>
        <v>-8.0742124069765581E-2</v>
      </c>
      <c r="R45" s="6">
        <f>IFERROR((('raw-PriceList'!L44/'raw-PriceList'!L45)-1)-Table14[[#This Row],[RF]],"")</f>
        <v>-7.6187940926317116E-2</v>
      </c>
      <c r="S45" s="6" t="str">
        <f>IFERROR((('raw-PriceList'!#REF!/'raw-PriceList'!#REF!)-1)-Table14[[#This Row],[RF]],"")</f>
        <v/>
      </c>
      <c r="T45" s="6">
        <f>IFERROR((('raw-PriceList'!M44/'raw-PriceList'!M45)-1)-Table14[[#This Row],[RF]],"")</f>
        <v>-7.368570834127644E-2</v>
      </c>
      <c r="U45" s="6">
        <f>IFERROR((('raw-PriceList'!N44/'raw-PriceList'!N45)-1)-Table14[[#This Row],[RF]],"")</f>
        <v>-8.523370217500606E-2</v>
      </c>
      <c r="V45" s="6">
        <f>IFERROR((('raw-PriceList'!O44/'raw-PriceList'!O45)-1)-Table14[[#This Row],[RF]],"")</f>
        <v>-6.3765903878395341E-2</v>
      </c>
      <c r="W45" s="6">
        <f>IFERROR((('raw-PriceList'!P44/'raw-PriceList'!P45)-1)-Table14[[#This Row],[RF]],"")</f>
        <v>-2.7385380946381353E-2</v>
      </c>
      <c r="X45" s="6">
        <f>IFERROR((('raw-PriceList'!Q44/'raw-PriceList'!Q45)-1)-Table14[[#This Row],[RF]],"")</f>
        <v>-4.0274301402513674E-2</v>
      </c>
      <c r="Y45" s="6" t="str">
        <f>IFERROR((('raw-PriceList'!#REF!/'raw-PriceList'!#REF!)-1)-Table14[[#This Row],[RF]],"")</f>
        <v/>
      </c>
      <c r="Z45" s="6">
        <f>IFERROR((('raw-PriceList'!R44/'raw-PriceList'!R45)-1)-Table14[[#This Row],[RF]],"")</f>
        <v>-2.0312574505520074E-2</v>
      </c>
      <c r="AA45" s="6" t="str">
        <f>IFERROR((('raw-PriceList'!#REF!/'raw-PriceList'!#REF!)-1)-Table14[[#This Row],[RF]],"")</f>
        <v/>
      </c>
      <c r="AB45" s="6" t="str">
        <f>IFERROR((('raw-PriceList'!#REF!/'raw-PriceList'!#REF!)-1)-Table14[[#This Row],[RF]],"")</f>
        <v/>
      </c>
      <c r="AC45" s="6">
        <f>IFERROR((('raw-PriceList'!S44/'raw-PriceList'!S45)-1)-Table14[[#This Row],[RF]],"")</f>
        <v>-8.7747697692223486E-2</v>
      </c>
      <c r="AD45" s="6">
        <f>IFERROR((('raw-PriceList'!T44/'raw-PriceList'!T45)-1)-Table14[[#This Row],[RF]],"")</f>
        <v>-9.2831160366351445E-2</v>
      </c>
      <c r="AE45" s="6" t="str">
        <f>IFERROR((('raw-PriceList'!#REF!/'raw-PriceList'!#REF!)-1)-Table14[[#This Row],[RF]],"")</f>
        <v/>
      </c>
      <c r="AF45" s="6">
        <f>IFERROR((('raw-PriceList'!U44/'raw-PriceList'!U45)-1)-Table14[[#This Row],[RF]],"")</f>
        <v>-1.7578323571416008E-2</v>
      </c>
      <c r="AG45" s="6">
        <f>IFERROR((('raw-PriceList'!V44/'raw-PriceList'!V45)-1)-Table14[[#This Row],[RF]],"")</f>
        <v>-8.5563703338269154E-2</v>
      </c>
      <c r="AH45" s="6">
        <f>IFERROR((('raw-PriceList'!W44/'raw-PriceList'!W45)-1)-Table14[[#This Row],[RF]],"")</f>
        <v>-2.369809524412406E-2</v>
      </c>
      <c r="AI45" s="6">
        <f>IFERROR((('raw-PriceList'!X44/'raw-PriceList'!X45)-1)-Table14[[#This Row],[RF]],"")</f>
        <v>-1.6709266124120967E-2</v>
      </c>
      <c r="AJ45" s="6" t="str">
        <f>IFERROR((('raw-PriceList'!#REF!/'raw-PriceList'!#REF!)-1)-Table14[[#This Row],[RF]],"")</f>
        <v/>
      </c>
      <c r="AK45" s="6" t="str">
        <f>IFERROR((('raw-PriceList'!#REF!/'raw-PriceList'!#REF!)-1)-Table14[[#This Row],[RF]],"")</f>
        <v/>
      </c>
      <c r="AL45" s="6">
        <f>IFERROR((('raw-PriceList'!Y44/'raw-PriceList'!Y45)-1)-Table14[[#This Row],[RF]],"")</f>
        <v>-7.406099689875914E-2</v>
      </c>
      <c r="AM45" s="6" t="str">
        <f>IFERROR((('raw-PriceList'!Z44/'raw-PriceList'!Z45)-1)-Table14[[#This Row],[RF]],"")</f>
        <v/>
      </c>
      <c r="AN45" s="6" t="str">
        <f>IFERROR((('raw-PriceList'!#REF!/'raw-PriceList'!#REF!)-1)-Table14[[#This Row],[RF]],"")</f>
        <v/>
      </c>
      <c r="AO45" s="6">
        <f>IFERROR((('raw-PriceList'!AA44/'raw-PriceList'!AA45)-1)-Table14[[#This Row],[RF]],"")</f>
        <v>-1.7857426971873234E-2</v>
      </c>
      <c r="AP45" s="6" t="str">
        <f>IFERROR((('raw-PriceList'!#REF!/'raw-PriceList'!#REF!)-1)-Table14[[#This Row],[RF]],"")</f>
        <v/>
      </c>
      <c r="AQ45" s="6">
        <f>IFERROR((('raw-PriceList'!AB44/'raw-PriceList'!AB45)-1)-Table14[[#This Row],[RF]],"")</f>
        <v>-8.9830846636838407E-2</v>
      </c>
      <c r="AR45" s="6">
        <f>IFERROR((('raw-PriceList'!AC44/'raw-PriceList'!AC45)-1)-Table14[[#This Row],[RF]],"")</f>
        <v>-5.9481169926452943E-2</v>
      </c>
      <c r="AS45" s="6" t="str">
        <f>IFERROR((('raw-PriceList'!#REF!/'raw-PriceList'!#REF!)-1)-Table14[[#This Row],[RF]],"")</f>
        <v/>
      </c>
      <c r="AT45" s="6" t="str">
        <f>IFERROR((('raw-PriceList'!#REF!/'raw-PriceList'!#REF!)-1)-Table14[[#This Row],[RF]],"")</f>
        <v/>
      </c>
      <c r="AU45" s="6" t="str">
        <f>IFERROR((('raw-PriceList'!#REF!/'raw-PriceList'!#REF!)-1)-Table14[[#This Row],[RF]],"")</f>
        <v/>
      </c>
      <c r="AV45" s="6">
        <f>IFERROR((('raw-PriceList'!AD44/'raw-PriceList'!AD45)-1)-Table14[[#This Row],[RF]],"")</f>
        <v>-7.6917835653644989E-2</v>
      </c>
      <c r="AW45" s="6">
        <f>IFERROR((('raw-PriceList'!AE44/'raw-PriceList'!AE45)-1)-Table14[[#This Row],[RF]],"")</f>
        <v>-7.6917835653644989E-2</v>
      </c>
      <c r="AX45" s="6">
        <f>IFERROR((('raw-PriceList'!AF44/'raw-PriceList'!AF45)-1)-Table14[[#This Row],[RF]],"")</f>
        <v>-7.3971504662816906E-2</v>
      </c>
      <c r="AY45" s="6">
        <f>IFERROR((('raw-PriceList'!AG44/'raw-PriceList'!AG45)-1)-Table14[[#This Row],[RF]],"")</f>
        <v>-4.6650795519817462E-2</v>
      </c>
      <c r="AZ45" s="6">
        <f>IFERROR((('raw-PriceList'!AH44/'raw-PriceList'!AH45)-1)-Table14[[#This Row],[RF]],"")</f>
        <v>-9.216782387321501E-2</v>
      </c>
      <c r="BA45" s="6" t="str">
        <f>IFERROR((('raw-PriceList'!#REF!/'raw-PriceList'!#REF!)-1)-Table14[[#This Row],[RF]],"")</f>
        <v/>
      </c>
      <c r="BB45" s="6" t="str">
        <f>IFERROR((('raw-PriceList'!AI44/'raw-PriceList'!AI45)-1)-Table14[[#This Row],[RF]],"")</f>
        <v/>
      </c>
    </row>
    <row r="46" spans="1:54" x14ac:dyDescent="0.2">
      <c r="A46" s="5">
        <v>42124</v>
      </c>
      <c r="B46" s="9">
        <v>1</v>
      </c>
      <c r="C46" s="4">
        <v>-1.5300000000000001E-2</v>
      </c>
      <c r="D46" s="4">
        <v>-1.5300000000000001E-2</v>
      </c>
      <c r="E46" s="4">
        <v>-1.5300000000000001E-2</v>
      </c>
      <c r="F46" s="4">
        <v>-1.5300000000000001E-2</v>
      </c>
      <c r="G46" s="4">
        <v>-1.5300000000000001E-2</v>
      </c>
      <c r="H46" s="6">
        <f>IFERROR((('raw-PriceList'!B45/'raw-PriceList'!B46)-1)-Table14[[#This Row],[RF]],"")</f>
        <v>2.2354866347078416E-2</v>
      </c>
      <c r="I46" s="6">
        <f>IFERROR((('raw-PriceList'!C45/'raw-PriceList'!C46)-1)-Table14[[#This Row],[RF]],"")</f>
        <v>4.2468242055731541E-2</v>
      </c>
      <c r="J46" s="6">
        <f>IFERROR((('raw-PriceList'!D45/'raw-PriceList'!D46)-1)-Table14[[#This Row],[RF]],"")</f>
        <v>2.2026153609119213E-2</v>
      </c>
      <c r="K46" s="6" t="str">
        <f>IFERROR((('raw-PriceList'!E45/'raw-PriceList'!E46)-1)-Table14[[#This Row],[RF]],"")</f>
        <v/>
      </c>
      <c r="L46" s="6">
        <f>IFERROR((('raw-PriceList'!F16/'raw-PriceList'!F17)-1)-Table14[[#This Row],[RF]],"")</f>
        <v>4.5767691411409336E-3</v>
      </c>
      <c r="M46" s="6">
        <f>IFERROR((('raw-PriceList'!G45/'raw-PriceList'!G46)-1)-Table14[[#This Row],[RF]],"")</f>
        <v>1.5679844545564502E-2</v>
      </c>
      <c r="N46" s="6">
        <f>IFERROR((('raw-PriceList'!H45/'raw-PriceList'!H46)-1)-Table14[[#This Row],[RF]],"")</f>
        <v>8.5499032984471063E-2</v>
      </c>
      <c r="O46" s="6" t="str">
        <f>IFERROR((('raw-PriceList'!I45/'raw-PriceList'!I46)-1)-Table14[[#This Row],[RF]],"")</f>
        <v/>
      </c>
      <c r="P46" s="6">
        <f>IFERROR((('raw-PriceList'!J45/'raw-PriceList'!J46)-1)-Table14[[#This Row],[RF]],"")</f>
        <v>3.7339680785297168E-2</v>
      </c>
      <c r="Q46" s="6">
        <f>IFERROR((('raw-PriceList'!K45/'raw-PriceList'!K46)-1)-Table14[[#This Row],[RF]],"")</f>
        <v>5.0269920687336843E-2</v>
      </c>
      <c r="R46" s="6">
        <f>IFERROR((('raw-PriceList'!L45/'raw-PriceList'!L46)-1)-Table14[[#This Row],[RF]],"")</f>
        <v>2.6140359538674794E-2</v>
      </c>
      <c r="S46" s="6" t="str">
        <f>IFERROR((('raw-PriceList'!#REF!/'raw-PriceList'!#REF!)-1)-Table14[[#This Row],[RF]],"")</f>
        <v/>
      </c>
      <c r="T46" s="6">
        <f>IFERROR((('raw-PriceList'!M45/'raw-PriceList'!M46)-1)-Table14[[#This Row],[RF]],"")</f>
        <v>1.2494686716552537E-2</v>
      </c>
      <c r="U46" s="6">
        <f>IFERROR((('raw-PriceList'!N45/'raw-PriceList'!N46)-1)-Table14[[#This Row],[RF]],"")</f>
        <v>2.0407542441612712E-2</v>
      </c>
      <c r="V46" s="6">
        <f>IFERROR((('raw-PriceList'!O45/'raw-PriceList'!O46)-1)-Table14[[#This Row],[RF]],"")</f>
        <v>5.6596217413316316E-3</v>
      </c>
      <c r="W46" s="6">
        <f>IFERROR((('raw-PriceList'!P45/'raw-PriceList'!P46)-1)-Table14[[#This Row],[RF]],"")</f>
        <v>1.4607981680447545E-2</v>
      </c>
      <c r="X46" s="6">
        <f>IFERROR((('raw-PriceList'!Q45/'raw-PriceList'!Q46)-1)-Table14[[#This Row],[RF]],"")</f>
        <v>3.9044342873004644E-2</v>
      </c>
      <c r="Y46" s="6" t="str">
        <f>IFERROR((('raw-PriceList'!#REF!/'raw-PriceList'!#REF!)-1)-Table14[[#This Row],[RF]],"")</f>
        <v/>
      </c>
      <c r="Z46" s="6">
        <f>IFERROR((('raw-PriceList'!R45/'raw-PriceList'!R46)-1)-Table14[[#This Row],[RF]],"")</f>
        <v>1.7480098038439661E-2</v>
      </c>
      <c r="AA46" s="6" t="str">
        <f>IFERROR((('raw-PriceList'!#REF!/'raw-PriceList'!#REF!)-1)-Table14[[#This Row],[RF]],"")</f>
        <v/>
      </c>
      <c r="AB46" s="6" t="str">
        <f>IFERROR((('raw-PriceList'!#REF!/'raw-PriceList'!#REF!)-1)-Table14[[#This Row],[RF]],"")</f>
        <v/>
      </c>
      <c r="AC46" s="6">
        <f>IFERROR((('raw-PriceList'!S45/'raw-PriceList'!S46)-1)-Table14[[#This Row],[RF]],"")</f>
        <v>2.9896559332002325E-2</v>
      </c>
      <c r="AD46" s="6">
        <f>IFERROR((('raw-PriceList'!T45/'raw-PriceList'!T46)-1)-Table14[[#This Row],[RF]],"")</f>
        <v>1.2326314174294549E-2</v>
      </c>
      <c r="AE46" s="6" t="str">
        <f>IFERROR((('raw-PriceList'!#REF!/'raw-PriceList'!#REF!)-1)-Table14[[#This Row],[RF]],"")</f>
        <v/>
      </c>
      <c r="AF46" s="6">
        <f>IFERROR((('raw-PriceList'!U45/'raw-PriceList'!U46)-1)-Table14[[#This Row],[RF]],"")</f>
        <v>2.2739844289181653E-2</v>
      </c>
      <c r="AG46" s="6">
        <f>IFERROR((('raw-PriceList'!V45/'raw-PriceList'!V46)-1)-Table14[[#This Row],[RF]],"")</f>
        <v>4.1946837151589554E-2</v>
      </c>
      <c r="AH46" s="6">
        <f>IFERROR((('raw-PriceList'!W45/'raw-PriceList'!W46)-1)-Table14[[#This Row],[RF]],"")</f>
        <v>5.3174665069438819E-2</v>
      </c>
      <c r="AI46" s="6">
        <f>IFERROR((('raw-PriceList'!X45/'raw-PriceList'!X46)-1)-Table14[[#This Row],[RF]],"")</f>
        <v>1.5941470827150493E-2</v>
      </c>
      <c r="AJ46" s="6" t="str">
        <f>IFERROR((('raw-PriceList'!#REF!/'raw-PriceList'!#REF!)-1)-Table14[[#This Row],[RF]],"")</f>
        <v/>
      </c>
      <c r="AK46" s="6" t="str">
        <f>IFERROR((('raw-PriceList'!#REF!/'raw-PriceList'!#REF!)-1)-Table14[[#This Row],[RF]],"")</f>
        <v/>
      </c>
      <c r="AL46" s="6">
        <f>IFERROR((('raw-PriceList'!Y45/'raw-PriceList'!Y46)-1)-Table14[[#This Row],[RF]],"")</f>
        <v>3.6928721184568934E-2</v>
      </c>
      <c r="AM46" s="6" t="str">
        <f>IFERROR((('raw-PriceList'!Z45/'raw-PriceList'!Z46)-1)-Table14[[#This Row],[RF]],"")</f>
        <v/>
      </c>
      <c r="AN46" s="6" t="str">
        <f>IFERROR((('raw-PriceList'!#REF!/'raw-PriceList'!#REF!)-1)-Table14[[#This Row],[RF]],"")</f>
        <v/>
      </c>
      <c r="AO46" s="6">
        <f>IFERROR((('raw-PriceList'!AA45/'raw-PriceList'!AA46)-1)-Table14[[#This Row],[RF]],"")</f>
        <v>2.2078511218462625E-2</v>
      </c>
      <c r="AP46" s="6" t="str">
        <f>IFERROR((('raw-PriceList'!#REF!/'raw-PriceList'!#REF!)-1)-Table14[[#This Row],[RF]],"")</f>
        <v/>
      </c>
      <c r="AQ46" s="6">
        <f>IFERROR((('raw-PriceList'!AB45/'raw-PriceList'!AB46)-1)-Table14[[#This Row],[RF]],"")</f>
        <v>8.8203571349365836E-3</v>
      </c>
      <c r="AR46" s="6">
        <f>IFERROR((('raw-PriceList'!AC45/'raw-PriceList'!AC46)-1)-Table14[[#This Row],[RF]],"")</f>
        <v>2.46845441598035E-2</v>
      </c>
      <c r="AS46" s="6" t="str">
        <f>IFERROR((('raw-PriceList'!#REF!/'raw-PriceList'!#REF!)-1)-Table14[[#This Row],[RF]],"")</f>
        <v/>
      </c>
      <c r="AT46" s="6" t="str">
        <f>IFERROR((('raw-PriceList'!#REF!/'raw-PriceList'!#REF!)-1)-Table14[[#This Row],[RF]],"")</f>
        <v/>
      </c>
      <c r="AU46" s="6" t="str">
        <f>IFERROR((('raw-PriceList'!#REF!/'raw-PriceList'!#REF!)-1)-Table14[[#This Row],[RF]],"")</f>
        <v/>
      </c>
      <c r="AV46" s="6">
        <f>IFERROR((('raw-PriceList'!AD45/'raw-PriceList'!AD46)-1)-Table14[[#This Row],[RF]],"")</f>
        <v>3.7013034736259519E-2</v>
      </c>
      <c r="AW46" s="6">
        <f>IFERROR((('raw-PriceList'!AE45/'raw-PriceList'!AE46)-1)-Table14[[#This Row],[RF]],"")</f>
        <v>3.7013034736259519E-2</v>
      </c>
      <c r="AX46" s="6">
        <f>IFERROR((('raw-PriceList'!AF45/'raw-PriceList'!AF46)-1)-Table14[[#This Row],[RF]],"")</f>
        <v>2.9948799795982993E-2</v>
      </c>
      <c r="AY46" s="6">
        <f>IFERROR((('raw-PriceList'!AG45/'raw-PriceList'!AG46)-1)-Table14[[#This Row],[RF]],"")</f>
        <v>9.2211068793067938E-3</v>
      </c>
      <c r="AZ46" s="6">
        <f>IFERROR((('raw-PriceList'!AH45/'raw-PriceList'!AH46)-1)-Table14[[#This Row],[RF]],"")</f>
        <v>9.8915114847635474E-3</v>
      </c>
      <c r="BA46" s="6" t="str">
        <f>IFERROR((('raw-PriceList'!#REF!/'raw-PriceList'!#REF!)-1)-Table14[[#This Row],[RF]],"")</f>
        <v/>
      </c>
      <c r="BB46" s="6" t="str">
        <f>IFERROR((('raw-PriceList'!AI45/'raw-PriceList'!AI46)-1)-Table14[[#This Row],[RF]],"")</f>
        <v/>
      </c>
    </row>
    <row r="47" spans="1:54" x14ac:dyDescent="0.2">
      <c r="A47" s="5">
        <v>42094</v>
      </c>
      <c r="B47" s="9">
        <v>1</v>
      </c>
      <c r="C47" s="4">
        <v>1.3600000000000001E-2</v>
      </c>
      <c r="D47" s="4">
        <v>1.3600000000000001E-2</v>
      </c>
      <c r="E47" s="4">
        <v>1.3600000000000001E-2</v>
      </c>
      <c r="F47" s="4">
        <v>1.3600000000000001E-2</v>
      </c>
      <c r="G47" s="4">
        <v>1.3600000000000001E-2</v>
      </c>
      <c r="H47" s="6">
        <f>IFERROR((('raw-PriceList'!B46/'raw-PriceList'!B47)-1)-Table14[[#This Row],[RF]],"")</f>
        <v>-2.9343831583849067E-2</v>
      </c>
      <c r="I47" s="6">
        <f>IFERROR((('raw-PriceList'!C46/'raw-PriceList'!C47)-1)-Table14[[#This Row],[RF]],"")</f>
        <v>-5.1130524757227402E-2</v>
      </c>
      <c r="J47" s="6">
        <f>IFERROR((('raw-PriceList'!D46/'raw-PriceList'!D47)-1)-Table14[[#This Row],[RF]],"")</f>
        <v>-2.6750798322486335E-2</v>
      </c>
      <c r="K47" s="6" t="str">
        <f>IFERROR((('raw-PriceList'!E46/'raw-PriceList'!E47)-1)-Table14[[#This Row],[RF]],"")</f>
        <v/>
      </c>
      <c r="L47" s="6">
        <f>IFERROR((('raw-PriceList'!F17/'raw-PriceList'!F18)-1)-Table14[[#This Row],[RF]],"")</f>
        <v>-1.210948010739038E-2</v>
      </c>
      <c r="M47" s="6">
        <f>IFERROR((('raw-PriceList'!G46/'raw-PriceList'!G47)-1)-Table14[[#This Row],[RF]],"")</f>
        <v>-1.5961641556730022E-2</v>
      </c>
      <c r="N47" s="6">
        <f>IFERROR((('raw-PriceList'!H46/'raw-PriceList'!H47)-1)-Table14[[#This Row],[RF]],"")</f>
        <v>-8.1851164597424086E-2</v>
      </c>
      <c r="O47" s="6" t="str">
        <f>IFERROR((('raw-PriceList'!I46/'raw-PriceList'!I47)-1)-Table14[[#This Row],[RF]],"")</f>
        <v/>
      </c>
      <c r="P47" s="6">
        <f>IFERROR((('raw-PriceList'!J46/'raw-PriceList'!J47)-1)-Table14[[#This Row],[RF]],"")</f>
        <v>-3.8297888811428982E-2</v>
      </c>
      <c r="Q47" s="6">
        <f>IFERROR((('raw-PriceList'!K46/'raw-PriceList'!K47)-1)-Table14[[#This Row],[RF]],"")</f>
        <v>-3.4249132267776761E-2</v>
      </c>
      <c r="R47" s="6">
        <f>IFERROR((('raw-PriceList'!L46/'raw-PriceList'!L47)-1)-Table14[[#This Row],[RF]],"")</f>
        <v>-3.9769326960162943E-2</v>
      </c>
      <c r="S47" s="6" t="str">
        <f>IFERROR((('raw-PriceList'!#REF!/'raw-PriceList'!#REF!)-1)-Table14[[#This Row],[RF]],"")</f>
        <v/>
      </c>
      <c r="T47" s="6">
        <f>IFERROR((('raw-PriceList'!M46/'raw-PriceList'!M47)-1)-Table14[[#This Row],[RF]],"")</f>
        <v>-2.1859390386182509E-2</v>
      </c>
      <c r="U47" s="6">
        <f>IFERROR((('raw-PriceList'!N46/'raw-PriceList'!N47)-1)-Table14[[#This Row],[RF]],"")</f>
        <v>-1.4913857393799301E-2</v>
      </c>
      <c r="V47" s="6">
        <f>IFERROR((('raw-PriceList'!O46/'raw-PriceList'!O47)-1)-Table14[[#This Row],[RF]],"")</f>
        <v>-2.8485409073973622E-2</v>
      </c>
      <c r="W47" s="6">
        <f>IFERROR((('raw-PriceList'!P46/'raw-PriceList'!P47)-1)-Table14[[#This Row],[RF]],"")</f>
        <v>-2.8823300432868459E-2</v>
      </c>
      <c r="X47" s="6">
        <f>IFERROR((('raw-PriceList'!Q46/'raw-PriceList'!Q47)-1)-Table14[[#This Row],[RF]],"")</f>
        <v>-5.4038588153778211E-2</v>
      </c>
      <c r="Y47" s="6" t="str">
        <f>IFERROR((('raw-PriceList'!#REF!/'raw-PriceList'!#REF!)-1)-Table14[[#This Row],[RF]],"")</f>
        <v/>
      </c>
      <c r="Z47" s="6">
        <f>IFERROR((('raw-PriceList'!R46/'raw-PriceList'!R47)-1)-Table14[[#This Row],[RF]],"")</f>
        <v>-1.9813554405128497E-2</v>
      </c>
      <c r="AA47" s="6" t="str">
        <f>IFERROR((('raw-PriceList'!#REF!/'raw-PriceList'!#REF!)-1)-Table14[[#This Row],[RF]],"")</f>
        <v/>
      </c>
      <c r="AB47" s="6" t="str">
        <f>IFERROR((('raw-PriceList'!#REF!/'raw-PriceList'!#REF!)-1)-Table14[[#This Row],[RF]],"")</f>
        <v/>
      </c>
      <c r="AC47" s="6">
        <f>IFERROR((('raw-PriceList'!S46/'raw-PriceList'!S47)-1)-Table14[[#This Row],[RF]],"")</f>
        <v>-5.468372540038241E-2</v>
      </c>
      <c r="AD47" s="6">
        <f>IFERROR((('raw-PriceList'!T46/'raw-PriceList'!T47)-1)-Table14[[#This Row],[RF]],"")</f>
        <v>-5.2369324823735741E-2</v>
      </c>
      <c r="AE47" s="6" t="str">
        <f>IFERROR((('raw-PriceList'!#REF!/'raw-PriceList'!#REF!)-1)-Table14[[#This Row],[RF]],"")</f>
        <v/>
      </c>
      <c r="AF47" s="6">
        <f>IFERROR((('raw-PriceList'!U46/'raw-PriceList'!U47)-1)-Table14[[#This Row],[RF]],"")</f>
        <v>-2.310850939237602E-2</v>
      </c>
      <c r="AG47" s="6">
        <f>IFERROR((('raw-PriceList'!V46/'raw-PriceList'!V47)-1)-Table14[[#This Row],[RF]],"")</f>
        <v>-6.1248166365801049E-2</v>
      </c>
      <c r="AH47" s="6">
        <f>IFERROR((('raw-PriceList'!W46/'raw-PriceList'!W47)-1)-Table14[[#This Row],[RF]],"")</f>
        <v>-5.1295482313848229E-2</v>
      </c>
      <c r="AI47" s="6">
        <f>IFERROR((('raw-PriceList'!X46/'raw-PriceList'!X47)-1)-Table14[[#This Row],[RF]],"")</f>
        <v>-1.4054223303503754E-2</v>
      </c>
      <c r="AJ47" s="6" t="str">
        <f>IFERROR((('raw-PriceList'!#REF!/'raw-PriceList'!#REF!)-1)-Table14[[#This Row],[RF]],"")</f>
        <v/>
      </c>
      <c r="AK47" s="6" t="str">
        <f>IFERROR((('raw-PriceList'!#REF!/'raw-PriceList'!#REF!)-1)-Table14[[#This Row],[RF]],"")</f>
        <v/>
      </c>
      <c r="AL47" s="6">
        <f>IFERROR((('raw-PriceList'!Y46/'raw-PriceList'!Y47)-1)-Table14[[#This Row],[RF]],"")</f>
        <v>-4.4278367103253891E-2</v>
      </c>
      <c r="AM47" s="6" t="str">
        <f>IFERROR((('raw-PriceList'!Z46/'raw-PriceList'!Z47)-1)-Table14[[#This Row],[RF]],"")</f>
        <v/>
      </c>
      <c r="AN47" s="6" t="str">
        <f>IFERROR((('raw-PriceList'!#REF!/'raw-PriceList'!#REF!)-1)-Table14[[#This Row],[RF]],"")</f>
        <v/>
      </c>
      <c r="AO47" s="6">
        <f>IFERROR((('raw-PriceList'!AA46/'raw-PriceList'!AA47)-1)-Table14[[#This Row],[RF]],"")</f>
        <v>-2.1789361358221682E-2</v>
      </c>
      <c r="AP47" s="6" t="str">
        <f>IFERROR((('raw-PriceList'!#REF!/'raw-PriceList'!#REF!)-1)-Table14[[#This Row],[RF]],"")</f>
        <v/>
      </c>
      <c r="AQ47" s="6">
        <f>IFERROR((('raw-PriceList'!AB46/'raw-PriceList'!AB47)-1)-Table14[[#This Row],[RF]],"")</f>
        <v>-5.3214477041975961E-2</v>
      </c>
      <c r="AR47" s="6">
        <f>IFERROR((('raw-PriceList'!AC46/'raw-PriceList'!AC47)-1)-Table14[[#This Row],[RF]],"")</f>
        <v>-3.7036350987484867E-2</v>
      </c>
      <c r="AS47" s="6" t="str">
        <f>IFERROR((('raw-PriceList'!#REF!/'raw-PriceList'!#REF!)-1)-Table14[[#This Row],[RF]],"")</f>
        <v/>
      </c>
      <c r="AT47" s="6" t="str">
        <f>IFERROR((('raw-PriceList'!#REF!/'raw-PriceList'!#REF!)-1)-Table14[[#This Row],[RF]],"")</f>
        <v/>
      </c>
      <c r="AU47" s="6" t="str">
        <f>IFERROR((('raw-PriceList'!#REF!/'raw-PriceList'!#REF!)-1)-Table14[[#This Row],[RF]],"")</f>
        <v/>
      </c>
      <c r="AV47" s="6">
        <f>IFERROR((('raw-PriceList'!AD46/'raw-PriceList'!AD47)-1)-Table14[[#This Row],[RF]],"")</f>
        <v>-3.7549882416103852E-2</v>
      </c>
      <c r="AW47" s="6">
        <f>IFERROR((('raw-PriceList'!AE46/'raw-PriceList'!AE47)-1)-Table14[[#This Row],[RF]],"")</f>
        <v>-3.7549882416103852E-2</v>
      </c>
      <c r="AX47" s="6">
        <f>IFERROR((('raw-PriceList'!AF46/'raw-PriceList'!AF47)-1)-Table14[[#This Row],[RF]],"")</f>
        <v>-2.605446891043478E-2</v>
      </c>
      <c r="AY47" s="6">
        <f>IFERROR((('raw-PriceList'!AG46/'raw-PriceList'!AG47)-1)-Table14[[#This Row],[RF]],"")</f>
        <v>-2.5535068879855405E-2</v>
      </c>
      <c r="AZ47" s="6">
        <f>IFERROR((('raw-PriceList'!AH46/'raw-PriceList'!AH47)-1)-Table14[[#This Row],[RF]],"")</f>
        <v>-4.5352433192414165E-2</v>
      </c>
      <c r="BA47" s="6" t="str">
        <f>IFERROR((('raw-PriceList'!#REF!/'raw-PriceList'!#REF!)-1)-Table14[[#This Row],[RF]],"")</f>
        <v/>
      </c>
      <c r="BB47" s="6" t="str">
        <f>IFERROR((('raw-PriceList'!AI46/'raw-PriceList'!AI47)-1)-Table14[[#This Row],[RF]],"")</f>
        <v/>
      </c>
    </row>
    <row r="48" spans="1:54" x14ac:dyDescent="0.2">
      <c r="A48" s="5">
        <v>42063</v>
      </c>
      <c r="B48" s="9">
        <v>1</v>
      </c>
      <c r="C48" s="4">
        <v>5.8999999999999999E-3</v>
      </c>
      <c r="D48" s="4">
        <v>5.8999999999999999E-3</v>
      </c>
      <c r="E48" s="4">
        <v>5.8999999999999999E-3</v>
      </c>
      <c r="F48" s="4">
        <v>5.8999999999999999E-3</v>
      </c>
      <c r="G48" s="4">
        <v>5.8999999999999999E-3</v>
      </c>
      <c r="H48" s="6">
        <f>IFERROR((('raw-PriceList'!B47/'raw-PriceList'!B48)-1)-Table14[[#This Row],[RF]],"")</f>
        <v>-1.2444040380934478E-2</v>
      </c>
      <c r="I48" s="6">
        <f>IFERROR((('raw-PriceList'!C47/'raw-PriceList'!C48)-1)-Table14[[#This Row],[RF]],"")</f>
        <v>-3.2831325264885511E-2</v>
      </c>
      <c r="J48" s="6">
        <f>IFERROR((('raw-PriceList'!D47/'raw-PriceList'!D48)-1)-Table14[[#This Row],[RF]],"")</f>
        <v>-1.2720988022865237E-2</v>
      </c>
      <c r="K48" s="6" t="str">
        <f>IFERROR((('raw-PriceList'!E47/'raw-PriceList'!E48)-1)-Table14[[#This Row],[RF]],"")</f>
        <v/>
      </c>
      <c r="L48" s="6">
        <f>IFERROR((('raw-PriceList'!F18/'raw-PriceList'!F19)-1)-Table14[[#This Row],[RF]],"")</f>
        <v>-5.4367397910780064E-4</v>
      </c>
      <c r="M48" s="6">
        <f>IFERROR((('raw-PriceList'!G47/'raw-PriceList'!G48)-1)-Table14[[#This Row],[RF]],"")</f>
        <v>-5.7626344400096676E-3</v>
      </c>
      <c r="N48" s="6">
        <f>IFERROR((('raw-PriceList'!H47/'raw-PriceList'!H48)-1)-Table14[[#This Row],[RF]],"")</f>
        <v>-4.2377605021476569E-2</v>
      </c>
      <c r="O48" s="6" t="str">
        <f>IFERROR((('raw-PriceList'!I47/'raw-PriceList'!I48)-1)-Table14[[#This Row],[RF]],"")</f>
        <v/>
      </c>
      <c r="P48" s="6">
        <f>IFERROR((('raw-PriceList'!J47/'raw-PriceList'!J48)-1)-Table14[[#This Row],[RF]],"")</f>
        <v>8.3034422012977678E-3</v>
      </c>
      <c r="Q48" s="6">
        <f>IFERROR((('raw-PriceList'!K47/'raw-PriceList'!K48)-1)-Table14[[#This Row],[RF]],"")</f>
        <v>9.5388173135420203E-3</v>
      </c>
      <c r="R48" s="6">
        <f>IFERROR((('raw-PriceList'!L47/'raw-PriceList'!L48)-1)-Table14[[#This Row],[RF]],"")</f>
        <v>4.9249584818629342E-3</v>
      </c>
      <c r="S48" s="6" t="str">
        <f>IFERROR((('raw-PriceList'!#REF!/'raw-PriceList'!#REF!)-1)-Table14[[#This Row],[RF]],"")</f>
        <v/>
      </c>
      <c r="T48" s="6">
        <f>IFERROR((('raw-PriceList'!M47/'raw-PriceList'!M48)-1)-Table14[[#This Row],[RF]],"")</f>
        <v>1.4232965363153455E-2</v>
      </c>
      <c r="U48" s="6">
        <f>IFERROR((('raw-PriceList'!N47/'raw-PriceList'!N48)-1)-Table14[[#This Row],[RF]],"")</f>
        <v>2.1575587651460965E-2</v>
      </c>
      <c r="V48" s="6">
        <f>IFERROR((('raw-PriceList'!O47/'raw-PriceList'!O48)-1)-Table14[[#This Row],[RF]],"")</f>
        <v>7.6787343788342786E-3</v>
      </c>
      <c r="W48" s="6">
        <f>IFERROR((('raw-PriceList'!P47/'raw-PriceList'!P48)-1)-Table14[[#This Row],[RF]],"")</f>
        <v>-1.5927291155912276E-2</v>
      </c>
      <c r="X48" s="6">
        <f>IFERROR((('raw-PriceList'!Q47/'raw-PriceList'!Q48)-1)-Table14[[#This Row],[RF]],"")</f>
        <v>-3.7925115414821006E-2</v>
      </c>
      <c r="Y48" s="6" t="str">
        <f>IFERROR((('raw-PriceList'!#REF!/'raw-PriceList'!#REF!)-1)-Table14[[#This Row],[RF]],"")</f>
        <v/>
      </c>
      <c r="Z48" s="6">
        <f>IFERROR((('raw-PriceList'!R47/'raw-PriceList'!R48)-1)-Table14[[#This Row],[RF]],"")</f>
        <v>-6.6025832726529345E-3</v>
      </c>
      <c r="AA48" s="6" t="str">
        <f>IFERROR((('raw-PriceList'!#REF!/'raw-PriceList'!#REF!)-1)-Table14[[#This Row],[RF]],"")</f>
        <v/>
      </c>
      <c r="AB48" s="6" t="str">
        <f>IFERROR((('raw-PriceList'!#REF!/'raw-PriceList'!#REF!)-1)-Table14[[#This Row],[RF]],"")</f>
        <v/>
      </c>
      <c r="AC48" s="6">
        <f>IFERROR((('raw-PriceList'!S47/'raw-PriceList'!S48)-1)-Table14[[#This Row],[RF]],"")</f>
        <v>-6.4165505253852397E-3</v>
      </c>
      <c r="AD48" s="6">
        <f>IFERROR((('raw-PriceList'!T47/'raw-PriceList'!T48)-1)-Table14[[#This Row],[RF]],"")</f>
        <v>-1.6263101379434968E-2</v>
      </c>
      <c r="AE48" s="6" t="str">
        <f>IFERROR((('raw-PriceList'!#REF!/'raw-PriceList'!#REF!)-1)-Table14[[#This Row],[RF]],"")</f>
        <v/>
      </c>
      <c r="AF48" s="6">
        <f>IFERROR((('raw-PriceList'!U47/'raw-PriceList'!U48)-1)-Table14[[#This Row],[RF]],"")</f>
        <v>-8.0724665274149836E-3</v>
      </c>
      <c r="AG48" s="6">
        <f>IFERROR((('raw-PriceList'!V47/'raw-PriceList'!V48)-1)-Table14[[#This Row],[RF]],"")</f>
        <v>-3.0617357678970171E-3</v>
      </c>
      <c r="AH48" s="6">
        <f>IFERROR((('raw-PriceList'!W47/'raw-PriceList'!W48)-1)-Table14[[#This Row],[RF]],"")</f>
        <v>-3.0640198181580019E-2</v>
      </c>
      <c r="AI48" s="6">
        <f>IFERROR((('raw-PriceList'!X47/'raw-PriceList'!X48)-1)-Table14[[#This Row],[RF]],"")</f>
        <v>-5.7902350409664129E-3</v>
      </c>
      <c r="AJ48" s="6" t="str">
        <f>IFERROR((('raw-PriceList'!#REF!/'raw-PriceList'!#REF!)-1)-Table14[[#This Row],[RF]],"")</f>
        <v/>
      </c>
      <c r="AK48" s="6" t="str">
        <f>IFERROR((('raw-PriceList'!#REF!/'raw-PriceList'!#REF!)-1)-Table14[[#This Row],[RF]],"")</f>
        <v/>
      </c>
      <c r="AL48" s="6">
        <f>IFERROR((('raw-PriceList'!Y47/'raw-PriceList'!Y48)-1)-Table14[[#This Row],[RF]],"")</f>
        <v>3.6780662022446618E-3</v>
      </c>
      <c r="AM48" s="6" t="str">
        <f>IFERROR((('raw-PriceList'!Z47/'raw-PriceList'!Z48)-1)-Table14[[#This Row],[RF]],"")</f>
        <v/>
      </c>
      <c r="AN48" s="6" t="str">
        <f>IFERROR((('raw-PriceList'!#REF!/'raw-PriceList'!#REF!)-1)-Table14[[#This Row],[RF]],"")</f>
        <v/>
      </c>
      <c r="AO48" s="6">
        <f>IFERROR((('raw-PriceList'!AA47/'raw-PriceList'!AA48)-1)-Table14[[#This Row],[RF]],"")</f>
        <v>-9.1310664409204149E-3</v>
      </c>
      <c r="AP48" s="6" t="str">
        <f>IFERROR((('raw-PriceList'!#REF!/'raw-PriceList'!#REF!)-1)-Table14[[#This Row],[RF]],"")</f>
        <v/>
      </c>
      <c r="AQ48" s="6">
        <f>IFERROR((('raw-PriceList'!AB47/'raw-PriceList'!AB48)-1)-Table14[[#This Row],[RF]],"")</f>
        <v>-2.9247355073033537E-2</v>
      </c>
      <c r="AR48" s="6">
        <f>IFERROR((('raw-PriceList'!AC47/'raw-PriceList'!AC48)-1)-Table14[[#This Row],[RF]],"")</f>
        <v>6.1443326773167493E-3</v>
      </c>
      <c r="AS48" s="6" t="str">
        <f>IFERROR((('raw-PriceList'!#REF!/'raw-PriceList'!#REF!)-1)-Table14[[#This Row],[RF]],"")</f>
        <v/>
      </c>
      <c r="AT48" s="6" t="str">
        <f>IFERROR((('raw-PriceList'!#REF!/'raw-PriceList'!#REF!)-1)-Table14[[#This Row],[RF]],"")</f>
        <v/>
      </c>
      <c r="AU48" s="6" t="str">
        <f>IFERROR((('raw-PriceList'!#REF!/'raw-PriceList'!#REF!)-1)-Table14[[#This Row],[RF]],"")</f>
        <v/>
      </c>
      <c r="AV48" s="6">
        <f>IFERROR((('raw-PriceList'!AD47/'raw-PriceList'!AD48)-1)-Table14[[#This Row],[RF]],"")</f>
        <v>6.6382918814460621E-3</v>
      </c>
      <c r="AW48" s="6">
        <f>IFERROR((('raw-PriceList'!AE47/'raw-PriceList'!AE48)-1)-Table14[[#This Row],[RF]],"")</f>
        <v>6.6382918814460621E-3</v>
      </c>
      <c r="AX48" s="6">
        <f>IFERROR((('raw-PriceList'!AF47/'raw-PriceList'!AF48)-1)-Table14[[#This Row],[RF]],"")</f>
        <v>3.9683536434223119E-3</v>
      </c>
      <c r="AY48" s="6">
        <f>IFERROR((('raw-PriceList'!AG47/'raw-PriceList'!AG48)-1)-Table14[[#This Row],[RF]],"")</f>
        <v>-2.421023042961366E-2</v>
      </c>
      <c r="AZ48" s="6">
        <f>IFERROR((('raw-PriceList'!AH47/'raw-PriceList'!AH48)-1)-Table14[[#This Row],[RF]],"")</f>
        <v>-1.1705099509569755E-2</v>
      </c>
      <c r="BA48" s="6" t="str">
        <f>IFERROR((('raw-PriceList'!#REF!/'raw-PriceList'!#REF!)-1)-Table14[[#This Row],[RF]],"")</f>
        <v/>
      </c>
      <c r="BB48" s="6" t="str">
        <f>IFERROR((('raw-PriceList'!AI47/'raw-PriceList'!AI48)-1)-Table14[[#This Row],[RF]],"")</f>
        <v/>
      </c>
    </row>
    <row r="49" spans="1:54" x14ac:dyDescent="0.2">
      <c r="A49" s="5">
        <v>42035</v>
      </c>
      <c r="B49" s="9">
        <v>1</v>
      </c>
      <c r="C49" s="4">
        <v>-1.1200000000000002E-2</v>
      </c>
      <c r="D49" s="4">
        <v>-1.1200000000000002E-2</v>
      </c>
      <c r="E49" s="4">
        <v>-1.1200000000000002E-2</v>
      </c>
      <c r="F49" s="4">
        <v>-1.1200000000000002E-2</v>
      </c>
      <c r="G49" s="4">
        <v>-1.1200000000000002E-2</v>
      </c>
      <c r="H49" s="6">
        <f>IFERROR((('raw-PriceList'!B48/'raw-PriceList'!B49)-1)-Table14[[#This Row],[RF]],"")</f>
        <v>6.0649799777019592E-3</v>
      </c>
      <c r="I49" s="6">
        <f>IFERROR((('raw-PriceList'!C48/'raw-PriceList'!C49)-1)-Table14[[#This Row],[RF]],"")</f>
        <v>-1.7571726844520449E-2</v>
      </c>
      <c r="J49" s="6">
        <f>IFERROR((('raw-PriceList'!D48/'raw-PriceList'!D49)-1)-Table14[[#This Row],[RF]],"")</f>
        <v>5.7184942790675791E-3</v>
      </c>
      <c r="K49" s="6" t="str">
        <f>IFERROR((('raw-PriceList'!E48/'raw-PriceList'!E49)-1)-Table14[[#This Row],[RF]],"")</f>
        <v/>
      </c>
      <c r="L49" s="6">
        <f>IFERROR((('raw-PriceList'!F19/'raw-PriceList'!F20)-1)-Table14[[#This Row],[RF]],"")</f>
        <v>6.238641107532486E-3</v>
      </c>
      <c r="M49" s="6">
        <f>IFERROR((('raw-PriceList'!G48/'raw-PriceList'!G49)-1)-Table14[[#This Row],[RF]],"")</f>
        <v>9.3051157775749932E-3</v>
      </c>
      <c r="N49" s="6">
        <f>IFERROR((('raw-PriceList'!H48/'raw-PriceList'!H49)-1)-Table14[[#This Row],[RF]],"")</f>
        <v>-4.5013038033251837E-2</v>
      </c>
      <c r="O49" s="6" t="str">
        <f>IFERROR((('raw-PriceList'!I48/'raw-PriceList'!I49)-1)-Table14[[#This Row],[RF]],"")</f>
        <v/>
      </c>
      <c r="P49" s="6">
        <f>IFERROR((('raw-PriceList'!J48/'raw-PriceList'!J49)-1)-Table14[[#This Row],[RF]],"")</f>
        <v>2.1315538747806242E-2</v>
      </c>
      <c r="Q49" s="6">
        <f>IFERROR((('raw-PriceList'!K48/'raw-PriceList'!K49)-1)-Table14[[#This Row],[RF]],"")</f>
        <v>1.2184782725036661E-2</v>
      </c>
      <c r="R49" s="6">
        <f>IFERROR((('raw-PriceList'!L48/'raw-PriceList'!L49)-1)-Table14[[#This Row],[RF]],"")</f>
        <v>2.9131497413464116E-2</v>
      </c>
      <c r="S49" s="6" t="str">
        <f>IFERROR((('raw-PriceList'!#REF!/'raw-PriceList'!#REF!)-1)-Table14[[#This Row],[RF]],"")</f>
        <v/>
      </c>
      <c r="T49" s="6">
        <f>IFERROR((('raw-PriceList'!M48/'raw-PriceList'!M49)-1)-Table14[[#This Row],[RF]],"")</f>
        <v>-9.1318735843865934E-3</v>
      </c>
      <c r="U49" s="6">
        <f>IFERROR((('raw-PriceList'!N48/'raw-PriceList'!N49)-1)-Table14[[#This Row],[RF]],"")</f>
        <v>3.9473212624330373E-3</v>
      </c>
      <c r="V49" s="6">
        <f>IFERROR((('raw-PriceList'!O48/'raw-PriceList'!O49)-1)-Table14[[#This Row],[RF]],"")</f>
        <v>-1.60903282957435E-3</v>
      </c>
      <c r="W49" s="6">
        <f>IFERROR((('raw-PriceList'!P48/'raw-PriceList'!P49)-1)-Table14[[#This Row],[RF]],"")</f>
        <v>8.9445692456811138E-3</v>
      </c>
      <c r="X49" s="6">
        <f>IFERROR((('raw-PriceList'!Q48/'raw-PriceList'!Q49)-1)-Table14[[#This Row],[RF]],"")</f>
        <v>-1.2729276821814225E-2</v>
      </c>
      <c r="Y49" s="6" t="str">
        <f>IFERROR((('raw-PriceList'!#REF!/'raw-PriceList'!#REF!)-1)-Table14[[#This Row],[RF]],"")</f>
        <v/>
      </c>
      <c r="Z49" s="6">
        <f>IFERROR((('raw-PriceList'!R48/'raw-PriceList'!R49)-1)-Table14[[#This Row],[RF]],"")</f>
        <v>1.0197422745638077E-2</v>
      </c>
      <c r="AA49" s="6" t="str">
        <f>IFERROR((('raw-PriceList'!#REF!/'raw-PriceList'!#REF!)-1)-Table14[[#This Row],[RF]],"")</f>
        <v/>
      </c>
      <c r="AB49" s="6" t="str">
        <f>IFERROR((('raw-PriceList'!#REF!/'raw-PriceList'!#REF!)-1)-Table14[[#This Row],[RF]],"")</f>
        <v/>
      </c>
      <c r="AC49" s="6">
        <f>IFERROR((('raw-PriceList'!S48/'raw-PriceList'!S49)-1)-Table14[[#This Row],[RF]],"")</f>
        <v>4.9888524425528394E-2</v>
      </c>
      <c r="AD49" s="6">
        <f>IFERROR((('raw-PriceList'!T48/'raw-PriceList'!T49)-1)-Table14[[#This Row],[RF]],"")</f>
        <v>5.8579813375009851E-2</v>
      </c>
      <c r="AE49" s="6" t="str">
        <f>IFERROR((('raw-PriceList'!#REF!/'raw-PriceList'!#REF!)-1)-Table14[[#This Row],[RF]],"")</f>
        <v/>
      </c>
      <c r="AF49" s="6">
        <f>IFERROR((('raw-PriceList'!U48/'raw-PriceList'!U49)-1)-Table14[[#This Row],[RF]],"")</f>
        <v>8.4538500365185648E-3</v>
      </c>
      <c r="AG49" s="6">
        <f>IFERROR((('raw-PriceList'!V48/'raw-PriceList'!V49)-1)-Table14[[#This Row],[RF]],"")</f>
        <v>5.3630946889202571E-2</v>
      </c>
      <c r="AH49" s="6">
        <f>IFERROR((('raw-PriceList'!W48/'raw-PriceList'!W49)-1)-Table14[[#This Row],[RF]],"")</f>
        <v>-1.9551627598897822E-2</v>
      </c>
      <c r="AI49" s="6">
        <f>IFERROR((('raw-PriceList'!X48/'raw-PriceList'!X49)-1)-Table14[[#This Row],[RF]],"")</f>
        <v>1.1669379531975679E-2</v>
      </c>
      <c r="AJ49" s="6" t="str">
        <f>IFERROR((('raw-PriceList'!#REF!/'raw-PriceList'!#REF!)-1)-Table14[[#This Row],[RF]],"")</f>
        <v/>
      </c>
      <c r="AK49" s="6" t="str">
        <f>IFERROR((('raw-PriceList'!#REF!/'raw-PriceList'!#REF!)-1)-Table14[[#This Row],[RF]],"")</f>
        <v/>
      </c>
      <c r="AL49" s="6">
        <f>IFERROR((('raw-PriceList'!Y48/'raw-PriceList'!Y49)-1)-Table14[[#This Row],[RF]],"")</f>
        <v>9.0909838347285193E-3</v>
      </c>
      <c r="AM49" s="6" t="str">
        <f>IFERROR((('raw-PriceList'!Z48/'raw-PriceList'!Z49)-1)-Table14[[#This Row],[RF]],"")</f>
        <v/>
      </c>
      <c r="AN49" s="6" t="str">
        <f>IFERROR((('raw-PriceList'!#REF!/'raw-PriceList'!#REF!)-1)-Table14[[#This Row],[RF]],"")</f>
        <v/>
      </c>
      <c r="AO49" s="6">
        <f>IFERROR((('raw-PriceList'!AA48/'raw-PriceList'!AA49)-1)-Table14[[#This Row],[RF]],"")</f>
        <v>1.1384725295518275E-2</v>
      </c>
      <c r="AP49" s="6" t="str">
        <f>IFERROR((('raw-PriceList'!#REF!/'raw-PriceList'!#REF!)-1)-Table14[[#This Row],[RF]],"")</f>
        <v/>
      </c>
      <c r="AQ49" s="6">
        <f>IFERROR((('raw-PriceList'!AB48/'raw-PriceList'!AB49)-1)-Table14[[#This Row],[RF]],"")</f>
        <v>6.1999647278725548E-2</v>
      </c>
      <c r="AR49" s="6">
        <f>IFERROR((('raw-PriceList'!AC48/'raw-PriceList'!AC49)-1)-Table14[[#This Row],[RF]],"")</f>
        <v>8.2364915837904867E-3</v>
      </c>
      <c r="AS49" s="6" t="str">
        <f>IFERROR((('raw-PriceList'!#REF!/'raw-PriceList'!#REF!)-1)-Table14[[#This Row],[RF]],"")</f>
        <v/>
      </c>
      <c r="AT49" s="6" t="str">
        <f>IFERROR((('raw-PriceList'!#REF!/'raw-PriceList'!#REF!)-1)-Table14[[#This Row],[RF]],"")</f>
        <v/>
      </c>
      <c r="AU49" s="6" t="str">
        <f>IFERROR((('raw-PriceList'!#REF!/'raw-PriceList'!#REF!)-1)-Table14[[#This Row],[RF]],"")</f>
        <v/>
      </c>
      <c r="AV49" s="6">
        <f>IFERROR((('raw-PriceList'!AD48/'raw-PriceList'!AD49)-1)-Table14[[#This Row],[RF]],"")</f>
        <v>2.117024391532997E-2</v>
      </c>
      <c r="AW49" s="6">
        <f>IFERROR((('raw-PriceList'!AE48/'raw-PriceList'!AE49)-1)-Table14[[#This Row],[RF]],"")</f>
        <v>2.117024391532997E-2</v>
      </c>
      <c r="AX49" s="6">
        <f>IFERROR((('raw-PriceList'!AF48/'raw-PriceList'!AF49)-1)-Table14[[#This Row],[RF]],"")</f>
        <v>2.9091817781402851E-4</v>
      </c>
      <c r="AY49" s="6">
        <f>IFERROR((('raw-PriceList'!AG48/'raw-PriceList'!AG49)-1)-Table14[[#This Row],[RF]],"")</f>
        <v>4.8134364356411954E-2</v>
      </c>
      <c r="AZ49" s="6">
        <f>IFERROR((('raw-PriceList'!AH48/'raw-PriceList'!AH49)-1)-Table14[[#This Row],[RF]],"")</f>
        <v>4.5821622905096851E-2</v>
      </c>
      <c r="BA49" s="6" t="str">
        <f>IFERROR((('raw-PriceList'!#REF!/'raw-PriceList'!#REF!)-1)-Table14[[#This Row],[RF]],"")</f>
        <v/>
      </c>
      <c r="BB49" s="6" t="str">
        <f>IFERROR((('raw-PriceList'!AI48/'raw-PriceList'!AI49)-1)-Table14[[#This Row],[RF]],"")</f>
        <v/>
      </c>
    </row>
    <row r="50" spans="1:54" x14ac:dyDescent="0.2">
      <c r="A50" s="5">
        <v>42004</v>
      </c>
      <c r="B50" s="9">
        <v>1</v>
      </c>
      <c r="C50" s="4">
        <v>6.13E-2</v>
      </c>
      <c r="D50" s="4">
        <v>6.13E-2</v>
      </c>
      <c r="E50" s="4">
        <v>6.13E-2</v>
      </c>
      <c r="F50" s="4">
        <v>6.13E-2</v>
      </c>
      <c r="G50" s="4">
        <v>6.13E-2</v>
      </c>
      <c r="H50" s="6">
        <f>IFERROR((('raw-PriceList'!B49/'raw-PriceList'!B50)-1)-Table14[[#This Row],[RF]],"")</f>
        <v>-5.7343277309456521E-2</v>
      </c>
      <c r="I50" s="6">
        <f>IFERROR((('raw-PriceList'!C49/'raw-PriceList'!C50)-1)-Table14[[#This Row],[RF]],"")</f>
        <v>-5.7660735834498135E-2</v>
      </c>
      <c r="J50" s="6">
        <f>IFERROR((('raw-PriceList'!D49/'raw-PriceList'!D50)-1)-Table14[[#This Row],[RF]],"")</f>
        <v>-5.7835784813256109E-2</v>
      </c>
      <c r="K50" s="6" t="str">
        <f>IFERROR((('raw-PriceList'!E49/'raw-PriceList'!E50)-1)-Table14[[#This Row],[RF]],"")</f>
        <v/>
      </c>
      <c r="L50" s="6">
        <f>IFERROR((('raw-PriceList'!F20/'raw-PriceList'!F21)-1)-Table14[[#This Row],[RF]],"")</f>
        <v>-5.2847820530708002E-2</v>
      </c>
      <c r="M50" s="6">
        <f>IFERROR((('raw-PriceList'!G49/'raw-PriceList'!G50)-1)-Table14[[#This Row],[RF]],"")</f>
        <v>-5.7760157800464597E-2</v>
      </c>
      <c r="N50" s="6">
        <f>IFERROR((('raw-PriceList'!H49/'raw-PriceList'!H50)-1)-Table14[[#This Row],[RF]],"")</f>
        <v>-5.2411632284748634E-2</v>
      </c>
      <c r="O50" s="6" t="str">
        <f>IFERROR((('raw-PriceList'!I49/'raw-PriceList'!I50)-1)-Table14[[#This Row],[RF]],"")</f>
        <v/>
      </c>
      <c r="P50" s="6">
        <f>IFERROR((('raw-PriceList'!J49/'raw-PriceList'!J50)-1)-Table14[[#This Row],[RF]],"")</f>
        <v>-8.3269145475373535E-2</v>
      </c>
      <c r="Q50" s="6">
        <f>IFERROR((('raw-PriceList'!K49/'raw-PriceList'!K50)-1)-Table14[[#This Row],[RF]],"")</f>
        <v>-8.2477626314477276E-2</v>
      </c>
      <c r="R50" s="6">
        <f>IFERROR((('raw-PriceList'!L49/'raw-PriceList'!L50)-1)-Table14[[#This Row],[RF]],"")</f>
        <v>-8.3523352826440606E-2</v>
      </c>
      <c r="S50" s="6" t="str">
        <f>IFERROR((('raw-PriceList'!#REF!/'raw-PriceList'!#REF!)-1)-Table14[[#This Row],[RF]],"")</f>
        <v/>
      </c>
      <c r="T50" s="6">
        <f>IFERROR((('raw-PriceList'!M49/'raw-PriceList'!M50)-1)-Table14[[#This Row],[RF]],"")</f>
        <v>-4.6736800367979427E-2</v>
      </c>
      <c r="U50" s="6">
        <f>IFERROR((('raw-PriceList'!N49/'raw-PriceList'!N50)-1)-Table14[[#This Row],[RF]],"")</f>
        <v>-6.4821916508180227E-2</v>
      </c>
      <c r="V50" s="6">
        <f>IFERROR((('raw-PriceList'!O49/'raw-PriceList'!O50)-1)-Table14[[#This Row],[RF]],"")</f>
        <v>-4.9229090414689793E-2</v>
      </c>
      <c r="W50" s="6">
        <f>IFERROR((('raw-PriceList'!P49/'raw-PriceList'!P50)-1)-Table14[[#This Row],[RF]],"")</f>
        <v>-6.0326934787509591E-2</v>
      </c>
      <c r="X50" s="6">
        <f>IFERROR((('raw-PriceList'!Q49/'raw-PriceList'!Q50)-1)-Table14[[#This Row],[RF]],"")</f>
        <v>-6.2804167099965807E-2</v>
      </c>
      <c r="Y50" s="6" t="str">
        <f>IFERROR((('raw-PriceList'!#REF!/'raw-PriceList'!#REF!)-1)-Table14[[#This Row],[RF]],"")</f>
        <v/>
      </c>
      <c r="Z50" s="6">
        <f>IFERROR((('raw-PriceList'!R49/'raw-PriceList'!R50)-1)-Table14[[#This Row],[RF]],"")</f>
        <v>-5.9743474047058688E-2</v>
      </c>
      <c r="AA50" s="6" t="str">
        <f>IFERROR((('raw-PriceList'!#REF!/'raw-PriceList'!#REF!)-1)-Table14[[#This Row],[RF]],"")</f>
        <v/>
      </c>
      <c r="AB50" s="6" t="str">
        <f>IFERROR((('raw-PriceList'!#REF!/'raw-PriceList'!#REF!)-1)-Table14[[#This Row],[RF]],"")</f>
        <v/>
      </c>
      <c r="AC50" s="6">
        <f>IFERROR((('raw-PriceList'!S49/'raw-PriceList'!S50)-1)-Table14[[#This Row],[RF]],"")</f>
        <v>-7.7877594901860608E-2</v>
      </c>
      <c r="AD50" s="6">
        <f>IFERROR((('raw-PriceList'!T49/'raw-PriceList'!T50)-1)-Table14[[#This Row],[RF]],"")</f>
        <v>-7.8612768996445065E-2</v>
      </c>
      <c r="AE50" s="6" t="str">
        <f>IFERROR((('raw-PriceList'!#REF!/'raw-PriceList'!#REF!)-1)-Table14[[#This Row],[RF]],"")</f>
        <v/>
      </c>
      <c r="AF50" s="6">
        <f>IFERROR((('raw-PriceList'!U49/'raw-PriceList'!U50)-1)-Table14[[#This Row],[RF]],"")</f>
        <v>-5.4900591235342279E-2</v>
      </c>
      <c r="AG50" s="6">
        <f>IFERROR((('raw-PriceList'!V49/'raw-PriceList'!V50)-1)-Table14[[#This Row],[RF]],"")</f>
        <v>-9.1203455284552842E-2</v>
      </c>
      <c r="AH50" s="6">
        <f>IFERROR((('raw-PriceList'!W49/'raw-PriceList'!W50)-1)-Table14[[#This Row],[RF]],"")</f>
        <v>-5.3530340180934478E-2</v>
      </c>
      <c r="AI50" s="6">
        <f>IFERROR((('raw-PriceList'!X49/'raw-PriceList'!X50)-1)-Table14[[#This Row],[RF]],"")</f>
        <v>-5.9798286847208761E-2</v>
      </c>
      <c r="AJ50" s="6" t="str">
        <f>IFERROR((('raw-PriceList'!#REF!/'raw-PriceList'!#REF!)-1)-Table14[[#This Row],[RF]],"")</f>
        <v/>
      </c>
      <c r="AK50" s="6" t="str">
        <f>IFERROR((('raw-PriceList'!#REF!/'raw-PriceList'!#REF!)-1)-Table14[[#This Row],[RF]],"")</f>
        <v/>
      </c>
      <c r="AL50" s="6">
        <f>IFERROR((('raw-PriceList'!Y49/'raw-PriceList'!Y50)-1)-Table14[[#This Row],[RF]],"")</f>
        <v>-8.9441208707462944E-2</v>
      </c>
      <c r="AM50" s="6" t="str">
        <f>IFERROR((('raw-PriceList'!Z49/'raw-PriceList'!Z50)-1)-Table14[[#This Row],[RF]],"")</f>
        <v/>
      </c>
      <c r="AN50" s="6" t="str">
        <f>IFERROR((('raw-PriceList'!#REF!/'raw-PriceList'!#REF!)-1)-Table14[[#This Row],[RF]],"")</f>
        <v/>
      </c>
      <c r="AO50" s="6">
        <f>IFERROR((('raw-PriceList'!AA49/'raw-PriceList'!AA50)-1)-Table14[[#This Row],[RF]],"")</f>
        <v>-5.7667019502123253E-2</v>
      </c>
      <c r="AP50" s="6" t="str">
        <f>IFERROR((('raw-PriceList'!#REF!/'raw-PriceList'!#REF!)-1)-Table14[[#This Row],[RF]],"")</f>
        <v/>
      </c>
      <c r="AQ50" s="6">
        <f>IFERROR((('raw-PriceList'!AB49/'raw-PriceList'!AB50)-1)-Table14[[#This Row],[RF]],"")</f>
        <v>-7.3428800388469856E-2</v>
      </c>
      <c r="AR50" s="6">
        <f>IFERROR((('raw-PriceList'!AC49/'raw-PriceList'!AC50)-1)-Table14[[#This Row],[RF]],"")</f>
        <v>-6.204516304491401E-2</v>
      </c>
      <c r="AS50" s="6" t="str">
        <f>IFERROR((('raw-PriceList'!#REF!/'raw-PriceList'!#REF!)-1)-Table14[[#This Row],[RF]],"")</f>
        <v/>
      </c>
      <c r="AT50" s="6" t="str">
        <f>IFERROR((('raw-PriceList'!#REF!/'raw-PriceList'!#REF!)-1)-Table14[[#This Row],[RF]],"")</f>
        <v/>
      </c>
      <c r="AU50" s="6" t="str">
        <f>IFERROR((('raw-PriceList'!#REF!/'raw-PriceList'!#REF!)-1)-Table14[[#This Row],[RF]],"")</f>
        <v/>
      </c>
      <c r="AV50" s="6">
        <f>IFERROR((('raw-PriceList'!AD49/'raw-PriceList'!AD50)-1)-Table14[[#This Row],[RF]],"")</f>
        <v>-8.2031376324643163E-2</v>
      </c>
      <c r="AW50" s="6">
        <f>IFERROR((('raw-PriceList'!AE49/'raw-PriceList'!AE50)-1)-Table14[[#This Row],[RF]],"")</f>
        <v>-8.2031376324643163E-2</v>
      </c>
      <c r="AX50" s="6">
        <f>IFERROR((('raw-PriceList'!AF49/'raw-PriceList'!AF50)-1)-Table14[[#This Row],[RF]],"")</f>
        <v>-4.8469717864465613E-2</v>
      </c>
      <c r="AY50" s="6">
        <f>IFERROR((('raw-PriceList'!AG49/'raw-PriceList'!AG50)-1)-Table14[[#This Row],[RF]],"")</f>
        <v>-8.5685960932671085E-2</v>
      </c>
      <c r="AZ50" s="6">
        <f>IFERROR((('raw-PriceList'!AH49/'raw-PriceList'!AH50)-1)-Table14[[#This Row],[RF]],"")</f>
        <v>-5.7291528550671746E-2</v>
      </c>
      <c r="BA50" s="6" t="str">
        <f>IFERROR((('raw-PriceList'!#REF!/'raw-PriceList'!#REF!)-1)-Table14[[#This Row],[RF]],"")</f>
        <v/>
      </c>
      <c r="BB50" s="6" t="str">
        <f>IFERROR((('raw-PriceList'!AI49/'raw-PriceList'!AI50)-1)-Table14[[#This Row],[RF]],"")</f>
        <v/>
      </c>
    </row>
    <row r="51" spans="1:54" x14ac:dyDescent="0.2">
      <c r="A51" s="5">
        <v>41973</v>
      </c>
      <c r="B51" s="9">
        <v>1</v>
      </c>
      <c r="C51" s="4">
        <v>-3.1099999999999999E-2</v>
      </c>
      <c r="D51" s="4">
        <v>-3.1099999999999999E-2</v>
      </c>
      <c r="E51" s="4">
        <v>-3.1099999999999999E-2</v>
      </c>
      <c r="F51" s="4">
        <v>-3.1099999999999999E-2</v>
      </c>
      <c r="G51" s="4">
        <v>-3.1099999999999999E-2</v>
      </c>
      <c r="H51" s="6">
        <f>IFERROR((('raw-PriceList'!B50/'raw-PriceList'!B51)-1)-Table14[[#This Row],[RF]],"")</f>
        <v>1.4918240038127233E-2</v>
      </c>
      <c r="I51" s="6">
        <f>IFERROR((('raw-PriceList'!C50/'raw-PriceList'!C51)-1)-Table14[[#This Row],[RF]],"")</f>
        <v>-1.3442920524287989E-2</v>
      </c>
      <c r="J51" s="6">
        <f>IFERROR((('raw-PriceList'!D50/'raw-PriceList'!D51)-1)-Table14[[#This Row],[RF]],"")</f>
        <v>1.5966146584317369E-2</v>
      </c>
      <c r="K51" s="6" t="str">
        <f>IFERROR((('raw-PriceList'!E50/'raw-PriceList'!E51)-1)-Table14[[#This Row],[RF]],"")</f>
        <v/>
      </c>
      <c r="L51" s="6">
        <f>IFERROR((('raw-PriceList'!F21/'raw-PriceList'!F22)-1)-Table14[[#This Row],[RF]],"")</f>
        <v>3.1822026043709303E-2</v>
      </c>
      <c r="M51" s="6">
        <f>IFERROR((('raw-PriceList'!G50/'raw-PriceList'!G51)-1)-Table14[[#This Row],[RF]],"")</f>
        <v>2.5268533772509465E-2</v>
      </c>
      <c r="N51" s="6">
        <f>IFERROR((('raw-PriceList'!H50/'raw-PriceList'!H51)-1)-Table14[[#This Row],[RF]],"")</f>
        <v>-6.0162295532300361E-2</v>
      </c>
      <c r="O51" s="6" t="str">
        <f>IFERROR((('raw-PriceList'!I50/'raw-PriceList'!I51)-1)-Table14[[#This Row],[RF]],"")</f>
        <v/>
      </c>
      <c r="P51" s="6">
        <f>IFERROR((('raw-PriceList'!J50/'raw-PriceList'!J51)-1)-Table14[[#This Row],[RF]],"")</f>
        <v>8.7647546051689548E-2</v>
      </c>
      <c r="Q51" s="6">
        <f>IFERROR((('raw-PriceList'!K50/'raw-PriceList'!K51)-1)-Table14[[#This Row],[RF]],"")</f>
        <v>9.3772132469329125E-2</v>
      </c>
      <c r="R51" s="6">
        <f>IFERROR((('raw-PriceList'!L50/'raw-PriceList'!L51)-1)-Table14[[#This Row],[RF]],"")</f>
        <v>8.3402693643035528E-2</v>
      </c>
      <c r="S51" s="6" t="str">
        <f>IFERROR((('raw-PriceList'!#REF!/'raw-PriceList'!#REF!)-1)-Table14[[#This Row],[RF]],"")</f>
        <v/>
      </c>
      <c r="T51" s="6">
        <f>IFERROR((('raw-PriceList'!M50/'raw-PriceList'!M51)-1)-Table14[[#This Row],[RF]],"")</f>
        <v>8.9237405955033697E-2</v>
      </c>
      <c r="U51" s="6">
        <f>IFERROR((('raw-PriceList'!N50/'raw-PriceList'!N51)-1)-Table14[[#This Row],[RF]],"")</f>
        <v>9.0888464650089471E-2</v>
      </c>
      <c r="V51" s="6">
        <f>IFERROR((('raw-PriceList'!O50/'raw-PriceList'!O51)-1)-Table14[[#This Row],[RF]],"")</f>
        <v>8.7769469578918943E-2</v>
      </c>
      <c r="W51" s="6">
        <f>IFERROR((('raw-PriceList'!P50/'raw-PriceList'!P51)-1)-Table14[[#This Row],[RF]],"")</f>
        <v>1.874209443851425E-2</v>
      </c>
      <c r="X51" s="6">
        <f>IFERROR((('raw-PriceList'!Q50/'raw-PriceList'!Q51)-1)-Table14[[#This Row],[RF]],"")</f>
        <v>-3.645127490029227E-3</v>
      </c>
      <c r="Y51" s="6" t="str">
        <f>IFERROR((('raw-PriceList'!#REF!/'raw-PriceList'!#REF!)-1)-Table14[[#This Row],[RF]],"")</f>
        <v/>
      </c>
      <c r="Z51" s="6">
        <f>IFERROR((('raw-PriceList'!R50/'raw-PriceList'!R51)-1)-Table14[[#This Row],[RF]],"")</f>
        <v>2.7568193648894939E-2</v>
      </c>
      <c r="AA51" s="6" t="str">
        <f>IFERROR((('raw-PriceList'!#REF!/'raw-PriceList'!#REF!)-1)-Table14[[#This Row],[RF]],"")</f>
        <v/>
      </c>
      <c r="AB51" s="6" t="str">
        <f>IFERROR((('raw-PriceList'!#REF!/'raw-PriceList'!#REF!)-1)-Table14[[#This Row],[RF]],"")</f>
        <v/>
      </c>
      <c r="AC51" s="6">
        <f>IFERROR((('raw-PriceList'!S50/'raw-PriceList'!S51)-1)-Table14[[#This Row],[RF]],"")</f>
        <v>9.2757920667112845E-2</v>
      </c>
      <c r="AD51" s="6">
        <f>IFERROR((('raw-PriceList'!T50/'raw-PriceList'!T51)-1)-Table14[[#This Row],[RF]],"")</f>
        <v>8.9559957656829212E-2</v>
      </c>
      <c r="AE51" s="6" t="str">
        <f>IFERROR((('raw-PriceList'!#REF!/'raw-PriceList'!#REF!)-1)-Table14[[#This Row],[RF]],"")</f>
        <v/>
      </c>
      <c r="AF51" s="6">
        <f>IFERROR((('raw-PriceList'!U50/'raw-PriceList'!U51)-1)-Table14[[#This Row],[RF]],"")</f>
        <v>1.4593623082934309E-2</v>
      </c>
      <c r="AG51" s="6">
        <f>IFERROR((('raw-PriceList'!V50/'raw-PriceList'!V51)-1)-Table14[[#This Row],[RF]],"")</f>
        <v>9.2047052874233301E-2</v>
      </c>
      <c r="AH51" s="6">
        <f>IFERROR((('raw-PriceList'!W50/'raw-PriceList'!W51)-1)-Table14[[#This Row],[RF]],"")</f>
        <v>-2.5743489225383848E-2</v>
      </c>
      <c r="AI51" s="6">
        <f>IFERROR((('raw-PriceList'!X50/'raw-PriceList'!X51)-1)-Table14[[#This Row],[RF]],"")</f>
        <v>2.846217805363525E-2</v>
      </c>
      <c r="AJ51" s="6" t="str">
        <f>IFERROR((('raw-PriceList'!#REF!/'raw-PriceList'!#REF!)-1)-Table14[[#This Row],[RF]],"")</f>
        <v/>
      </c>
      <c r="AK51" s="6" t="str">
        <f>IFERROR((('raw-PriceList'!#REF!/'raw-PriceList'!#REF!)-1)-Table14[[#This Row],[RF]],"")</f>
        <v/>
      </c>
      <c r="AL51" s="6">
        <f>IFERROR((('raw-PriceList'!Y50/'raw-PriceList'!Y51)-1)-Table14[[#This Row],[RF]],"")</f>
        <v>8.698582197443426E-2</v>
      </c>
      <c r="AM51" s="6" t="str">
        <f>IFERROR((('raw-PriceList'!Z50/'raw-PriceList'!Z51)-1)-Table14[[#This Row],[RF]],"")</f>
        <v/>
      </c>
      <c r="AN51" s="6" t="str">
        <f>IFERROR((('raw-PriceList'!#REF!/'raw-PriceList'!#REF!)-1)-Table14[[#This Row],[RF]],"")</f>
        <v/>
      </c>
      <c r="AO51" s="6">
        <f>IFERROR((('raw-PriceList'!AA50/'raw-PriceList'!AA51)-1)-Table14[[#This Row],[RF]],"")</f>
        <v>2.6648786907453186E-2</v>
      </c>
      <c r="AP51" s="6" t="str">
        <f>IFERROR((('raw-PriceList'!#REF!/'raw-PriceList'!#REF!)-1)-Table14[[#This Row],[RF]],"")</f>
        <v/>
      </c>
      <c r="AQ51" s="6">
        <f>IFERROR((('raw-PriceList'!AB50/'raw-PriceList'!AB51)-1)-Table14[[#This Row],[RF]],"")</f>
        <v>6.7917602582927436E-2</v>
      </c>
      <c r="AR51" s="6">
        <f>IFERROR((('raw-PriceList'!AC50/'raw-PriceList'!AC51)-1)-Table14[[#This Row],[RF]],"")</f>
        <v>8.4601528827819336E-2</v>
      </c>
      <c r="AS51" s="6" t="str">
        <f>IFERROR((('raw-PriceList'!#REF!/'raw-PriceList'!#REF!)-1)-Table14[[#This Row],[RF]],"")</f>
        <v/>
      </c>
      <c r="AT51" s="6" t="str">
        <f>IFERROR((('raw-PriceList'!#REF!/'raw-PriceList'!#REF!)-1)-Table14[[#This Row],[RF]],"")</f>
        <v/>
      </c>
      <c r="AU51" s="6" t="str">
        <f>IFERROR((('raw-PriceList'!#REF!/'raw-PriceList'!#REF!)-1)-Table14[[#This Row],[RF]],"")</f>
        <v/>
      </c>
      <c r="AV51" s="6">
        <f>IFERROR((('raw-PriceList'!AD50/'raw-PriceList'!AD51)-1)-Table14[[#This Row],[RF]],"")</f>
        <v>8.7082382887983076E-2</v>
      </c>
      <c r="AW51" s="6">
        <f>IFERROR((('raw-PriceList'!AE50/'raw-PriceList'!AE51)-1)-Table14[[#This Row],[RF]],"")</f>
        <v>8.7082382887983076E-2</v>
      </c>
      <c r="AX51" s="6">
        <f>IFERROR((('raw-PriceList'!AF50/'raw-PriceList'!AF51)-1)-Table14[[#This Row],[RF]],"")</f>
        <v>9.7254125064761485E-2</v>
      </c>
      <c r="AY51" s="6">
        <f>IFERROR((('raw-PriceList'!AG50/'raw-PriceList'!AG51)-1)-Table14[[#This Row],[RF]],"")</f>
        <v>9.726793215285455E-2</v>
      </c>
      <c r="AZ51" s="6">
        <f>IFERROR((('raw-PriceList'!AH50/'raw-PriceList'!AH51)-1)-Table14[[#This Row],[RF]],"")</f>
        <v>9.1808108033894262E-2</v>
      </c>
      <c r="BA51" s="6" t="str">
        <f>IFERROR((('raw-PriceList'!#REF!/'raw-PriceList'!#REF!)-1)-Table14[[#This Row],[RF]],"")</f>
        <v/>
      </c>
      <c r="BB51" s="6" t="str">
        <f>IFERROR((('raw-PriceList'!AI50/'raw-PriceList'!AI51)-1)-Table14[[#This Row],[RF]],"")</f>
        <v/>
      </c>
    </row>
    <row r="52" spans="1:54" x14ac:dyDescent="0.2">
      <c r="A52" s="5">
        <v>41943</v>
      </c>
      <c r="B52" s="9">
        <v>1</v>
      </c>
      <c r="C52" s="4">
        <v>-5.9999999999999995E-4</v>
      </c>
      <c r="D52" s="4">
        <v>-5.9999999999999995E-4</v>
      </c>
      <c r="E52" s="4">
        <v>-5.9999999999999995E-4</v>
      </c>
      <c r="F52" s="4">
        <v>-5.9999999999999995E-4</v>
      </c>
      <c r="G52" s="4">
        <v>-5.9999999999999995E-4</v>
      </c>
      <c r="H52" s="6">
        <f>IFERROR((('raw-PriceList'!B51/'raw-PriceList'!B52)-1)-Table14[[#This Row],[RF]],"")</f>
        <v>3.1468461583249299E-2</v>
      </c>
      <c r="I52" s="6">
        <f>IFERROR((('raw-PriceList'!C51/'raw-PriceList'!C52)-1)-Table14[[#This Row],[RF]],"")</f>
        <v>6.6058135026457146E-2</v>
      </c>
      <c r="J52" s="6">
        <f>IFERROR((('raw-PriceList'!D51/'raw-PriceList'!D52)-1)-Table14[[#This Row],[RF]],"")</f>
        <v>2.4644494649097192E-2</v>
      </c>
      <c r="K52" s="6" t="str">
        <f>IFERROR((('raw-PriceList'!E51/'raw-PriceList'!E52)-1)-Table14[[#This Row],[RF]],"")</f>
        <v/>
      </c>
      <c r="L52" s="6">
        <f>IFERROR((('raw-PriceList'!F22/'raw-PriceList'!F23)-1)-Table14[[#This Row],[RF]],"")</f>
        <v>-5.5620202724159691E-3</v>
      </c>
      <c r="M52" s="6">
        <f>IFERROR((('raw-PriceList'!G51/'raw-PriceList'!G52)-1)-Table14[[#This Row],[RF]],"")</f>
        <v>1.0061147122188595E-2</v>
      </c>
      <c r="N52" s="6">
        <f>IFERROR((('raw-PriceList'!H51/'raw-PriceList'!H52)-1)-Table14[[#This Row],[RF]],"")</f>
        <v>0.14311978732159131</v>
      </c>
      <c r="O52" s="6" t="str">
        <f>IFERROR((('raw-PriceList'!I51/'raw-PriceList'!I52)-1)-Table14[[#This Row],[RF]],"")</f>
        <v/>
      </c>
      <c r="P52" s="6">
        <f>IFERROR((('raw-PriceList'!J51/'raw-PriceList'!J52)-1)-Table14[[#This Row],[RF]],"")</f>
        <v>-3.0174701247138547E-2</v>
      </c>
      <c r="Q52" s="6">
        <f>IFERROR((('raw-PriceList'!K51/'raw-PriceList'!K52)-1)-Table14[[#This Row],[RF]],"")</f>
        <v>-1.355133691300341E-2</v>
      </c>
      <c r="R52" s="6">
        <f>IFERROR((('raw-PriceList'!L51/'raw-PriceList'!L52)-1)-Table14[[#This Row],[RF]],"")</f>
        <v>-4.2246795140923374E-2</v>
      </c>
      <c r="S52" s="6" t="str">
        <f>IFERROR((('raw-PriceList'!#REF!/'raw-PriceList'!#REF!)-1)-Table14[[#This Row],[RF]],"")</f>
        <v/>
      </c>
      <c r="T52" s="6">
        <f>IFERROR((('raw-PriceList'!M51/'raw-PriceList'!M52)-1)-Table14[[#This Row],[RF]],"")</f>
        <v>-2.0948623280734813E-2</v>
      </c>
      <c r="U52" s="6">
        <f>IFERROR((('raw-PriceList'!N51/'raw-PriceList'!N52)-1)-Table14[[#This Row],[RF]],"")</f>
        <v>-8.7218790128667407E-3</v>
      </c>
      <c r="V52" s="6">
        <f>IFERROR((('raw-PriceList'!O51/'raw-PriceList'!O52)-1)-Table14[[#This Row],[RF]],"")</f>
        <v>-3.2404801392808588E-2</v>
      </c>
      <c r="W52" s="6">
        <f>IFERROR((('raw-PriceList'!P51/'raw-PriceList'!P52)-1)-Table14[[#This Row],[RF]],"")</f>
        <v>3.0866184514410765E-2</v>
      </c>
      <c r="X52" s="6">
        <f>IFERROR((('raw-PriceList'!Q51/'raw-PriceList'!Q52)-1)-Table14[[#This Row],[RF]],"")</f>
        <v>5.7029543900790694E-2</v>
      </c>
      <c r="Y52" s="6" t="str">
        <f>IFERROR((('raw-PriceList'!#REF!/'raw-PriceList'!#REF!)-1)-Table14[[#This Row],[RF]],"")</f>
        <v/>
      </c>
      <c r="Z52" s="6">
        <f>IFERROR((('raw-PriceList'!R51/'raw-PriceList'!R52)-1)-Table14[[#This Row],[RF]],"")</f>
        <v>9.927294048680823E-3</v>
      </c>
      <c r="AA52" s="6" t="str">
        <f>IFERROR((('raw-PriceList'!#REF!/'raw-PriceList'!#REF!)-1)-Table14[[#This Row],[RF]],"")</f>
        <v/>
      </c>
      <c r="AB52" s="6" t="str">
        <f>IFERROR((('raw-PriceList'!#REF!/'raw-PriceList'!#REF!)-1)-Table14[[#This Row],[RF]],"")</f>
        <v/>
      </c>
      <c r="AC52" s="6">
        <f>IFERROR((('raw-PriceList'!S51/'raw-PriceList'!S52)-1)-Table14[[#This Row],[RF]],"")</f>
        <v>7.7282504278111779E-3</v>
      </c>
      <c r="AD52" s="6">
        <f>IFERROR((('raw-PriceList'!T51/'raw-PriceList'!T52)-1)-Table14[[#This Row],[RF]],"")</f>
        <v>3.8361384931113681E-4</v>
      </c>
      <c r="AE52" s="6" t="str">
        <f>IFERROR((('raw-PriceList'!#REF!/'raw-PriceList'!#REF!)-1)-Table14[[#This Row],[RF]],"")</f>
        <v/>
      </c>
      <c r="AF52" s="6">
        <f>IFERROR((('raw-PriceList'!U51/'raw-PriceList'!U52)-1)-Table14[[#This Row],[RF]],"")</f>
        <v>2.5404912326837014E-2</v>
      </c>
      <c r="AG52" s="6">
        <f>IFERROR((('raw-PriceList'!V51/'raw-PriceList'!V52)-1)-Table14[[#This Row],[RF]],"")</f>
        <v>5.7522167811954843E-3</v>
      </c>
      <c r="AH52" s="6">
        <f>IFERROR((('raw-PriceList'!W51/'raw-PriceList'!W52)-1)-Table14[[#This Row],[RF]],"")</f>
        <v>8.7179735332973587E-2</v>
      </c>
      <c r="AI52" s="6">
        <f>IFERROR((('raw-PriceList'!X51/'raw-PriceList'!X52)-1)-Table14[[#This Row],[RF]],"")</f>
        <v>5.4265502148976401E-3</v>
      </c>
      <c r="AJ52" s="6" t="str">
        <f>IFERROR((('raw-PriceList'!#REF!/'raw-PriceList'!#REF!)-1)-Table14[[#This Row],[RF]],"")</f>
        <v/>
      </c>
      <c r="AK52" s="6" t="str">
        <f>IFERROR((('raw-PriceList'!#REF!/'raw-PriceList'!#REF!)-1)-Table14[[#This Row],[RF]],"")</f>
        <v/>
      </c>
      <c r="AL52" s="6">
        <f>IFERROR((('raw-PriceList'!Y51/'raw-PriceList'!Y52)-1)-Table14[[#This Row],[RF]],"")</f>
        <v>-3.3218125678510721E-2</v>
      </c>
      <c r="AM52" s="6" t="str">
        <f>IFERROR((('raw-PriceList'!Z51/'raw-PriceList'!Z52)-1)-Table14[[#This Row],[RF]],"")</f>
        <v/>
      </c>
      <c r="AN52" s="6" t="str">
        <f>IFERROR((('raw-PriceList'!#REF!/'raw-PriceList'!#REF!)-1)-Table14[[#This Row],[RF]],"")</f>
        <v/>
      </c>
      <c r="AO52" s="6">
        <f>IFERROR((('raw-PriceList'!AA51/'raw-PriceList'!AA52)-1)-Table14[[#This Row],[RF]],"")</f>
        <v>9.4053719635794446E-3</v>
      </c>
      <c r="AP52" s="6" t="str">
        <f>IFERROR((('raw-PriceList'!#REF!/'raw-PriceList'!#REF!)-1)-Table14[[#This Row],[RF]],"")</f>
        <v/>
      </c>
      <c r="AQ52" s="6">
        <f>IFERROR((('raw-PriceList'!AB51/'raw-PriceList'!AB52)-1)-Table14[[#This Row],[RF]],"")</f>
        <v>2.7128309438273112E-2</v>
      </c>
      <c r="AR52" s="6">
        <f>IFERROR((('raw-PriceList'!AC51/'raw-PriceList'!AC52)-1)-Table14[[#This Row],[RF]],"")</f>
        <v>-2.311214438939917E-2</v>
      </c>
      <c r="AS52" s="6" t="str">
        <f>IFERROR((('raw-PriceList'!#REF!/'raw-PriceList'!#REF!)-1)-Table14[[#This Row],[RF]],"")</f>
        <v/>
      </c>
      <c r="AT52" s="6" t="str">
        <f>IFERROR((('raw-PriceList'!#REF!/'raw-PriceList'!#REF!)-1)-Table14[[#This Row],[RF]],"")</f>
        <v/>
      </c>
      <c r="AU52" s="6" t="str">
        <f>IFERROR((('raw-PriceList'!#REF!/'raw-PriceList'!#REF!)-1)-Table14[[#This Row],[RF]],"")</f>
        <v/>
      </c>
      <c r="AV52" s="6">
        <f>IFERROR((('raw-PriceList'!AD51/'raw-PriceList'!AD52)-1)-Table14[[#This Row],[RF]],"")</f>
        <v>-2.8260638289684881E-2</v>
      </c>
      <c r="AW52" s="6">
        <f>IFERROR((('raw-PriceList'!AE51/'raw-PriceList'!AE52)-1)-Table14[[#This Row],[RF]],"")</f>
        <v>-2.8260638289684881E-2</v>
      </c>
      <c r="AX52" s="6">
        <f>IFERROR((('raw-PriceList'!AF51/'raw-PriceList'!AF52)-1)-Table14[[#This Row],[RF]],"")</f>
        <v>-1.4665815043673081E-2</v>
      </c>
      <c r="AY52" s="6">
        <f>IFERROR((('raw-PriceList'!AG51/'raw-PriceList'!AG52)-1)-Table14[[#This Row],[RF]],"")</f>
        <v>-1.8371970526552862E-2</v>
      </c>
      <c r="AZ52" s="6">
        <f>IFERROR((('raw-PriceList'!AH51/'raw-PriceList'!AH52)-1)-Table14[[#This Row],[RF]],"")</f>
        <v>1.2391199962440268E-2</v>
      </c>
      <c r="BA52" s="6" t="str">
        <f>IFERROR((('raw-PriceList'!#REF!/'raw-PriceList'!#REF!)-1)-Table14[[#This Row],[RF]],"")</f>
        <v/>
      </c>
      <c r="BB52" s="6" t="str">
        <f>IFERROR((('raw-PriceList'!AI51/'raw-PriceList'!AI52)-1)-Table14[[#This Row],[RF]],"")</f>
        <v/>
      </c>
    </row>
    <row r="53" spans="1:54" x14ac:dyDescent="0.2">
      <c r="A53" s="5">
        <v>41912</v>
      </c>
      <c r="B53" s="9">
        <v>1</v>
      </c>
      <c r="C53" s="4">
        <v>2.5499999999999998E-2</v>
      </c>
      <c r="D53" s="4">
        <v>2.5499999999999998E-2</v>
      </c>
      <c r="E53" s="4">
        <v>2.5499999999999998E-2</v>
      </c>
      <c r="F53" s="4">
        <v>2.5499999999999998E-2</v>
      </c>
      <c r="G53" s="4">
        <v>2.5499999999999998E-2</v>
      </c>
      <c r="H53" s="6">
        <f>IFERROR((('raw-PriceList'!B52/'raw-PriceList'!B53)-1)-Table14[[#This Row],[RF]],"")</f>
        <v>-3.5626024386537086E-2</v>
      </c>
      <c r="I53" s="6">
        <f>IFERROR((('raw-PriceList'!C52/'raw-PriceList'!C53)-1)-Table14[[#This Row],[RF]],"")</f>
        <v>-1.0952857223109378E-2</v>
      </c>
      <c r="J53" s="6">
        <f>IFERROR((('raw-PriceList'!D52/'raw-PriceList'!D53)-1)-Table14[[#This Row],[RF]],"")</f>
        <v>-3.1499555454407885E-2</v>
      </c>
      <c r="K53" s="6" t="str">
        <f>IFERROR((('raw-PriceList'!E52/'raw-PriceList'!E53)-1)-Table14[[#This Row],[RF]],"")</f>
        <v/>
      </c>
      <c r="L53" s="6">
        <f>IFERROR((('raw-PriceList'!F23/'raw-PriceList'!F24)-1)-Table14[[#This Row],[RF]],"")</f>
        <v>-1.9128160322639785E-2</v>
      </c>
      <c r="M53" s="6">
        <f>IFERROR((('raw-PriceList'!G52/'raw-PriceList'!G53)-1)-Table14[[#This Row],[RF]],"")</f>
        <v>-3.1547832928242397E-2</v>
      </c>
      <c r="N53" s="6">
        <f>IFERROR((('raw-PriceList'!H52/'raw-PriceList'!H53)-1)-Table14[[#This Row],[RF]],"")</f>
        <v>1.6234431557418185E-2</v>
      </c>
      <c r="O53" s="6" t="str">
        <f>IFERROR((('raw-PriceList'!I52/'raw-PriceList'!I53)-1)-Table14[[#This Row],[RF]],"")</f>
        <v/>
      </c>
      <c r="P53" s="6">
        <f>IFERROR((('raw-PriceList'!J52/'raw-PriceList'!J53)-1)-Table14[[#This Row],[RF]],"")</f>
        <v>-3.296079926215692E-2</v>
      </c>
      <c r="Q53" s="6">
        <f>IFERROR((('raw-PriceList'!K52/'raw-PriceList'!K53)-1)-Table14[[#This Row],[RF]],"")</f>
        <v>-3.9897881472428037E-2</v>
      </c>
      <c r="R53" s="6">
        <f>IFERROR((('raw-PriceList'!L52/'raw-PriceList'!L53)-1)-Table14[[#This Row],[RF]],"")</f>
        <v>-2.9569728896978762E-2</v>
      </c>
      <c r="S53" s="6" t="str">
        <f>IFERROR((('raw-PriceList'!#REF!/'raw-PriceList'!#REF!)-1)-Table14[[#This Row],[RF]],"")</f>
        <v/>
      </c>
      <c r="T53" s="6">
        <f>IFERROR((('raw-PriceList'!M52/'raw-PriceList'!M53)-1)-Table14[[#This Row],[RF]],"")</f>
        <v>-2.706773587754022E-2</v>
      </c>
      <c r="U53" s="6">
        <f>IFERROR((('raw-PriceList'!N52/'raw-PriceList'!N53)-1)-Table14[[#This Row],[RF]],"")</f>
        <v>-2.7880899200521534E-2</v>
      </c>
      <c r="V53" s="6">
        <f>IFERROR((('raw-PriceList'!O52/'raw-PriceList'!O53)-1)-Table14[[#This Row],[RF]],"")</f>
        <v>-2.5033142882869095E-2</v>
      </c>
      <c r="W53" s="6">
        <f>IFERROR((('raw-PriceList'!P52/'raw-PriceList'!P53)-1)-Table14[[#This Row],[RF]],"")</f>
        <v>-3.4921534726140374E-2</v>
      </c>
      <c r="X53" s="6">
        <f>IFERROR((('raw-PriceList'!Q52/'raw-PriceList'!Q53)-1)-Table14[[#This Row],[RF]],"")</f>
        <v>-1.5069372528876111E-2</v>
      </c>
      <c r="Y53" s="6" t="str">
        <f>IFERROR((('raw-PriceList'!#REF!/'raw-PriceList'!#REF!)-1)-Table14[[#This Row],[RF]],"")</f>
        <v/>
      </c>
      <c r="Z53" s="6">
        <f>IFERROR((('raw-PriceList'!R52/'raw-PriceList'!R53)-1)-Table14[[#This Row],[RF]],"")</f>
        <v>-3.2375071011220974E-2</v>
      </c>
      <c r="AA53" s="6" t="str">
        <f>IFERROR((('raw-PriceList'!#REF!/'raw-PriceList'!#REF!)-1)-Table14[[#This Row],[RF]],"")</f>
        <v/>
      </c>
      <c r="AB53" s="6" t="str">
        <f>IFERROR((('raw-PriceList'!#REF!/'raw-PriceList'!#REF!)-1)-Table14[[#This Row],[RF]],"")</f>
        <v/>
      </c>
      <c r="AC53" s="6">
        <f>IFERROR((('raw-PriceList'!S52/'raw-PriceList'!S53)-1)-Table14[[#This Row],[RF]],"")</f>
        <v>-6.9191582768358711E-2</v>
      </c>
      <c r="AD53" s="6">
        <f>IFERROR((('raw-PriceList'!T52/'raw-PriceList'!T53)-1)-Table14[[#This Row],[RF]],"")</f>
        <v>-7.2619723648336493E-2</v>
      </c>
      <c r="AE53" s="6" t="str">
        <f>IFERROR((('raw-PriceList'!#REF!/'raw-PriceList'!#REF!)-1)-Table14[[#This Row],[RF]],"")</f>
        <v/>
      </c>
      <c r="AF53" s="6">
        <f>IFERROR((('raw-PriceList'!U52/'raw-PriceList'!U53)-1)-Table14[[#This Row],[RF]],"")</f>
        <v>-2.923856318190313E-2</v>
      </c>
      <c r="AG53" s="6">
        <f>IFERROR((('raw-PriceList'!V52/'raw-PriceList'!V53)-1)-Table14[[#This Row],[RF]],"")</f>
        <v>-7.7611191231534177E-2</v>
      </c>
      <c r="AH53" s="6">
        <f>IFERROR((('raw-PriceList'!W52/'raw-PriceList'!W53)-1)-Table14[[#This Row],[RF]],"")</f>
        <v>6.1065825004810378E-4</v>
      </c>
      <c r="AI53" s="6">
        <f>IFERROR((('raw-PriceList'!X52/'raw-PriceList'!X53)-1)-Table14[[#This Row],[RF]],"")</f>
        <v>-2.9294648774483432E-2</v>
      </c>
      <c r="AJ53" s="6" t="str">
        <f>IFERROR((('raw-PriceList'!#REF!/'raw-PriceList'!#REF!)-1)-Table14[[#This Row],[RF]],"")</f>
        <v/>
      </c>
      <c r="AK53" s="6" t="str">
        <f>IFERROR((('raw-PriceList'!#REF!/'raw-PriceList'!#REF!)-1)-Table14[[#This Row],[RF]],"")</f>
        <v/>
      </c>
      <c r="AL53" s="6">
        <f>IFERROR((('raw-PriceList'!Y52/'raw-PriceList'!Y53)-1)-Table14[[#This Row],[RF]],"")</f>
        <v>-3.001042292466952E-2</v>
      </c>
      <c r="AM53" s="6" t="str">
        <f>IFERROR((('raw-PriceList'!Z52/'raw-PriceList'!Z53)-1)-Table14[[#This Row],[RF]],"")</f>
        <v/>
      </c>
      <c r="AN53" s="6" t="str">
        <f>IFERROR((('raw-PriceList'!#REF!/'raw-PriceList'!#REF!)-1)-Table14[[#This Row],[RF]],"")</f>
        <v/>
      </c>
      <c r="AO53" s="6">
        <f>IFERROR((('raw-PriceList'!AA52/'raw-PriceList'!AA53)-1)-Table14[[#This Row],[RF]],"")</f>
        <v>-2.99871607069481E-2</v>
      </c>
      <c r="AP53" s="6" t="str">
        <f>IFERROR((('raw-PriceList'!#REF!/'raw-PriceList'!#REF!)-1)-Table14[[#This Row],[RF]],"")</f>
        <v/>
      </c>
      <c r="AQ53" s="6">
        <f>IFERROR((('raw-PriceList'!AB52/'raw-PriceList'!AB53)-1)-Table14[[#This Row],[RF]],"")</f>
        <v>-7.3565553266208755E-2</v>
      </c>
      <c r="AR53" s="6">
        <f>IFERROR((('raw-PriceList'!AC52/'raw-PriceList'!AC53)-1)-Table14[[#This Row],[RF]],"")</f>
        <v>-3.5246485086615348E-2</v>
      </c>
      <c r="AS53" s="6" t="str">
        <f>IFERROR((('raw-PriceList'!#REF!/'raw-PriceList'!#REF!)-1)-Table14[[#This Row],[RF]],"")</f>
        <v/>
      </c>
      <c r="AT53" s="6" t="str">
        <f>IFERROR((('raw-PriceList'!#REF!/'raw-PriceList'!#REF!)-1)-Table14[[#This Row],[RF]],"")</f>
        <v/>
      </c>
      <c r="AU53" s="6" t="str">
        <f>IFERROR((('raw-PriceList'!#REF!/'raw-PriceList'!#REF!)-1)-Table14[[#This Row],[RF]],"")</f>
        <v/>
      </c>
      <c r="AV53" s="6">
        <f>IFERROR((('raw-PriceList'!AD52/'raw-PriceList'!AD53)-1)-Table14[[#This Row],[RF]],"")</f>
        <v>-3.4079608397337285E-2</v>
      </c>
      <c r="AW53" s="6">
        <f>IFERROR((('raw-PriceList'!AE52/'raw-PriceList'!AE53)-1)-Table14[[#This Row],[RF]],"")</f>
        <v>-3.4079608397337285E-2</v>
      </c>
      <c r="AX53" s="6">
        <f>IFERROR((('raw-PriceList'!AF52/'raw-PriceList'!AF53)-1)-Table14[[#This Row],[RF]],"")</f>
        <v>-3.570067920754641E-2</v>
      </c>
      <c r="AY53" s="6">
        <f>IFERROR((('raw-PriceList'!AG52/'raw-PriceList'!AG53)-1)-Table14[[#This Row],[RF]],"")</f>
        <v>-8.3264282497622438E-2</v>
      </c>
      <c r="AZ53" s="6">
        <f>IFERROR((('raw-PriceList'!AH52/'raw-PriceList'!AH53)-1)-Table14[[#This Row],[RF]],"")</f>
        <v>-5.8504622469948059E-2</v>
      </c>
      <c r="BA53" s="6" t="str">
        <f>IFERROR((('raw-PriceList'!#REF!/'raw-PriceList'!#REF!)-1)-Table14[[#This Row],[RF]],"")</f>
        <v/>
      </c>
      <c r="BB53" s="6" t="str">
        <f>IFERROR((('raw-PriceList'!AI52/'raw-PriceList'!AI53)-1)-Table14[[#This Row],[RF]],"")</f>
        <v/>
      </c>
    </row>
    <row r="54" spans="1:54" x14ac:dyDescent="0.2">
      <c r="A54" s="5">
        <v>41882</v>
      </c>
      <c r="B54" s="9">
        <v>1</v>
      </c>
      <c r="C54" s="4">
        <v>2.52E-2</v>
      </c>
      <c r="D54" s="4">
        <v>2.52E-2</v>
      </c>
      <c r="E54" s="4">
        <v>2.52E-2</v>
      </c>
      <c r="F54" s="4">
        <v>2.52E-2</v>
      </c>
      <c r="G54" s="4">
        <v>2.52E-2</v>
      </c>
      <c r="H54" s="6">
        <f>IFERROR((('raw-PriceList'!B53/'raw-PriceList'!B54)-1)-Table14[[#This Row],[RF]],"")</f>
        <v>-1.8944651191516004E-2</v>
      </c>
      <c r="I54" s="6">
        <f>IFERROR((('raw-PriceList'!C53/'raw-PriceList'!C54)-1)-Table14[[#This Row],[RF]],"")</f>
        <v>-1.1538235682343134E-2</v>
      </c>
      <c r="J54" s="6">
        <f>IFERROR((('raw-PriceList'!D53/'raw-PriceList'!D54)-1)-Table14[[#This Row],[RF]],"")</f>
        <v>-1.8980637240022191E-2</v>
      </c>
      <c r="K54" s="6" t="str">
        <f>IFERROR((('raw-PriceList'!E53/'raw-PriceList'!E54)-1)-Table14[[#This Row],[RF]],"")</f>
        <v/>
      </c>
      <c r="L54" s="6">
        <f>IFERROR((('raw-PriceList'!F24/'raw-PriceList'!F25)-1)-Table14[[#This Row],[RF]],"")</f>
        <v>-2.1500551860970218E-2</v>
      </c>
      <c r="M54" s="6">
        <f>IFERROR((('raw-PriceList'!G53/'raw-PriceList'!G54)-1)-Table14[[#This Row],[RF]],"")</f>
        <v>-2.362689278702812E-2</v>
      </c>
      <c r="N54" s="6">
        <f>IFERROR((('raw-PriceList'!H53/'raw-PriceList'!H54)-1)-Table14[[#This Row],[RF]],"")</f>
        <v>1.8042680643730491E-2</v>
      </c>
      <c r="O54" s="6" t="str">
        <f>IFERROR((('raw-PriceList'!I53/'raw-PriceList'!I54)-1)-Table14[[#This Row],[RF]],"")</f>
        <v/>
      </c>
      <c r="P54" s="6">
        <f>IFERROR((('raw-PriceList'!J53/'raw-PriceList'!J54)-1)-Table14[[#This Row],[RF]],"")</f>
        <v>5.7923348381538897E-4</v>
      </c>
      <c r="Q54" s="6">
        <f>IFERROR((('raw-PriceList'!K53/'raw-PriceList'!K54)-1)-Table14[[#This Row],[RF]],"")</f>
        <v>5.6729542664063493E-3</v>
      </c>
      <c r="R54" s="6">
        <f>IFERROR((('raw-PriceList'!L53/'raw-PriceList'!L54)-1)-Table14[[#This Row],[RF]],"")</f>
        <v>-2.7274130727358292E-3</v>
      </c>
      <c r="S54" s="6" t="str">
        <f>IFERROR((('raw-PriceList'!#REF!/'raw-PriceList'!#REF!)-1)-Table14[[#This Row],[RF]],"")</f>
        <v/>
      </c>
      <c r="T54" s="6">
        <f>IFERROR((('raw-PriceList'!M53/'raw-PriceList'!M54)-1)-Table14[[#This Row],[RF]],"")</f>
        <v>-1.4545796882186823E-2</v>
      </c>
      <c r="U54" s="6">
        <f>IFERROR((('raw-PriceList'!N53/'raw-PriceList'!N54)-1)-Table14[[#This Row],[RF]],"")</f>
        <v>-1.529482827508144E-2</v>
      </c>
      <c r="V54" s="6">
        <f>IFERROR((('raw-PriceList'!O53/'raw-PriceList'!O54)-1)-Table14[[#This Row],[RF]],"")</f>
        <v>-1.4189821554230986E-2</v>
      </c>
      <c r="W54" s="6">
        <f>IFERROR((('raw-PriceList'!P53/'raw-PriceList'!P54)-1)-Table14[[#This Row],[RF]],"")</f>
        <v>-2.0580567732351951E-2</v>
      </c>
      <c r="X54" s="6">
        <f>IFERROR((('raw-PriceList'!Q53/'raw-PriceList'!Q54)-1)-Table14[[#This Row],[RF]],"")</f>
        <v>-2.2771235892398711E-2</v>
      </c>
      <c r="Y54" s="6" t="str">
        <f>IFERROR((('raw-PriceList'!#REF!/'raw-PriceList'!#REF!)-1)-Table14[[#This Row],[RF]],"")</f>
        <v/>
      </c>
      <c r="Z54" s="6">
        <f>IFERROR((('raw-PriceList'!R53/'raw-PriceList'!R54)-1)-Table14[[#This Row],[RF]],"")</f>
        <v>-2.4541305640048638E-2</v>
      </c>
      <c r="AA54" s="6" t="str">
        <f>IFERROR((('raw-PriceList'!#REF!/'raw-PriceList'!#REF!)-1)-Table14[[#This Row],[RF]],"")</f>
        <v/>
      </c>
      <c r="AB54" s="6" t="str">
        <f>IFERROR((('raw-PriceList'!#REF!/'raw-PriceList'!#REF!)-1)-Table14[[#This Row],[RF]],"")</f>
        <v/>
      </c>
      <c r="AC54" s="6">
        <f>IFERROR((('raw-PriceList'!S53/'raw-PriceList'!S54)-1)-Table14[[#This Row],[RF]],"")</f>
        <v>-2.52E-2</v>
      </c>
      <c r="AD54" s="6">
        <f>IFERROR((('raw-PriceList'!T53/'raw-PriceList'!T54)-1)-Table14[[#This Row],[RF]],"")</f>
        <v>-2.8514454010886481E-2</v>
      </c>
      <c r="AE54" s="6" t="str">
        <f>IFERROR((('raw-PriceList'!#REF!/'raw-PriceList'!#REF!)-1)-Table14[[#This Row],[RF]],"")</f>
        <v/>
      </c>
      <c r="AF54" s="6">
        <f>IFERROR((('raw-PriceList'!U53/'raw-PriceList'!U54)-1)-Table14[[#This Row],[RF]],"")</f>
        <v>-1.9200312665015651E-2</v>
      </c>
      <c r="AG54" s="6">
        <f>IFERROR((('raw-PriceList'!V53/'raw-PriceList'!V54)-1)-Table14[[#This Row],[RF]],"")</f>
        <v>-4.5140966628202106E-3</v>
      </c>
      <c r="AH54" s="6">
        <f>IFERROR((('raw-PriceList'!W53/'raw-PriceList'!W54)-1)-Table14[[#This Row],[RF]],"")</f>
        <v>-3.0730813139211444E-3</v>
      </c>
      <c r="AI54" s="6">
        <f>IFERROR((('raw-PriceList'!X53/'raw-PriceList'!X54)-1)-Table14[[#This Row],[RF]],"")</f>
        <v>-2.4164232353331871E-2</v>
      </c>
      <c r="AJ54" s="6" t="str">
        <f>IFERROR((('raw-PriceList'!#REF!/'raw-PriceList'!#REF!)-1)-Table14[[#This Row],[RF]],"")</f>
        <v/>
      </c>
      <c r="AK54" s="6" t="str">
        <f>IFERROR((('raw-PriceList'!#REF!/'raw-PriceList'!#REF!)-1)-Table14[[#This Row],[RF]],"")</f>
        <v/>
      </c>
      <c r="AL54" s="6">
        <f>IFERROR((('raw-PriceList'!Y53/'raw-PriceList'!Y54)-1)-Table14[[#This Row],[RF]],"")</f>
        <v>6.934056372494779E-3</v>
      </c>
      <c r="AM54" s="6" t="str">
        <f>IFERROR((('raw-PriceList'!Z53/'raw-PriceList'!Z54)-1)-Table14[[#This Row],[RF]],"")</f>
        <v/>
      </c>
      <c r="AN54" s="6" t="str">
        <f>IFERROR((('raw-PriceList'!#REF!/'raw-PriceList'!#REF!)-1)-Table14[[#This Row],[RF]],"")</f>
        <v/>
      </c>
      <c r="AO54" s="6">
        <f>IFERROR((('raw-PriceList'!AA53/'raw-PriceList'!AA54)-1)-Table14[[#This Row],[RF]],"")</f>
        <v>-1.9435611222028526E-2</v>
      </c>
      <c r="AP54" s="6" t="str">
        <f>IFERROR((('raw-PriceList'!#REF!/'raw-PriceList'!#REF!)-1)-Table14[[#This Row],[RF]],"")</f>
        <v/>
      </c>
      <c r="AQ54" s="6">
        <f>IFERROR((('raw-PriceList'!AB53/'raw-PriceList'!AB54)-1)-Table14[[#This Row],[RF]],"")</f>
        <v>-3.6433109534073527E-2</v>
      </c>
      <c r="AR54" s="6">
        <f>IFERROR((('raw-PriceList'!AC53/'raw-PriceList'!AC54)-1)-Table14[[#This Row],[RF]],"")</f>
        <v>1.9860672230099796E-3</v>
      </c>
      <c r="AS54" s="6" t="str">
        <f>IFERROR((('raw-PriceList'!#REF!/'raw-PriceList'!#REF!)-1)-Table14[[#This Row],[RF]],"")</f>
        <v/>
      </c>
      <c r="AT54" s="6" t="str">
        <f>IFERROR((('raw-PriceList'!#REF!/'raw-PriceList'!#REF!)-1)-Table14[[#This Row],[RF]],"")</f>
        <v/>
      </c>
      <c r="AU54" s="6" t="str">
        <f>IFERROR((('raw-PriceList'!#REF!/'raw-PriceList'!#REF!)-1)-Table14[[#This Row],[RF]],"")</f>
        <v/>
      </c>
      <c r="AV54" s="6">
        <f>IFERROR((('raw-PriceList'!AD53/'raw-PriceList'!AD54)-1)-Table14[[#This Row],[RF]],"")</f>
        <v>2.1680290753581799E-3</v>
      </c>
      <c r="AW54" s="6">
        <f>IFERROR((('raw-PriceList'!AE53/'raw-PriceList'!AE54)-1)-Table14[[#This Row],[RF]],"")</f>
        <v>2.1680290753581799E-3</v>
      </c>
      <c r="AX54" s="6">
        <f>IFERROR((('raw-PriceList'!AF53/'raw-PriceList'!AF54)-1)-Table14[[#This Row],[RF]],"")</f>
        <v>6.0502636945362065E-3</v>
      </c>
      <c r="AY54" s="6">
        <f>IFERROR((('raw-PriceList'!AG53/'raw-PriceList'!AG54)-1)-Table14[[#This Row],[RF]],"")</f>
        <v>-1.6316316103894724E-2</v>
      </c>
      <c r="AZ54" s="6">
        <f>IFERROR((('raw-PriceList'!AH53/'raw-PriceList'!AH54)-1)-Table14[[#This Row],[RF]],"")</f>
        <v>-6.2989124811866692E-2</v>
      </c>
      <c r="BA54" s="6" t="str">
        <f>IFERROR((('raw-PriceList'!#REF!/'raw-PriceList'!#REF!)-1)-Table14[[#This Row],[RF]],"")</f>
        <v/>
      </c>
      <c r="BB54" s="6" t="str">
        <f>IFERROR((('raw-PriceList'!AI53/'raw-PriceList'!AI54)-1)-Table14[[#This Row],[RF]],"")</f>
        <v/>
      </c>
    </row>
    <row r="55" spans="1:54" x14ac:dyDescent="0.2">
      <c r="A55" s="5">
        <v>41851</v>
      </c>
      <c r="B55" s="9">
        <v>1</v>
      </c>
      <c r="C55" s="4">
        <v>-1.9699999999999999E-2</v>
      </c>
      <c r="D55" s="4">
        <v>-1.9699999999999999E-2</v>
      </c>
      <c r="E55" s="4">
        <v>-1.9699999999999999E-2</v>
      </c>
      <c r="F55" s="4">
        <v>-1.9699999999999999E-2</v>
      </c>
      <c r="G55" s="4">
        <v>-1.9699999999999999E-2</v>
      </c>
      <c r="H55" s="6">
        <f>IFERROR((('raw-PriceList'!B54/'raw-PriceList'!B55)-1)-Table14[[#This Row],[RF]],"")</f>
        <v>2.8587062233765562E-2</v>
      </c>
      <c r="I55" s="6">
        <f>IFERROR((('raw-PriceList'!C54/'raw-PriceList'!C55)-1)-Table14[[#This Row],[RF]],"")</f>
        <v>3.5660746927313525E-2</v>
      </c>
      <c r="J55" s="6">
        <f>IFERROR((('raw-PriceList'!D54/'raw-PriceList'!D55)-1)-Table14[[#This Row],[RF]],"")</f>
        <v>2.4906613799461078E-2</v>
      </c>
      <c r="K55" s="6" t="str">
        <f>IFERROR((('raw-PriceList'!E54/'raw-PriceList'!E55)-1)-Table14[[#This Row],[RF]],"")</f>
        <v/>
      </c>
      <c r="L55" s="6">
        <f>IFERROR((('raw-PriceList'!F25/'raw-PriceList'!F26)-1)-Table14[[#This Row],[RF]],"")</f>
        <v>1.8967775091804865E-2</v>
      </c>
      <c r="M55" s="6">
        <f>IFERROR((('raw-PriceList'!G54/'raw-PriceList'!G55)-1)-Table14[[#This Row],[RF]],"")</f>
        <v>2.2698665705534974E-2</v>
      </c>
      <c r="N55" s="6">
        <f>IFERROR((('raw-PriceList'!H54/'raw-PriceList'!H55)-1)-Table14[[#This Row],[RF]],"")</f>
        <v>6.1507254053374705E-2</v>
      </c>
      <c r="O55" s="6" t="str">
        <f>IFERROR((('raw-PriceList'!I54/'raw-PriceList'!I55)-1)-Table14[[#This Row],[RF]],"")</f>
        <v/>
      </c>
      <c r="P55" s="6">
        <f>IFERROR((('raw-PriceList'!J54/'raw-PriceList'!J55)-1)-Table14[[#This Row],[RF]],"")</f>
        <v>4.1175704894550413E-2</v>
      </c>
      <c r="Q55" s="6">
        <f>IFERROR((('raw-PriceList'!K54/'raw-PriceList'!K55)-1)-Table14[[#This Row],[RF]],"")</f>
        <v>4.8098936113450674E-2</v>
      </c>
      <c r="R55" s="6">
        <f>IFERROR((('raw-PriceList'!L54/'raw-PriceList'!L55)-1)-Table14[[#This Row],[RF]],"")</f>
        <v>3.5532241340989479E-2</v>
      </c>
      <c r="S55" s="6" t="str">
        <f>IFERROR((('raw-PriceList'!#REF!/'raw-PriceList'!#REF!)-1)-Table14[[#This Row],[RF]],"")</f>
        <v/>
      </c>
      <c r="T55" s="6">
        <f>IFERROR((('raw-PriceList'!M54/'raw-PriceList'!M55)-1)-Table14[[#This Row],[RF]],"")</f>
        <v>6.4928101356683754E-2</v>
      </c>
      <c r="U55" s="6">
        <f>IFERROR((('raw-PriceList'!N54/'raw-PriceList'!N55)-1)-Table14[[#This Row],[RF]],"")</f>
        <v>5.8594134380577534E-2</v>
      </c>
      <c r="V55" s="6">
        <f>IFERROR((('raw-PriceList'!O54/'raw-PriceList'!O55)-1)-Table14[[#This Row],[RF]],"")</f>
        <v>6.8205719329738235E-2</v>
      </c>
      <c r="W55" s="6">
        <f>IFERROR((('raw-PriceList'!P54/'raw-PriceList'!P55)-1)-Table14[[#This Row],[RF]],"")</f>
        <v>2.8403108677809322E-2</v>
      </c>
      <c r="X55" s="6">
        <f>IFERROR((('raw-PriceList'!Q54/'raw-PriceList'!Q55)-1)-Table14[[#This Row],[RF]],"")</f>
        <v>3.8900415366319663E-2</v>
      </c>
      <c r="Y55" s="6" t="str">
        <f>IFERROR((('raw-PriceList'!#REF!/'raw-PriceList'!#REF!)-1)-Table14[[#This Row],[RF]],"")</f>
        <v/>
      </c>
      <c r="Z55" s="6">
        <f>IFERROR((('raw-PriceList'!R54/'raw-PriceList'!R55)-1)-Table14[[#This Row],[RF]],"")</f>
        <v>2.2893815791071585E-2</v>
      </c>
      <c r="AA55" s="6" t="str">
        <f>IFERROR((('raw-PriceList'!#REF!/'raw-PriceList'!#REF!)-1)-Table14[[#This Row],[RF]],"")</f>
        <v/>
      </c>
      <c r="AB55" s="6" t="str">
        <f>IFERROR((('raw-PriceList'!#REF!/'raw-PriceList'!#REF!)-1)-Table14[[#This Row],[RF]],"")</f>
        <v/>
      </c>
      <c r="AC55" s="6">
        <f>IFERROR((('raw-PriceList'!S54/'raw-PriceList'!S55)-1)-Table14[[#This Row],[RF]],"")</f>
        <v>1.6125297522914864E-2</v>
      </c>
      <c r="AD55" s="6">
        <f>IFERROR((('raw-PriceList'!T54/'raw-PriceList'!T55)-1)-Table14[[#This Row],[RF]],"")</f>
        <v>2.1729588038712003E-2</v>
      </c>
      <c r="AE55" s="6" t="str">
        <f>IFERROR((('raw-PriceList'!#REF!/'raw-PriceList'!#REF!)-1)-Table14[[#This Row],[RF]],"")</f>
        <v/>
      </c>
      <c r="AF55" s="6">
        <f>IFERROR((('raw-PriceList'!U54/'raw-PriceList'!U55)-1)-Table14[[#This Row],[RF]],"")</f>
        <v>2.9107961630274241E-2</v>
      </c>
      <c r="AG55" s="6">
        <f>IFERROR((('raw-PriceList'!V54/'raw-PriceList'!V55)-1)-Table14[[#This Row],[RF]],"")</f>
        <v>7.1931408390074961E-4</v>
      </c>
      <c r="AH55" s="6">
        <f>IFERROR((('raw-PriceList'!W54/'raw-PriceList'!W55)-1)-Table14[[#This Row],[RF]],"")</f>
        <v>4.4316254532585864E-2</v>
      </c>
      <c r="AI55" s="6">
        <f>IFERROR((('raw-PriceList'!X54/'raw-PriceList'!X55)-1)-Table14[[#This Row],[RF]],"")</f>
        <v>2.1722050013032793E-2</v>
      </c>
      <c r="AJ55" s="6" t="str">
        <f>IFERROR((('raw-PriceList'!#REF!/'raw-PriceList'!#REF!)-1)-Table14[[#This Row],[RF]],"")</f>
        <v/>
      </c>
      <c r="AK55" s="6" t="str">
        <f>IFERROR((('raw-PriceList'!#REF!/'raw-PriceList'!#REF!)-1)-Table14[[#This Row],[RF]],"")</f>
        <v/>
      </c>
      <c r="AL55" s="6">
        <f>IFERROR((('raw-PriceList'!Y54/'raw-PriceList'!Y55)-1)-Table14[[#This Row],[RF]],"")</f>
        <v>4.6238111554495143E-2</v>
      </c>
      <c r="AM55" s="6" t="str">
        <f>IFERROR((('raw-PriceList'!Z54/'raw-PriceList'!Z55)-1)-Table14[[#This Row],[RF]],"")</f>
        <v/>
      </c>
      <c r="AN55" s="6" t="str">
        <f>IFERROR((('raw-PriceList'!#REF!/'raw-PriceList'!#REF!)-1)-Table14[[#This Row],[RF]],"")</f>
        <v/>
      </c>
      <c r="AO55" s="6">
        <f>IFERROR((('raw-PriceList'!AA54/'raw-PriceList'!AA55)-1)-Table14[[#This Row],[RF]],"")</f>
        <v>2.6716090253938233E-2</v>
      </c>
      <c r="AP55" s="6" t="str">
        <f>IFERROR((('raw-PriceList'!#REF!/'raw-PriceList'!#REF!)-1)-Table14[[#This Row],[RF]],"")</f>
        <v/>
      </c>
      <c r="AQ55" s="6">
        <f>IFERROR((('raw-PriceList'!AB54/'raw-PriceList'!AB55)-1)-Table14[[#This Row],[RF]],"")</f>
        <v>6.3942372375229206E-2</v>
      </c>
      <c r="AR55" s="6">
        <f>IFERROR((('raw-PriceList'!AC54/'raw-PriceList'!AC55)-1)-Table14[[#This Row],[RF]],"")</f>
        <v>5.5240694470307605E-2</v>
      </c>
      <c r="AS55" s="6" t="str">
        <f>IFERROR((('raw-PriceList'!#REF!/'raw-PriceList'!#REF!)-1)-Table14[[#This Row],[RF]],"")</f>
        <v/>
      </c>
      <c r="AT55" s="6" t="str">
        <f>IFERROR((('raw-PriceList'!#REF!/'raw-PriceList'!#REF!)-1)-Table14[[#This Row],[RF]],"")</f>
        <v/>
      </c>
      <c r="AU55" s="6" t="str">
        <f>IFERROR((('raw-PriceList'!#REF!/'raw-PriceList'!#REF!)-1)-Table14[[#This Row],[RF]],"")</f>
        <v/>
      </c>
      <c r="AV55" s="6">
        <f>IFERROR((('raw-PriceList'!AD54/'raw-PriceList'!AD55)-1)-Table14[[#This Row],[RF]],"")</f>
        <v>4.3908270282311201E-2</v>
      </c>
      <c r="AW55" s="6">
        <f>IFERROR((('raw-PriceList'!AE54/'raw-PriceList'!AE55)-1)-Table14[[#This Row],[RF]],"")</f>
        <v>4.3908270282311201E-2</v>
      </c>
      <c r="AX55" s="6">
        <f>IFERROR((('raw-PriceList'!AF54/'raw-PriceList'!AF55)-1)-Table14[[#This Row],[RF]],"")</f>
        <v>5.36232603288464E-2</v>
      </c>
      <c r="AY55" s="6">
        <f>IFERROR((('raw-PriceList'!AG54/'raw-PriceList'!AG55)-1)-Table14[[#This Row],[RF]],"")</f>
        <v>4.055348675535736E-2</v>
      </c>
      <c r="AZ55" s="6">
        <f>IFERROR((('raw-PriceList'!AH54/'raw-PriceList'!AH55)-1)-Table14[[#This Row],[RF]],"")</f>
        <v>5.0329408339669424E-2</v>
      </c>
      <c r="BA55" s="6" t="str">
        <f>IFERROR((('raw-PriceList'!#REF!/'raw-PriceList'!#REF!)-1)-Table14[[#This Row],[RF]],"")</f>
        <v/>
      </c>
      <c r="BB55" s="6" t="str">
        <f>IFERROR((('raw-PriceList'!AI54/'raw-PriceList'!AI55)-1)-Table14[[#This Row],[RF]],"")</f>
        <v/>
      </c>
    </row>
    <row r="56" spans="1:54" x14ac:dyDescent="0.2">
      <c r="A56" s="5">
        <v>41820</v>
      </c>
      <c r="B56" s="9">
        <v>1</v>
      </c>
      <c r="C56" s="4">
        <v>4.24E-2</v>
      </c>
      <c r="D56" s="4">
        <v>4.24E-2</v>
      </c>
      <c r="E56" s="4">
        <v>4.24E-2</v>
      </c>
      <c r="F56" s="4">
        <v>4.24E-2</v>
      </c>
      <c r="G56" s="4">
        <v>4.24E-2</v>
      </c>
      <c r="H56" s="6">
        <f>IFERROR((('raw-PriceList'!B55/'raw-PriceList'!B56)-1)-Table14[[#This Row],[RF]],"")</f>
        <v>-5.4501453642360149E-2</v>
      </c>
      <c r="I56" s="6">
        <f>IFERROR((('raw-PriceList'!C55/'raw-PriceList'!C56)-1)-Table14[[#This Row],[RF]],"")</f>
        <v>-7.0296690066536494E-2</v>
      </c>
      <c r="J56" s="6">
        <f>IFERROR((('raw-PriceList'!D55/'raw-PriceList'!D56)-1)-Table14[[#This Row],[RF]],"")</f>
        <v>-5.0269251227171415E-2</v>
      </c>
      <c r="K56" s="6" t="str">
        <f>IFERROR((('raw-PriceList'!E55/'raw-PriceList'!E56)-1)-Table14[[#This Row],[RF]],"")</f>
        <v/>
      </c>
      <c r="L56" s="6">
        <f>IFERROR((('raw-PriceList'!F26/'raw-PriceList'!F27)-1)-Table14[[#This Row],[RF]],"")</f>
        <v>-3.4344822321229714E-2</v>
      </c>
      <c r="M56" s="6">
        <f>IFERROR((('raw-PriceList'!G55/'raw-PriceList'!G56)-1)-Table14[[#This Row],[RF]],"")</f>
        <v>-4.4920721677571003E-2</v>
      </c>
      <c r="N56" s="6">
        <f>IFERROR((('raw-PriceList'!H55/'raw-PriceList'!H56)-1)-Table14[[#This Row],[RF]],"")</f>
        <v>-7.9790675809478295E-2</v>
      </c>
      <c r="O56" s="6" t="str">
        <f>IFERROR((('raw-PriceList'!I55/'raw-PriceList'!I56)-1)-Table14[[#This Row],[RF]],"")</f>
        <v/>
      </c>
      <c r="P56" s="6">
        <f>IFERROR((('raw-PriceList'!J55/'raw-PriceList'!J56)-1)-Table14[[#This Row],[RF]],"")</f>
        <v>-5.9268857960967598E-2</v>
      </c>
      <c r="Q56" s="6">
        <f>IFERROR((('raw-PriceList'!K55/'raw-PriceList'!K56)-1)-Table14[[#This Row],[RF]],"")</f>
        <v>-5.9850154641851512E-2</v>
      </c>
      <c r="R56" s="6">
        <f>IFERROR((('raw-PriceList'!L55/'raw-PriceList'!L56)-1)-Table14[[#This Row],[RF]],"")</f>
        <v>-5.8005143526179255E-2</v>
      </c>
      <c r="S56" s="6" t="str">
        <f>IFERROR((('raw-PriceList'!#REF!/'raw-PriceList'!#REF!)-1)-Table14[[#This Row],[RF]],"")</f>
        <v/>
      </c>
      <c r="T56" s="6">
        <f>IFERROR((('raw-PriceList'!M55/'raw-PriceList'!M56)-1)-Table14[[#This Row],[RF]],"")</f>
        <v>-9.5931801767152214E-2</v>
      </c>
      <c r="U56" s="6">
        <f>IFERROR((('raw-PriceList'!N55/'raw-PriceList'!N56)-1)-Table14[[#This Row],[RF]],"")</f>
        <v>-9.0623718418308186E-2</v>
      </c>
      <c r="V56" s="6">
        <f>IFERROR((('raw-PriceList'!O55/'raw-PriceList'!O56)-1)-Table14[[#This Row],[RF]],"")</f>
        <v>-9.7684344002082257E-2</v>
      </c>
      <c r="W56" s="6">
        <f>IFERROR((('raw-PriceList'!P55/'raw-PriceList'!P56)-1)-Table14[[#This Row],[RF]],"")</f>
        <v>-5.81859249933332E-2</v>
      </c>
      <c r="X56" s="6">
        <f>IFERROR((('raw-PriceList'!Q55/'raw-PriceList'!Q56)-1)-Table14[[#This Row],[RF]],"")</f>
        <v>-7.552128189952001E-2</v>
      </c>
      <c r="Y56" s="6" t="str">
        <f>IFERROR((('raw-PriceList'!#REF!/'raw-PriceList'!#REF!)-1)-Table14[[#This Row],[RF]],"")</f>
        <v/>
      </c>
      <c r="Z56" s="6">
        <f>IFERROR((('raw-PriceList'!R55/'raw-PriceList'!R56)-1)-Table14[[#This Row],[RF]],"")</f>
        <v>-4.6954171169387056E-2</v>
      </c>
      <c r="AA56" s="6" t="str">
        <f>IFERROR((('raw-PriceList'!#REF!/'raw-PriceList'!#REF!)-1)-Table14[[#This Row],[RF]],"")</f>
        <v/>
      </c>
      <c r="AB56" s="6" t="str">
        <f>IFERROR((('raw-PriceList'!#REF!/'raw-PriceList'!#REF!)-1)-Table14[[#This Row],[RF]],"")</f>
        <v/>
      </c>
      <c r="AC56" s="6">
        <f>IFERROR((('raw-PriceList'!S55/'raw-PriceList'!S56)-1)-Table14[[#This Row],[RF]],"")</f>
        <v>-8.8933343279379184E-2</v>
      </c>
      <c r="AD56" s="6">
        <f>IFERROR((('raw-PriceList'!T55/'raw-PriceList'!T56)-1)-Table14[[#This Row],[RF]],"")</f>
        <v>-9.6162101920742038E-2</v>
      </c>
      <c r="AE56" s="6" t="str">
        <f>IFERROR((('raw-PriceList'!#REF!/'raw-PriceList'!#REF!)-1)-Table14[[#This Row],[RF]],"")</f>
        <v/>
      </c>
      <c r="AF56" s="6">
        <f>IFERROR((('raw-PriceList'!U55/'raw-PriceList'!U56)-1)-Table14[[#This Row],[RF]],"")</f>
        <v>-5.0004288688680905E-2</v>
      </c>
      <c r="AG56" s="6">
        <f>IFERROR((('raw-PriceList'!V55/'raw-PriceList'!V56)-1)-Table14[[#This Row],[RF]],"")</f>
        <v>-8.6710006144047558E-2</v>
      </c>
      <c r="AH56" s="6">
        <f>IFERROR((('raw-PriceList'!W55/'raw-PriceList'!W56)-1)-Table14[[#This Row],[RF]],"")</f>
        <v>-6.4302558463408044E-2</v>
      </c>
      <c r="AI56" s="6">
        <f>IFERROR((('raw-PriceList'!X55/'raw-PriceList'!X56)-1)-Table14[[#This Row],[RF]],"")</f>
        <v>-4.3297044541623426E-2</v>
      </c>
      <c r="AJ56" s="6" t="str">
        <f>IFERROR((('raw-PriceList'!#REF!/'raw-PriceList'!#REF!)-1)-Table14[[#This Row],[RF]],"")</f>
        <v/>
      </c>
      <c r="AK56" s="6" t="str">
        <f>IFERROR((('raw-PriceList'!#REF!/'raw-PriceList'!#REF!)-1)-Table14[[#This Row],[RF]],"")</f>
        <v/>
      </c>
      <c r="AL56" s="6">
        <f>IFERROR((('raw-PriceList'!Y55/'raw-PriceList'!Y56)-1)-Table14[[#This Row],[RF]],"")</f>
        <v>-5.7383535392377734E-2</v>
      </c>
      <c r="AM56" s="6" t="str">
        <f>IFERROR((('raw-PriceList'!Z55/'raw-PriceList'!Z56)-1)-Table14[[#This Row],[RF]],"")</f>
        <v/>
      </c>
      <c r="AN56" s="6" t="str">
        <f>IFERROR((('raw-PriceList'!#REF!/'raw-PriceList'!#REF!)-1)-Table14[[#This Row],[RF]],"")</f>
        <v/>
      </c>
      <c r="AO56" s="6">
        <f>IFERROR((('raw-PriceList'!AA55/'raw-PriceList'!AA56)-1)-Table14[[#This Row],[RF]],"")</f>
        <v>-4.4421452951816771E-2</v>
      </c>
      <c r="AP56" s="6" t="str">
        <f>IFERROR((('raw-PriceList'!#REF!/'raw-PriceList'!#REF!)-1)-Table14[[#This Row],[RF]],"")</f>
        <v/>
      </c>
      <c r="AQ56" s="6">
        <f>IFERROR((('raw-PriceList'!AB55/'raw-PriceList'!AB56)-1)-Table14[[#This Row],[RF]],"")</f>
        <v>-0.11633260548091751</v>
      </c>
      <c r="AR56" s="6">
        <f>IFERROR((('raw-PriceList'!AC55/'raw-PriceList'!AC56)-1)-Table14[[#This Row],[RF]],"")</f>
        <v>-7.7050633495445608E-2</v>
      </c>
      <c r="AS56" s="6" t="str">
        <f>IFERROR((('raw-PriceList'!#REF!/'raw-PriceList'!#REF!)-1)-Table14[[#This Row],[RF]],"")</f>
        <v/>
      </c>
      <c r="AT56" s="6" t="str">
        <f>IFERROR((('raw-PriceList'!#REF!/'raw-PriceList'!#REF!)-1)-Table14[[#This Row],[RF]],"")</f>
        <v/>
      </c>
      <c r="AU56" s="6" t="str">
        <f>IFERROR((('raw-PriceList'!#REF!/'raw-PriceList'!#REF!)-1)-Table14[[#This Row],[RF]],"")</f>
        <v/>
      </c>
      <c r="AV56" s="6">
        <f>IFERROR((('raw-PriceList'!AD55/'raw-PriceList'!AD56)-1)-Table14[[#This Row],[RF]],"")</f>
        <v>-6.0953572984149169E-2</v>
      </c>
      <c r="AW56" s="6">
        <f>IFERROR((('raw-PriceList'!AE55/'raw-PriceList'!AE56)-1)-Table14[[#This Row],[RF]],"")</f>
        <v>-6.0953572984149169E-2</v>
      </c>
      <c r="AX56" s="6">
        <f>IFERROR((('raw-PriceList'!AF55/'raw-PriceList'!AF56)-1)-Table14[[#This Row],[RF]],"")</f>
        <v>-7.1938736568834538E-2</v>
      </c>
      <c r="AY56" s="6">
        <f>IFERROR((('raw-PriceList'!AG55/'raw-PriceList'!AG56)-1)-Table14[[#This Row],[RF]],"")</f>
        <v>-5.5052210670368813E-2</v>
      </c>
      <c r="AZ56" s="6">
        <f>IFERROR((('raw-PriceList'!AH55/'raw-PriceList'!AH56)-1)-Table14[[#This Row],[RF]],"")</f>
        <v>-9.398155061783986E-2</v>
      </c>
      <c r="BA56" s="6" t="str">
        <f>IFERROR((('raw-PriceList'!#REF!/'raw-PriceList'!#REF!)-1)-Table14[[#This Row],[RF]],"")</f>
        <v/>
      </c>
      <c r="BB56" s="6" t="str">
        <f>IFERROR((('raw-PriceList'!AI55/'raw-PriceList'!AI56)-1)-Table14[[#This Row],[RF]],"")</f>
        <v/>
      </c>
    </row>
    <row r="57" spans="1:54" x14ac:dyDescent="0.2">
      <c r="A57" s="5">
        <v>41790</v>
      </c>
      <c r="B57" s="9">
        <v>1</v>
      </c>
      <c r="C57" s="4">
        <v>-2.0400000000000001E-2</v>
      </c>
      <c r="D57" s="4">
        <v>-2.0400000000000001E-2</v>
      </c>
      <c r="E57" s="4">
        <v>-2.0400000000000001E-2</v>
      </c>
      <c r="F57" s="4">
        <v>-2.0400000000000001E-2</v>
      </c>
      <c r="G57" s="4">
        <v>-2.0400000000000001E-2</v>
      </c>
      <c r="H57" s="6">
        <f>IFERROR((('raw-PriceList'!B56/'raw-PriceList'!B57)-1)-Table14[[#This Row],[RF]],"")</f>
        <v>3.3011913098091733E-2</v>
      </c>
      <c r="I57" s="6">
        <f>IFERROR((('raw-PriceList'!C56/'raw-PriceList'!C57)-1)-Table14[[#This Row],[RF]],"")</f>
        <v>5.6648879663713708E-2</v>
      </c>
      <c r="J57" s="6">
        <f>IFERROR((('raw-PriceList'!D56/'raw-PriceList'!D57)-1)-Table14[[#This Row],[RF]],"")</f>
        <v>2.9678689189760493E-2</v>
      </c>
      <c r="K57" s="6" t="str">
        <f>IFERROR((('raw-PriceList'!E56/'raw-PriceList'!E57)-1)-Table14[[#This Row],[RF]],"")</f>
        <v/>
      </c>
      <c r="L57" s="6">
        <f>IFERROR((('raw-PriceList'!F27/'raw-PriceList'!F28)-1)-Table14[[#This Row],[RF]],"")</f>
        <v>1.0575051730127433E-2</v>
      </c>
      <c r="M57" s="6">
        <f>IFERROR((('raw-PriceList'!G56/'raw-PriceList'!G57)-1)-Table14[[#This Row],[RF]],"")</f>
        <v>2.2979053613466444E-2</v>
      </c>
      <c r="N57" s="6">
        <f>IFERROR((('raw-PriceList'!H56/'raw-PriceList'!H57)-1)-Table14[[#This Row],[RF]],"")</f>
        <v>9.0190959662735964E-2</v>
      </c>
      <c r="O57" s="6" t="str">
        <f>IFERROR((('raw-PriceList'!I56/'raw-PriceList'!I57)-1)-Table14[[#This Row],[RF]],"")</f>
        <v/>
      </c>
      <c r="P57" s="6">
        <f>IFERROR((('raw-PriceList'!J56/'raw-PriceList'!J57)-1)-Table14[[#This Row],[RF]],"")</f>
        <v>5.9337909917402093E-2</v>
      </c>
      <c r="Q57" s="6">
        <f>IFERROR((('raw-PriceList'!K56/'raw-PriceList'!K57)-1)-Table14[[#This Row],[RF]],"")</f>
        <v>6.4902398809303846E-2</v>
      </c>
      <c r="R57" s="6">
        <f>IFERROR((('raw-PriceList'!L56/'raw-PriceList'!L57)-1)-Table14[[#This Row],[RF]],"")</f>
        <v>5.422720323833044E-2</v>
      </c>
      <c r="S57" s="6" t="str">
        <f>IFERROR((('raw-PriceList'!#REF!/'raw-PriceList'!#REF!)-1)-Table14[[#This Row],[RF]],"")</f>
        <v/>
      </c>
      <c r="T57" s="6">
        <f>IFERROR((('raw-PriceList'!M56/'raw-PriceList'!M57)-1)-Table14[[#This Row],[RF]],"")</f>
        <v>7.1109148987950316E-2</v>
      </c>
      <c r="U57" s="6">
        <f>IFERROR((('raw-PriceList'!N56/'raw-PriceList'!N57)-1)-Table14[[#This Row],[RF]],"")</f>
        <v>6.7778960106672087E-2</v>
      </c>
      <c r="V57" s="6">
        <f>IFERROR((('raw-PriceList'!O56/'raw-PriceList'!O57)-1)-Table14[[#This Row],[RF]],"")</f>
        <v>7.1436719610588756E-2</v>
      </c>
      <c r="W57" s="6">
        <f>IFERROR((('raw-PriceList'!P56/'raw-PriceList'!P57)-1)-Table14[[#This Row],[RF]],"")</f>
        <v>3.2414905380515419E-2</v>
      </c>
      <c r="X57" s="6">
        <f>IFERROR((('raw-PriceList'!Q56/'raw-PriceList'!Q57)-1)-Table14[[#This Row],[RF]],"")</f>
        <v>4.9200150584955554E-2</v>
      </c>
      <c r="Y57" s="6" t="str">
        <f>IFERROR((('raw-PriceList'!#REF!/'raw-PriceList'!#REF!)-1)-Table14[[#This Row],[RF]],"")</f>
        <v/>
      </c>
      <c r="Z57" s="6">
        <f>IFERROR((('raw-PriceList'!R56/'raw-PriceList'!R57)-1)-Table14[[#This Row],[RF]],"")</f>
        <v>2.1880030878701079E-2</v>
      </c>
      <c r="AA57" s="6" t="str">
        <f>IFERROR((('raw-PriceList'!#REF!/'raw-PriceList'!#REF!)-1)-Table14[[#This Row],[RF]],"")</f>
        <v/>
      </c>
      <c r="AB57" s="6" t="str">
        <f>IFERROR((('raw-PriceList'!#REF!/'raw-PriceList'!#REF!)-1)-Table14[[#This Row],[RF]],"")</f>
        <v/>
      </c>
      <c r="AC57" s="6">
        <f>IFERROR((('raw-PriceList'!S56/'raw-PriceList'!S57)-1)-Table14[[#This Row],[RF]],"")</f>
        <v>2.3093386808248823E-2</v>
      </c>
      <c r="AD57" s="6">
        <f>IFERROR((('raw-PriceList'!T56/'raw-PriceList'!T57)-1)-Table14[[#This Row],[RF]],"")</f>
        <v>3.0438810575047076E-2</v>
      </c>
      <c r="AE57" s="6" t="str">
        <f>IFERROR((('raw-PriceList'!#REF!/'raw-PriceList'!#REF!)-1)-Table14[[#This Row],[RF]],"")</f>
        <v/>
      </c>
      <c r="AF57" s="6">
        <f>IFERROR((('raw-PriceList'!U56/'raw-PriceList'!U57)-1)-Table14[[#This Row],[RF]],"")</f>
        <v>3.0434663227701969E-2</v>
      </c>
      <c r="AG57" s="6">
        <f>IFERROR((('raw-PriceList'!V56/'raw-PriceList'!V57)-1)-Table14[[#This Row],[RF]],"")</f>
        <v>2.7695371090791038E-2</v>
      </c>
      <c r="AH57" s="6">
        <f>IFERROR((('raw-PriceList'!W56/'raw-PriceList'!W57)-1)-Table14[[#This Row],[RF]],"")</f>
        <v>6.0765468569115272E-2</v>
      </c>
      <c r="AI57" s="6">
        <f>IFERROR((('raw-PriceList'!X56/'raw-PriceList'!X57)-1)-Table14[[#This Row],[RF]],"")</f>
        <v>2.1469889194152075E-2</v>
      </c>
      <c r="AJ57" s="6" t="str">
        <f>IFERROR((('raw-PriceList'!#REF!/'raw-PriceList'!#REF!)-1)-Table14[[#This Row],[RF]],"")</f>
        <v/>
      </c>
      <c r="AK57" s="6" t="str">
        <f>IFERROR((('raw-PriceList'!#REF!/'raw-PriceList'!#REF!)-1)-Table14[[#This Row],[RF]],"")</f>
        <v/>
      </c>
      <c r="AL57" s="6">
        <f>IFERROR((('raw-PriceList'!Y56/'raw-PriceList'!Y57)-1)-Table14[[#This Row],[RF]],"")</f>
        <v>5.6871433943008115E-2</v>
      </c>
      <c r="AM57" s="6" t="str">
        <f>IFERROR((('raw-PriceList'!Z56/'raw-PriceList'!Z57)-1)-Table14[[#This Row],[RF]],"")</f>
        <v/>
      </c>
      <c r="AN57" s="6" t="str">
        <f>IFERROR((('raw-PriceList'!#REF!/'raw-PriceList'!#REF!)-1)-Table14[[#This Row],[RF]],"")</f>
        <v/>
      </c>
      <c r="AO57" s="6">
        <f>IFERROR((('raw-PriceList'!AA56/'raw-PriceList'!AA57)-1)-Table14[[#This Row],[RF]],"")</f>
        <v>2.6270065396916148E-2</v>
      </c>
      <c r="AP57" s="6" t="str">
        <f>IFERROR((('raw-PriceList'!#REF!/'raw-PriceList'!#REF!)-1)-Table14[[#This Row],[RF]],"")</f>
        <v/>
      </c>
      <c r="AQ57" s="6">
        <f>IFERROR((('raw-PriceList'!AB56/'raw-PriceList'!AB57)-1)-Table14[[#This Row],[RF]],"")</f>
        <v>2.2970428899293821E-2</v>
      </c>
      <c r="AR57" s="6">
        <f>IFERROR((('raw-PriceList'!AC56/'raw-PriceList'!AC57)-1)-Table14[[#This Row],[RF]],"")</f>
        <v>5.8988307425897918E-2</v>
      </c>
      <c r="AS57" s="6" t="str">
        <f>IFERROR((('raw-PriceList'!#REF!/'raw-PriceList'!#REF!)-1)-Table14[[#This Row],[RF]],"")</f>
        <v/>
      </c>
      <c r="AT57" s="6" t="str">
        <f>IFERROR((('raw-PriceList'!#REF!/'raw-PriceList'!#REF!)-1)-Table14[[#This Row],[RF]],"")</f>
        <v/>
      </c>
      <c r="AU57" s="6" t="str">
        <f>IFERROR((('raw-PriceList'!#REF!/'raw-PriceList'!#REF!)-1)-Table14[[#This Row],[RF]],"")</f>
        <v/>
      </c>
      <c r="AV57" s="6">
        <f>IFERROR((('raw-PriceList'!AD56/'raw-PriceList'!AD57)-1)-Table14[[#This Row],[RF]],"")</f>
        <v>6.0409999094587913E-2</v>
      </c>
      <c r="AW57" s="6">
        <f>IFERROR((('raw-PriceList'!AE56/'raw-PriceList'!AE57)-1)-Table14[[#This Row],[RF]],"")</f>
        <v>6.0409999094587913E-2</v>
      </c>
      <c r="AX57" s="6">
        <f>IFERROR((('raw-PriceList'!AF56/'raw-PriceList'!AF57)-1)-Table14[[#This Row],[RF]],"")</f>
        <v>7.6396159681875214E-2</v>
      </c>
      <c r="AY57" s="6">
        <f>IFERROR((('raw-PriceList'!AG56/'raw-PriceList'!AG57)-1)-Table14[[#This Row],[RF]],"")</f>
        <v>1.39832352778895E-2</v>
      </c>
      <c r="AZ57" s="6">
        <f>IFERROR((('raw-PriceList'!AH56/'raw-PriceList'!AH57)-1)-Table14[[#This Row],[RF]],"")</f>
        <v>1.5948390239957005E-2</v>
      </c>
      <c r="BA57" s="6" t="str">
        <f>IFERROR((('raw-PriceList'!#REF!/'raw-PriceList'!#REF!)-1)-Table14[[#This Row],[RF]],"")</f>
        <v/>
      </c>
      <c r="BB57" s="6" t="str">
        <f>IFERROR((('raw-PriceList'!AI56/'raw-PriceList'!AI57)-1)-Table14[[#This Row],[RF]],"")</f>
        <v/>
      </c>
    </row>
    <row r="58" spans="1:54" x14ac:dyDescent="0.2">
      <c r="A58" s="5">
        <v>41759</v>
      </c>
      <c r="B58" s="9">
        <v>1</v>
      </c>
      <c r="C58" s="4">
        <v>2.6099999999999998E-2</v>
      </c>
      <c r="D58" s="4">
        <v>2.6099999999999998E-2</v>
      </c>
      <c r="E58" s="4">
        <v>2.6099999999999998E-2</v>
      </c>
      <c r="F58" s="4">
        <v>2.6099999999999998E-2</v>
      </c>
      <c r="G58" s="4">
        <v>2.6099999999999998E-2</v>
      </c>
      <c r="H58" s="6">
        <f>IFERROR((('raw-PriceList'!B57/'raw-PriceList'!B58)-1)-Table14[[#This Row],[RF]],"")</f>
        <v>-3.1580535103124849E-2</v>
      </c>
      <c r="I58" s="6">
        <f>IFERROR((('raw-PriceList'!C57/'raw-PriceList'!C58)-1)-Table14[[#This Row],[RF]],"")</f>
        <v>-2.9657304733984299E-2</v>
      </c>
      <c r="J58" s="6">
        <f>IFERROR((('raw-PriceList'!D57/'raw-PriceList'!D58)-1)-Table14[[#This Row],[RF]],"")</f>
        <v>-3.0866898064328727E-2</v>
      </c>
      <c r="K58" s="6" t="str">
        <f>IFERROR((('raw-PriceList'!E57/'raw-PriceList'!E58)-1)-Table14[[#This Row],[RF]],"")</f>
        <v/>
      </c>
      <c r="L58" s="6">
        <f>IFERROR((('raw-PriceList'!F28/'raw-PriceList'!F29)-1)-Table14[[#This Row],[RF]],"")</f>
        <v>-3.0452751292759025E-2</v>
      </c>
      <c r="M58" s="6">
        <f>IFERROR((('raw-PriceList'!G57/'raw-PriceList'!G58)-1)-Table14[[#This Row],[RF]],"")</f>
        <v>-2.9500243287046132E-2</v>
      </c>
      <c r="N58" s="6">
        <f>IFERROR((('raw-PriceList'!H57/'raw-PriceList'!H58)-1)-Table14[[#This Row],[RF]],"")</f>
        <v>-1.121427034882537E-2</v>
      </c>
      <c r="O58" s="6" t="str">
        <f>IFERROR((('raw-PriceList'!I57/'raw-PriceList'!I58)-1)-Table14[[#This Row],[RF]],"")</f>
        <v/>
      </c>
      <c r="P58" s="6">
        <f>IFERROR((('raw-PriceList'!J57/'raw-PriceList'!J58)-1)-Table14[[#This Row],[RF]],"")</f>
        <v>-3.8121786575044045E-2</v>
      </c>
      <c r="Q58" s="6">
        <f>IFERROR((('raw-PriceList'!K57/'raw-PriceList'!K58)-1)-Table14[[#This Row],[RF]],"")</f>
        <v>-3.9026269417796952E-2</v>
      </c>
      <c r="R58" s="6">
        <f>IFERROR((('raw-PriceList'!L57/'raw-PriceList'!L58)-1)-Table14[[#This Row],[RF]],"")</f>
        <v>-3.6930181200793152E-2</v>
      </c>
      <c r="S58" s="6" t="str">
        <f>IFERROR((('raw-PriceList'!#REF!/'raw-PriceList'!#REF!)-1)-Table14[[#This Row],[RF]],"")</f>
        <v/>
      </c>
      <c r="T58" s="6">
        <f>IFERROR((('raw-PriceList'!M57/'raw-PriceList'!M58)-1)-Table14[[#This Row],[RF]],"")</f>
        <v>-7.620616269694834E-2</v>
      </c>
      <c r="U58" s="6">
        <f>IFERROR((('raw-PriceList'!N57/'raw-PriceList'!N58)-1)-Table14[[#This Row],[RF]],"")</f>
        <v>-7.8493161406877662E-2</v>
      </c>
      <c r="V58" s="6">
        <f>IFERROR((('raw-PriceList'!O57/'raw-PriceList'!O58)-1)-Table14[[#This Row],[RF]],"")</f>
        <v>-7.3890288544548141E-2</v>
      </c>
      <c r="W58" s="6">
        <f>IFERROR((('raw-PriceList'!P57/'raw-PriceList'!P58)-1)-Table14[[#This Row],[RF]],"")</f>
        <v>-3.1285947124156541E-2</v>
      </c>
      <c r="X58" s="6">
        <f>IFERROR((('raw-PriceList'!Q57/'raw-PriceList'!Q58)-1)-Table14[[#This Row],[RF]],"")</f>
        <v>-2.8915076426233463E-2</v>
      </c>
      <c r="Y58" s="6" t="str">
        <f>IFERROR((('raw-PriceList'!#REF!/'raw-PriceList'!#REF!)-1)-Table14[[#This Row],[RF]],"")</f>
        <v/>
      </c>
      <c r="Z58" s="6">
        <f>IFERROR((('raw-PriceList'!R57/'raw-PriceList'!R58)-1)-Table14[[#This Row],[RF]],"")</f>
        <v>-2.921160764777618E-2</v>
      </c>
      <c r="AA58" s="6" t="str">
        <f>IFERROR((('raw-PriceList'!#REF!/'raw-PriceList'!#REF!)-1)-Table14[[#This Row],[RF]],"")</f>
        <v/>
      </c>
      <c r="AB58" s="6" t="str">
        <f>IFERROR((('raw-PriceList'!#REF!/'raw-PriceList'!#REF!)-1)-Table14[[#This Row],[RF]],"")</f>
        <v/>
      </c>
      <c r="AC58" s="6">
        <f>IFERROR((('raw-PriceList'!S57/'raw-PriceList'!S58)-1)-Table14[[#This Row],[RF]],"")</f>
        <v>-4.9793838108738261E-2</v>
      </c>
      <c r="AD58" s="6">
        <f>IFERROR((('raw-PriceList'!T57/'raw-PriceList'!T58)-1)-Table14[[#This Row],[RF]],"")</f>
        <v>-4.0795035135478872E-2</v>
      </c>
      <c r="AE58" s="6" t="str">
        <f>IFERROR((('raw-PriceList'!#REF!/'raw-PriceList'!#REF!)-1)-Table14[[#This Row],[RF]],"")</f>
        <v/>
      </c>
      <c r="AF58" s="6">
        <f>IFERROR((('raw-PriceList'!U57/'raw-PriceList'!U58)-1)-Table14[[#This Row],[RF]],"")</f>
        <v>-3.2366250572837138E-2</v>
      </c>
      <c r="AG58" s="6">
        <f>IFERROR((('raw-PriceList'!V57/'raw-PriceList'!V58)-1)-Table14[[#This Row],[RF]],"")</f>
        <v>-6.9292350747108919E-2</v>
      </c>
      <c r="AH58" s="6">
        <f>IFERROR((('raw-PriceList'!W57/'raw-PriceList'!W58)-1)-Table14[[#This Row],[RF]],"")</f>
        <v>-2.3668255386747092E-2</v>
      </c>
      <c r="AI58" s="6">
        <f>IFERROR((('raw-PriceList'!X57/'raw-PriceList'!X58)-1)-Table14[[#This Row],[RF]],"")</f>
        <v>-2.6513698762317003E-2</v>
      </c>
      <c r="AJ58" s="6" t="str">
        <f>IFERROR((('raw-PriceList'!#REF!/'raw-PriceList'!#REF!)-1)-Table14[[#This Row],[RF]],"")</f>
        <v/>
      </c>
      <c r="AK58" s="6" t="str">
        <f>IFERROR((('raw-PriceList'!#REF!/'raw-PriceList'!#REF!)-1)-Table14[[#This Row],[RF]],"")</f>
        <v/>
      </c>
      <c r="AL58" s="6">
        <f>IFERROR((('raw-PriceList'!Y57/'raw-PriceList'!Y58)-1)-Table14[[#This Row],[RF]],"")</f>
        <v>-5.9194077093107186E-2</v>
      </c>
      <c r="AM58" s="6" t="str">
        <f>IFERROR((('raw-PriceList'!Z57/'raw-PriceList'!Z58)-1)-Table14[[#This Row],[RF]],"")</f>
        <v/>
      </c>
      <c r="AN58" s="6" t="str">
        <f>IFERROR((('raw-PriceList'!#REF!/'raw-PriceList'!#REF!)-1)-Table14[[#This Row],[RF]],"")</f>
        <v/>
      </c>
      <c r="AO58" s="6">
        <f>IFERROR((('raw-PriceList'!AA57/'raw-PriceList'!AA58)-1)-Table14[[#This Row],[RF]],"")</f>
        <v>-3.0830960473343091E-2</v>
      </c>
      <c r="AP58" s="6" t="str">
        <f>IFERROR((('raw-PriceList'!#REF!/'raw-PriceList'!#REF!)-1)-Table14[[#This Row],[RF]],"")</f>
        <v/>
      </c>
      <c r="AQ58" s="6">
        <f>IFERROR((('raw-PriceList'!AB57/'raw-PriceList'!AB58)-1)-Table14[[#This Row],[RF]],"")</f>
        <v>-1.5816774172987977E-2</v>
      </c>
      <c r="AR58" s="6">
        <f>IFERROR((('raw-PriceList'!AC57/'raw-PriceList'!AC58)-1)-Table14[[#This Row],[RF]],"")</f>
        <v>-5.2070034540139018E-2</v>
      </c>
      <c r="AS58" s="6" t="str">
        <f>IFERROR((('raw-PriceList'!#REF!/'raw-PriceList'!#REF!)-1)-Table14[[#This Row],[RF]],"")</f>
        <v/>
      </c>
      <c r="AT58" s="6" t="str">
        <f>IFERROR((('raw-PriceList'!#REF!/'raw-PriceList'!#REF!)-1)-Table14[[#This Row],[RF]],"")</f>
        <v/>
      </c>
      <c r="AU58" s="6" t="str">
        <f>IFERROR((('raw-PriceList'!#REF!/'raw-PriceList'!#REF!)-1)-Table14[[#This Row],[RF]],"")</f>
        <v/>
      </c>
      <c r="AV58" s="6">
        <f>IFERROR((('raw-PriceList'!AD57/'raw-PriceList'!AD58)-1)-Table14[[#This Row],[RF]],"")</f>
        <v>-3.9967583079651411E-2</v>
      </c>
      <c r="AW58" s="6">
        <f>IFERROR((('raw-PriceList'!AE57/'raw-PriceList'!AE58)-1)-Table14[[#This Row],[RF]],"")</f>
        <v>-3.9967583079651411E-2</v>
      </c>
      <c r="AX58" s="6">
        <f>IFERROR((('raw-PriceList'!AF57/'raw-PriceList'!AF58)-1)-Table14[[#This Row],[RF]],"")</f>
        <v>-5.1199974660011457E-2</v>
      </c>
      <c r="AY58" s="6">
        <f>IFERROR((('raw-PriceList'!AG57/'raw-PriceList'!AG58)-1)-Table14[[#This Row],[RF]],"")</f>
        <v>-1.4417572401549381E-2</v>
      </c>
      <c r="AZ58" s="6">
        <f>IFERROR((('raw-PriceList'!AH57/'raw-PriceList'!AH58)-1)-Table14[[#This Row],[RF]],"")</f>
        <v>-1.6951769684006898E-2</v>
      </c>
      <c r="BA58" s="6" t="str">
        <f>IFERROR((('raw-PriceList'!#REF!/'raw-PriceList'!#REF!)-1)-Table14[[#This Row],[RF]],"")</f>
        <v/>
      </c>
      <c r="BB58" s="6" t="str">
        <f>IFERROR((('raw-PriceList'!AI57/'raw-PriceList'!AI58)-1)-Table14[[#This Row],[RF]],"")</f>
        <v/>
      </c>
    </row>
    <row r="59" spans="1:54" x14ac:dyDescent="0.2">
      <c r="A59" s="5">
        <v>41729</v>
      </c>
      <c r="B59" s="9">
        <v>1</v>
      </c>
      <c r="C59" s="4">
        <v>2.06E-2</v>
      </c>
      <c r="D59" s="4">
        <v>2.06E-2</v>
      </c>
      <c r="E59" s="4">
        <v>2.06E-2</v>
      </c>
      <c r="F59" s="4">
        <v>2.06E-2</v>
      </c>
      <c r="G59" s="4">
        <v>2.06E-2</v>
      </c>
      <c r="H59" s="6">
        <f>IFERROR((('raw-PriceList'!B58/'raw-PriceList'!B59)-1)-Table14[[#This Row],[RF]],"")</f>
        <v>-2.3174106096699058E-2</v>
      </c>
      <c r="I59" s="6">
        <f>IFERROR((('raw-PriceList'!C58/'raw-PriceList'!C59)-1)-Table14[[#This Row],[RF]],"")</f>
        <v>-2.19297296168302E-2</v>
      </c>
      <c r="J59" s="6">
        <f>IFERROR((('raw-PriceList'!D58/'raw-PriceList'!D59)-1)-Table14[[#This Row],[RF]],"")</f>
        <v>-2.2000822201131025E-2</v>
      </c>
      <c r="K59" s="6" t="str">
        <f>IFERROR((('raw-PriceList'!E58/'raw-PriceList'!E59)-1)-Table14[[#This Row],[RF]],"")</f>
        <v/>
      </c>
      <c r="L59" s="6">
        <f>IFERROR((('raw-PriceList'!F29/'raw-PriceList'!F30)-1)-Table14[[#This Row],[RF]],"")</f>
        <v>-3.4192587426983216E-2</v>
      </c>
      <c r="M59" s="6">
        <f>IFERROR((('raw-PriceList'!G58/'raw-PriceList'!G59)-1)-Table14[[#This Row],[RF]],"")</f>
        <v>-2.1966169462688194E-2</v>
      </c>
      <c r="N59" s="6">
        <f>IFERROR((('raw-PriceList'!H58/'raw-PriceList'!H59)-1)-Table14[[#This Row],[RF]],"")</f>
        <v>-3.167245155171055E-2</v>
      </c>
      <c r="O59" s="6" t="str">
        <f>IFERROR((('raw-PriceList'!I58/'raw-PriceList'!I59)-1)-Table14[[#This Row],[RF]],"")</f>
        <v/>
      </c>
      <c r="P59" s="6">
        <f>IFERROR((('raw-PriceList'!J58/'raw-PriceList'!J59)-1)-Table14[[#This Row],[RF]],"")</f>
        <v>-5.6061327106762746E-3</v>
      </c>
      <c r="Q59" s="6">
        <f>IFERROR((('raw-PriceList'!K58/'raw-PriceList'!K59)-1)-Table14[[#This Row],[RF]],"")</f>
        <v>-2.4274017569890158E-3</v>
      </c>
      <c r="R59" s="6">
        <f>IFERROR((('raw-PriceList'!L58/'raw-PriceList'!L59)-1)-Table14[[#This Row],[RF]],"")</f>
        <v>-8.2689095884472194E-3</v>
      </c>
      <c r="S59" s="6" t="str">
        <f>IFERROR((('raw-PriceList'!#REF!/'raw-PriceList'!#REF!)-1)-Table14[[#This Row],[RF]],"")</f>
        <v/>
      </c>
      <c r="T59" s="6">
        <f>IFERROR((('raw-PriceList'!M58/'raw-PriceList'!M59)-1)-Table14[[#This Row],[RF]],"")</f>
        <v>2.8988414696998706E-2</v>
      </c>
      <c r="U59" s="6">
        <f>IFERROR((('raw-PriceList'!N58/'raw-PriceList'!N59)-1)-Table14[[#This Row],[RF]],"")</f>
        <v>3.7633843345770975E-2</v>
      </c>
      <c r="V59" s="6">
        <f>IFERROR((('raw-PriceList'!O58/'raw-PriceList'!O59)-1)-Table14[[#This Row],[RF]],"")</f>
        <v>2.2513449873969589E-2</v>
      </c>
      <c r="W59" s="6">
        <f>IFERROR((('raw-PriceList'!P58/'raw-PriceList'!P59)-1)-Table14[[#This Row],[RF]],"")</f>
        <v>-2.1731652874394762E-2</v>
      </c>
      <c r="X59" s="6">
        <f>IFERROR((('raw-PriceList'!Q58/'raw-PriceList'!Q59)-1)-Table14[[#This Row],[RF]],"")</f>
        <v>-2.3438134307052043E-2</v>
      </c>
      <c r="Y59" s="6" t="str">
        <f>IFERROR((('raw-PriceList'!#REF!/'raw-PriceList'!#REF!)-1)-Table14[[#This Row],[RF]],"")</f>
        <v/>
      </c>
      <c r="Z59" s="6">
        <f>IFERROR((('raw-PriceList'!R58/'raw-PriceList'!R59)-1)-Table14[[#This Row],[RF]],"")</f>
        <v>-2.2101908538255048E-2</v>
      </c>
      <c r="AA59" s="6" t="str">
        <f>IFERROR((('raw-PriceList'!#REF!/'raw-PriceList'!#REF!)-1)-Table14[[#This Row],[RF]],"")</f>
        <v/>
      </c>
      <c r="AB59" s="6" t="str">
        <f>IFERROR((('raw-PriceList'!#REF!/'raw-PriceList'!#REF!)-1)-Table14[[#This Row],[RF]],"")</f>
        <v/>
      </c>
      <c r="AC59" s="6">
        <f>IFERROR((('raw-PriceList'!S58/'raw-PriceList'!S59)-1)-Table14[[#This Row],[RF]],"")</f>
        <v>-2.2268546262074244E-2</v>
      </c>
      <c r="AD59" s="6">
        <f>IFERROR((('raw-PriceList'!T58/'raw-PriceList'!T59)-1)-Table14[[#This Row],[RF]],"")</f>
        <v>-1.5618571527962248E-2</v>
      </c>
      <c r="AE59" s="6" t="str">
        <f>IFERROR((('raw-PriceList'!#REF!/'raw-PriceList'!#REF!)-1)-Table14[[#This Row],[RF]],"")</f>
        <v/>
      </c>
      <c r="AF59" s="6">
        <f>IFERROR((('raw-PriceList'!U58/'raw-PriceList'!U59)-1)-Table14[[#This Row],[RF]],"")</f>
        <v>-2.3218062543332522E-2</v>
      </c>
      <c r="AG59" s="6">
        <f>IFERROR((('raw-PriceList'!V58/'raw-PriceList'!V59)-1)-Table14[[#This Row],[RF]],"")</f>
        <v>-3.7509204385980204E-2</v>
      </c>
      <c r="AH59" s="6">
        <f>IFERROR((('raw-PriceList'!W58/'raw-PriceList'!W59)-1)-Table14[[#This Row],[RF]],"")</f>
        <v>-2.431887172223695E-2</v>
      </c>
      <c r="AI59" s="6">
        <f>IFERROR((('raw-PriceList'!X58/'raw-PriceList'!X59)-1)-Table14[[#This Row],[RF]],"")</f>
        <v>-2.1566604598060639E-2</v>
      </c>
      <c r="AJ59" s="6" t="str">
        <f>IFERROR((('raw-PriceList'!#REF!/'raw-PriceList'!#REF!)-1)-Table14[[#This Row],[RF]],"")</f>
        <v/>
      </c>
      <c r="AK59" s="6" t="str">
        <f>IFERROR((('raw-PriceList'!#REF!/'raw-PriceList'!#REF!)-1)-Table14[[#This Row],[RF]],"")</f>
        <v/>
      </c>
      <c r="AL59" s="6">
        <f>IFERROR((('raw-PriceList'!Y58/'raw-PriceList'!Y59)-1)-Table14[[#This Row],[RF]],"")</f>
        <v>-1.1020574879481652E-2</v>
      </c>
      <c r="AM59" s="6" t="str">
        <f>IFERROR((('raw-PriceList'!Z58/'raw-PriceList'!Z59)-1)-Table14[[#This Row],[RF]],"")</f>
        <v/>
      </c>
      <c r="AN59" s="6" t="str">
        <f>IFERROR((('raw-PriceList'!#REF!/'raw-PriceList'!#REF!)-1)-Table14[[#This Row],[RF]],"")</f>
        <v/>
      </c>
      <c r="AO59" s="6">
        <f>IFERROR((('raw-PriceList'!AA58/'raw-PriceList'!AA59)-1)-Table14[[#This Row],[RF]],"")</f>
        <v>-1.9227575270702783E-2</v>
      </c>
      <c r="AP59" s="6" t="str">
        <f>IFERROR((('raw-PriceList'!#REF!/'raw-PriceList'!#REF!)-1)-Table14[[#This Row],[RF]],"")</f>
        <v/>
      </c>
      <c r="AQ59" s="6">
        <f>IFERROR((('raw-PriceList'!AB58/'raw-PriceList'!AB59)-1)-Table14[[#This Row],[RF]],"")</f>
        <v>-1.7435195310130651E-2</v>
      </c>
      <c r="AR59" s="6">
        <f>IFERROR((('raw-PriceList'!AC58/'raw-PriceList'!AC59)-1)-Table14[[#This Row],[RF]],"")</f>
        <v>7.1964368071283993E-3</v>
      </c>
      <c r="AS59" s="6" t="str">
        <f>IFERROR((('raw-PriceList'!#REF!/'raw-PriceList'!#REF!)-1)-Table14[[#This Row],[RF]],"")</f>
        <v/>
      </c>
      <c r="AT59" s="6" t="str">
        <f>IFERROR((('raw-PriceList'!#REF!/'raw-PriceList'!#REF!)-1)-Table14[[#This Row],[RF]],"")</f>
        <v/>
      </c>
      <c r="AU59" s="6" t="str">
        <f>IFERROR((('raw-PriceList'!#REF!/'raw-PriceList'!#REF!)-1)-Table14[[#This Row],[RF]],"")</f>
        <v/>
      </c>
      <c r="AV59" s="6">
        <f>IFERROR((('raw-PriceList'!AD58/'raw-PriceList'!AD59)-1)-Table14[[#This Row],[RF]],"")</f>
        <v>-4.3809757739779395E-3</v>
      </c>
      <c r="AW59" s="6">
        <f>IFERROR((('raw-PriceList'!AE58/'raw-PriceList'!AE59)-1)-Table14[[#This Row],[RF]],"")</f>
        <v>-4.3809757739779395E-3</v>
      </c>
      <c r="AX59" s="6">
        <f>IFERROR((('raw-PriceList'!AF58/'raw-PriceList'!AF59)-1)-Table14[[#This Row],[RF]],"")</f>
        <v>1.2965390913042669E-2</v>
      </c>
      <c r="AY59" s="6">
        <f>IFERROR((('raw-PriceList'!AG58/'raw-PriceList'!AG59)-1)-Table14[[#This Row],[RF]],"")</f>
        <v>-1.7497219483062314E-2</v>
      </c>
      <c r="AZ59" s="6">
        <f>IFERROR((('raw-PriceList'!AH58/'raw-PriceList'!AH59)-1)-Table14[[#This Row],[RF]],"")</f>
        <v>6.9212504130983926E-4</v>
      </c>
      <c r="BA59" s="6" t="str">
        <f>IFERROR((('raw-PriceList'!#REF!/'raw-PriceList'!#REF!)-1)-Table14[[#This Row],[RF]],"")</f>
        <v/>
      </c>
      <c r="BB59" s="6" t="str">
        <f>IFERROR((('raw-PriceList'!AI58/'raw-PriceList'!AI59)-1)-Table14[[#This Row],[RF]],"")</f>
        <v/>
      </c>
    </row>
    <row r="60" spans="1:54" x14ac:dyDescent="0.2">
      <c r="A60" s="5">
        <v>41698</v>
      </c>
      <c r="B60" s="9">
        <v>1</v>
      </c>
      <c r="C60" s="4">
        <v>-1.9E-3</v>
      </c>
      <c r="D60" s="4">
        <v>-1.9E-3</v>
      </c>
      <c r="E60" s="4">
        <v>-1.9E-3</v>
      </c>
      <c r="F60" s="4">
        <v>-1.9E-3</v>
      </c>
      <c r="G60" s="4">
        <v>-1.9E-3</v>
      </c>
      <c r="H60" s="6">
        <f>IFERROR((('raw-PriceList'!B59/'raw-PriceList'!B60)-1)-Table14[[#This Row],[RF]],"")</f>
        <v>1.3752750100427301E-2</v>
      </c>
      <c r="I60" s="6">
        <f>IFERROR((('raw-PriceList'!C59/'raw-PriceList'!C60)-1)-Table14[[#This Row],[RF]],"")</f>
        <v>1.9216725780759156E-2</v>
      </c>
      <c r="J60" s="6">
        <f>IFERROR((('raw-PriceList'!D59/'raw-PriceList'!D60)-1)-Table14[[#This Row],[RF]],"")</f>
        <v>1.0246855694352007E-2</v>
      </c>
      <c r="K60" s="6" t="str">
        <f>IFERROR((('raw-PriceList'!E59/'raw-PriceList'!E60)-1)-Table14[[#This Row],[RF]],"")</f>
        <v/>
      </c>
      <c r="L60" s="6">
        <f>IFERROR((('raw-PriceList'!F30/'raw-PriceList'!F31)-1)-Table14[[#This Row],[RF]],"")</f>
        <v>-1.1679664228874688E-2</v>
      </c>
      <c r="M60" s="6">
        <f>IFERROR((('raw-PriceList'!G59/'raw-PriceList'!G60)-1)-Table14[[#This Row],[RF]],"")</f>
        <v>5.0787002642267301E-3</v>
      </c>
      <c r="N60" s="6">
        <f>IFERROR((('raw-PriceList'!H59/'raw-PriceList'!H60)-1)-Table14[[#This Row],[RF]],"")</f>
        <v>4.3022134349120819E-2</v>
      </c>
      <c r="O60" s="6" t="str">
        <f>IFERROR((('raw-PriceList'!I59/'raw-PriceList'!I60)-1)-Table14[[#This Row],[RF]],"")</f>
        <v/>
      </c>
      <c r="P60" s="6">
        <f>IFERROR((('raw-PriceList'!J59/'raw-PriceList'!J60)-1)-Table14[[#This Row],[RF]],"")</f>
        <v>2.6150091748163171E-2</v>
      </c>
      <c r="Q60" s="6">
        <f>IFERROR((('raw-PriceList'!K59/'raw-PriceList'!K60)-1)-Table14[[#This Row],[RF]],"")</f>
        <v>3.7736576431344857E-2</v>
      </c>
      <c r="R60" s="6">
        <f>IFERROR((('raw-PriceList'!L59/'raw-PriceList'!L60)-1)-Table14[[#This Row],[RF]],"")</f>
        <v>1.7223122386220244E-2</v>
      </c>
      <c r="S60" s="6" t="str">
        <f>IFERROR((('raw-PriceList'!#REF!/'raw-PriceList'!#REF!)-1)-Table14[[#This Row],[RF]],"")</f>
        <v/>
      </c>
      <c r="T60" s="6">
        <f>IFERROR((('raw-PriceList'!M59/'raw-PriceList'!M60)-1)-Table14[[#This Row],[RF]],"")</f>
        <v>1.4254101050136679E-2</v>
      </c>
      <c r="U60" s="6">
        <f>IFERROR((('raw-PriceList'!N59/'raw-PriceList'!N60)-1)-Table14[[#This Row],[RF]],"")</f>
        <v>8.6579626538618604E-3</v>
      </c>
      <c r="V60" s="6">
        <f>IFERROR((('raw-PriceList'!O59/'raw-PriceList'!O60)-1)-Table14[[#This Row],[RF]],"")</f>
        <v>1.8285318399337433E-2</v>
      </c>
      <c r="W60" s="6">
        <f>IFERROR((('raw-PriceList'!P59/'raw-PriceList'!P60)-1)-Table14[[#This Row],[RF]],"")</f>
        <v>1.3488209428222474E-2</v>
      </c>
      <c r="X60" s="6">
        <f>IFERROR((('raw-PriceList'!Q59/'raw-PriceList'!Q60)-1)-Table14[[#This Row],[RF]],"")</f>
        <v>1.6902429659043636E-2</v>
      </c>
      <c r="Y60" s="6" t="str">
        <f>IFERROR((('raw-PriceList'!#REF!/'raw-PriceList'!#REF!)-1)-Table14[[#This Row],[RF]],"")</f>
        <v/>
      </c>
      <c r="Z60" s="6">
        <f>IFERROR((('raw-PriceList'!R59/'raw-PriceList'!R60)-1)-Table14[[#This Row],[RF]],"")</f>
        <v>5.6667322160794823E-3</v>
      </c>
      <c r="AA60" s="6" t="str">
        <f>IFERROR((('raw-PriceList'!#REF!/'raw-PriceList'!#REF!)-1)-Table14[[#This Row],[RF]],"")</f>
        <v/>
      </c>
      <c r="AB60" s="6" t="str">
        <f>IFERROR((('raw-PriceList'!#REF!/'raw-PriceList'!#REF!)-1)-Table14[[#This Row],[RF]],"")</f>
        <v/>
      </c>
      <c r="AC60" s="6">
        <f>IFERROR((('raw-PriceList'!S59/'raw-PriceList'!S60)-1)-Table14[[#This Row],[RF]],"")</f>
        <v>1.9585249131947466E-2</v>
      </c>
      <c r="AD60" s="6">
        <f>IFERROR((('raw-PriceList'!T59/'raw-PriceList'!T60)-1)-Table14[[#This Row],[RF]],"")</f>
        <v>2.1109568545717425E-2</v>
      </c>
      <c r="AE60" s="6" t="str">
        <f>IFERROR((('raw-PriceList'!#REF!/'raw-PriceList'!#REF!)-1)-Table14[[#This Row],[RF]],"")</f>
        <v/>
      </c>
      <c r="AF60" s="6">
        <f>IFERROR((('raw-PriceList'!U59/'raw-PriceList'!U60)-1)-Table14[[#This Row],[RF]],"")</f>
        <v>1.1054792470087659E-2</v>
      </c>
      <c r="AG60" s="6">
        <f>IFERROR((('raw-PriceList'!V59/'raw-PriceList'!V60)-1)-Table14[[#This Row],[RF]],"")</f>
        <v>9.7244018077568984E-3</v>
      </c>
      <c r="AH60" s="6">
        <f>IFERROR((('raw-PriceList'!W59/'raw-PriceList'!W60)-1)-Table14[[#This Row],[RF]],"")</f>
        <v>2.6050822911655377E-2</v>
      </c>
      <c r="AI60" s="6">
        <f>IFERROR((('raw-PriceList'!X59/'raw-PriceList'!X60)-1)-Table14[[#This Row],[RF]],"")</f>
        <v>3.0030725354304047E-3</v>
      </c>
      <c r="AJ60" s="6" t="str">
        <f>IFERROR((('raw-PriceList'!#REF!/'raw-PriceList'!#REF!)-1)-Table14[[#This Row],[RF]],"")</f>
        <v/>
      </c>
      <c r="AK60" s="6" t="str">
        <f>IFERROR((('raw-PriceList'!#REF!/'raw-PriceList'!#REF!)-1)-Table14[[#This Row],[RF]],"")</f>
        <v/>
      </c>
      <c r="AL60" s="6">
        <f>IFERROR((('raw-PriceList'!Y59/'raw-PriceList'!Y60)-1)-Table14[[#This Row],[RF]],"")</f>
        <v>1.7975278531434644E-2</v>
      </c>
      <c r="AM60" s="6" t="str">
        <f>IFERROR((('raw-PriceList'!Z59/'raw-PriceList'!Z60)-1)-Table14[[#This Row],[RF]],"")</f>
        <v/>
      </c>
      <c r="AN60" s="6" t="str">
        <f>IFERROR((('raw-PriceList'!#REF!/'raw-PriceList'!#REF!)-1)-Table14[[#This Row],[RF]],"")</f>
        <v/>
      </c>
      <c r="AO60" s="6">
        <f>IFERROR((('raw-PriceList'!AA59/'raw-PriceList'!AA60)-1)-Table14[[#This Row],[RF]],"")</f>
        <v>1.151810396105789E-2</v>
      </c>
      <c r="AP60" s="6" t="str">
        <f>IFERROR((('raw-PriceList'!#REF!/'raw-PriceList'!#REF!)-1)-Table14[[#This Row],[RF]],"")</f>
        <v/>
      </c>
      <c r="AQ60" s="6">
        <f>IFERROR((('raw-PriceList'!AB59/'raw-PriceList'!AB60)-1)-Table14[[#This Row],[RF]],"")</f>
        <v>4.8560249356279547E-2</v>
      </c>
      <c r="AR60" s="6">
        <f>IFERROR((('raw-PriceList'!AC59/'raw-PriceList'!AC60)-1)-Table14[[#This Row],[RF]],"")</f>
        <v>1.8977628656354981E-2</v>
      </c>
      <c r="AS60" s="6" t="str">
        <f>IFERROR((('raw-PriceList'!#REF!/'raw-PriceList'!#REF!)-1)-Table14[[#This Row],[RF]],"")</f>
        <v/>
      </c>
      <c r="AT60" s="6" t="str">
        <f>IFERROR((('raw-PriceList'!#REF!/'raw-PriceList'!#REF!)-1)-Table14[[#This Row],[RF]],"")</f>
        <v/>
      </c>
      <c r="AU60" s="6" t="str">
        <f>IFERROR((('raw-PriceList'!#REF!/'raw-PriceList'!#REF!)-1)-Table14[[#This Row],[RF]],"")</f>
        <v/>
      </c>
      <c r="AV60" s="6">
        <f>IFERROR((('raw-PriceList'!AD59/'raw-PriceList'!AD60)-1)-Table14[[#This Row],[RF]],"")</f>
        <v>2.4772861639967822E-2</v>
      </c>
      <c r="AW60" s="6">
        <f>IFERROR((('raw-PriceList'!AE59/'raw-PriceList'!AE60)-1)-Table14[[#This Row],[RF]],"")</f>
        <v>2.4772861639967822E-2</v>
      </c>
      <c r="AX60" s="6">
        <f>IFERROR((('raw-PriceList'!AF59/'raw-PriceList'!AF60)-1)-Table14[[#This Row],[RF]],"")</f>
        <v>3.1037095740760176E-2</v>
      </c>
      <c r="AY60" s="6">
        <f>IFERROR((('raw-PriceList'!AG59/'raw-PriceList'!AG60)-1)-Table14[[#This Row],[RF]],"")</f>
        <v>4.0645035140484773E-2</v>
      </c>
      <c r="AZ60" s="6">
        <f>IFERROR((('raw-PriceList'!AH59/'raw-PriceList'!AH60)-1)-Table14[[#This Row],[RF]],"")</f>
        <v>3.406451822155819E-2</v>
      </c>
      <c r="BA60" s="6" t="str">
        <f>IFERROR((('raw-PriceList'!#REF!/'raw-PriceList'!#REF!)-1)-Table14[[#This Row],[RF]],"")</f>
        <v/>
      </c>
      <c r="BB60" s="6" t="str">
        <f>IFERROR((('raw-PriceList'!AI59/'raw-PriceList'!AI60)-1)-Table14[[#This Row],[RF]],"")</f>
        <v/>
      </c>
    </row>
    <row r="61" spans="1:54" x14ac:dyDescent="0.2">
      <c r="A61" s="5">
        <v>41670</v>
      </c>
      <c r="B61" s="9">
        <v>1</v>
      </c>
      <c r="C61" s="4">
        <v>4.3E-3</v>
      </c>
      <c r="D61" s="4">
        <v>4.3E-3</v>
      </c>
      <c r="E61" s="4">
        <v>4.3E-3</v>
      </c>
      <c r="F61" s="4">
        <v>4.3E-3</v>
      </c>
      <c r="G61" s="4">
        <v>4.3E-3</v>
      </c>
      <c r="H61" s="6">
        <f>IFERROR((('raw-PriceList'!B60/'raw-PriceList'!B61)-1)-Table14[[#This Row],[RF]],"")</f>
        <v>2.7929177992249404E-3</v>
      </c>
      <c r="I61" s="6">
        <f>IFERROR((('raw-PriceList'!C60/'raw-PriceList'!C61)-1)-Table14[[#This Row],[RF]],"")</f>
        <v>1.590223334146243E-2</v>
      </c>
      <c r="J61" s="6">
        <f>IFERROR((('raw-PriceList'!D60/'raw-PriceList'!D61)-1)-Table14[[#This Row],[RF]],"")</f>
        <v>1.3649453286525819E-3</v>
      </c>
      <c r="K61" s="6" t="str">
        <f>IFERROR((('raw-PriceList'!E60/'raw-PriceList'!E61)-1)-Table14[[#This Row],[RF]],"")</f>
        <v/>
      </c>
      <c r="L61" s="6">
        <f>IFERROR((('raw-PriceList'!F31/'raw-PriceList'!F32)-1)-Table14[[#This Row],[RF]],"")</f>
        <v>-5.1842812763244501E-3</v>
      </c>
      <c r="M61" s="6">
        <f>IFERROR((('raw-PriceList'!G60/'raw-PriceList'!G61)-1)-Table14[[#This Row],[RF]],"")</f>
        <v>-2.9773690769563672E-3</v>
      </c>
      <c r="N61" s="6">
        <f>IFERROR((('raw-PriceList'!H60/'raw-PriceList'!H61)-1)-Table14[[#This Row],[RF]],"")</f>
        <v>2.5064116276262566E-2</v>
      </c>
      <c r="O61" s="6" t="str">
        <f>IFERROR((('raw-PriceList'!I60/'raw-PriceList'!I61)-1)-Table14[[#This Row],[RF]],"")</f>
        <v/>
      </c>
      <c r="P61" s="6">
        <f>IFERROR((('raw-PriceList'!J60/'raw-PriceList'!J61)-1)-Table14[[#This Row],[RF]],"")</f>
        <v>3.6569604971327923E-3</v>
      </c>
      <c r="Q61" s="6">
        <f>IFERROR((('raw-PriceList'!K60/'raw-PriceList'!K61)-1)-Table14[[#This Row],[RF]],"")</f>
        <v>1.2223039921856731E-3</v>
      </c>
      <c r="R61" s="6">
        <f>IFERROR((('raw-PriceList'!L60/'raw-PriceList'!L61)-1)-Table14[[#This Row],[RF]],"")</f>
        <v>5.0120619451305675E-3</v>
      </c>
      <c r="S61" s="6" t="str">
        <f>IFERROR((('raw-PriceList'!#REF!/'raw-PriceList'!#REF!)-1)-Table14[[#This Row],[RF]],"")</f>
        <v/>
      </c>
      <c r="T61" s="6">
        <f>IFERROR((('raw-PriceList'!M60/'raw-PriceList'!M61)-1)-Table14[[#This Row],[RF]],"")</f>
        <v>-2.8599225280586144E-2</v>
      </c>
      <c r="U61" s="6">
        <f>IFERROR((('raw-PriceList'!N60/'raw-PriceList'!N61)-1)-Table14[[#This Row],[RF]],"")</f>
        <v>-4.1725043648731225E-2</v>
      </c>
      <c r="V61" s="6">
        <f>IFERROR((('raw-PriceList'!O60/'raw-PriceList'!O61)-1)-Table14[[#This Row],[RF]],"")</f>
        <v>-1.5630936681491653E-2</v>
      </c>
      <c r="W61" s="6">
        <f>IFERROR((('raw-PriceList'!P60/'raw-PriceList'!P61)-1)-Table14[[#This Row],[RF]],"")</f>
        <v>3.7777438423471626E-3</v>
      </c>
      <c r="X61" s="6">
        <f>IFERROR((('raw-PriceList'!Q60/'raw-PriceList'!Q61)-1)-Table14[[#This Row],[RF]],"")</f>
        <v>1.7616525903562746E-2</v>
      </c>
      <c r="Y61" s="6" t="str">
        <f>IFERROR((('raw-PriceList'!#REF!/'raw-PriceList'!#REF!)-1)-Table14[[#This Row],[RF]],"")</f>
        <v/>
      </c>
      <c r="Z61" s="6">
        <f>IFERROR((('raw-PriceList'!R60/'raw-PriceList'!R61)-1)-Table14[[#This Row],[RF]],"")</f>
        <v>-1.6870931805481899E-3</v>
      </c>
      <c r="AA61" s="6" t="str">
        <f>IFERROR((('raw-PriceList'!#REF!/'raw-PriceList'!#REF!)-1)-Table14[[#This Row],[RF]],"")</f>
        <v/>
      </c>
      <c r="AB61" s="6" t="str">
        <f>IFERROR((('raw-PriceList'!#REF!/'raw-PriceList'!#REF!)-1)-Table14[[#This Row],[RF]],"")</f>
        <v/>
      </c>
      <c r="AC61" s="6">
        <f>IFERROR((('raw-PriceList'!S60/'raw-PriceList'!S61)-1)-Table14[[#This Row],[RF]],"")</f>
        <v>1.142120396203136E-2</v>
      </c>
      <c r="AD61" s="6">
        <f>IFERROR((('raw-PriceList'!T60/'raw-PriceList'!T61)-1)-Table14[[#This Row],[RF]],"")</f>
        <v>1.039330187059148E-2</v>
      </c>
      <c r="AE61" s="6" t="str">
        <f>IFERROR((('raw-PriceList'!#REF!/'raw-PriceList'!#REF!)-1)-Table14[[#This Row],[RF]],"")</f>
        <v/>
      </c>
      <c r="AF61" s="6">
        <f>IFERROR((('raw-PriceList'!U60/'raw-PriceList'!U61)-1)-Table14[[#This Row],[RF]],"")</f>
        <v>2.4202570460160437E-4</v>
      </c>
      <c r="AG61" s="6">
        <f>IFERROR((('raw-PriceList'!V60/'raw-PriceList'!V61)-1)-Table14[[#This Row],[RF]],"")</f>
        <v>2.2104912646033065E-2</v>
      </c>
      <c r="AH61" s="6">
        <f>IFERROR((('raw-PriceList'!W60/'raw-PriceList'!W61)-1)-Table14[[#This Row],[RF]],"")</f>
        <v>1.1896016566509375E-2</v>
      </c>
      <c r="AI61" s="6">
        <f>IFERROR((('raw-PriceList'!X60/'raw-PriceList'!X61)-1)-Table14[[#This Row],[RF]],"")</f>
        <v>-3.1281010587019004E-3</v>
      </c>
      <c r="AJ61" s="6" t="str">
        <f>IFERROR((('raw-PriceList'!#REF!/'raw-PriceList'!#REF!)-1)-Table14[[#This Row],[RF]],"")</f>
        <v/>
      </c>
      <c r="AK61" s="6" t="str">
        <f>IFERROR((('raw-PriceList'!#REF!/'raw-PriceList'!#REF!)-1)-Table14[[#This Row],[RF]],"")</f>
        <v/>
      </c>
      <c r="AL61" s="6">
        <f>IFERROR((('raw-PriceList'!Y60/'raw-PriceList'!Y61)-1)-Table14[[#This Row],[RF]],"")</f>
        <v>5.8060143852453876E-3</v>
      </c>
      <c r="AM61" s="6" t="str">
        <f>IFERROR((('raw-PriceList'!Z60/'raw-PriceList'!Z61)-1)-Table14[[#This Row],[RF]],"")</f>
        <v/>
      </c>
      <c r="AN61" s="6" t="str">
        <f>IFERROR((('raw-PriceList'!#REF!/'raw-PriceList'!#REF!)-1)-Table14[[#This Row],[RF]],"")</f>
        <v/>
      </c>
      <c r="AO61" s="6">
        <f>IFERROR((('raw-PriceList'!AA60/'raw-PriceList'!AA61)-1)-Table14[[#This Row],[RF]],"")</f>
        <v>1.9769640041722141E-3</v>
      </c>
      <c r="AP61" s="6" t="str">
        <f>IFERROR((('raw-PriceList'!#REF!/'raw-PriceList'!#REF!)-1)-Table14[[#This Row],[RF]],"")</f>
        <v/>
      </c>
      <c r="AQ61" s="6">
        <f>IFERROR((('raw-PriceList'!AB60/'raw-PriceList'!AB61)-1)-Table14[[#This Row],[RF]],"")</f>
        <v>1.8255495425980567E-2</v>
      </c>
      <c r="AR61" s="6">
        <f>IFERROR((('raw-PriceList'!AC60/'raw-PriceList'!AC61)-1)-Table14[[#This Row],[RF]],"")</f>
        <v>-2.1789182027001815E-4</v>
      </c>
      <c r="AS61" s="6" t="str">
        <f>IFERROR((('raw-PriceList'!#REF!/'raw-PriceList'!#REF!)-1)-Table14[[#This Row],[RF]],"")</f>
        <v/>
      </c>
      <c r="AT61" s="6" t="str">
        <f>IFERROR((('raw-PriceList'!#REF!/'raw-PriceList'!#REF!)-1)-Table14[[#This Row],[RF]],"")</f>
        <v/>
      </c>
      <c r="AU61" s="6" t="str">
        <f>IFERROR((('raw-PriceList'!#REF!/'raw-PriceList'!#REF!)-1)-Table14[[#This Row],[RF]],"")</f>
        <v/>
      </c>
      <c r="AV61" s="6">
        <f>IFERROR((('raw-PriceList'!AD60/'raw-PriceList'!AD61)-1)-Table14[[#This Row],[RF]],"")</f>
        <v>3.0576755919564363E-3</v>
      </c>
      <c r="AW61" s="6">
        <f>IFERROR((('raw-PriceList'!AE60/'raw-PriceList'!AE61)-1)-Table14[[#This Row],[RF]],"")</f>
        <v>3.0576755919564363E-3</v>
      </c>
      <c r="AX61" s="6">
        <f>IFERROR((('raw-PriceList'!AF60/'raw-PriceList'!AF61)-1)-Table14[[#This Row],[RF]],"")</f>
        <v>-2.6018609898397022E-2</v>
      </c>
      <c r="AY61" s="6">
        <f>IFERROR((('raw-PriceList'!AG60/'raw-PriceList'!AG61)-1)-Table14[[#This Row],[RF]],"")</f>
        <v>-1.2408715917884424E-2</v>
      </c>
      <c r="AZ61" s="6">
        <f>IFERROR((('raw-PriceList'!AH60/'raw-PriceList'!AH61)-1)-Table14[[#This Row],[RF]],"")</f>
        <v>-4.9178147300571757E-3</v>
      </c>
      <c r="BA61" s="6" t="str">
        <f>IFERROR((('raw-PriceList'!#REF!/'raw-PriceList'!#REF!)-1)-Table14[[#This Row],[RF]],"")</f>
        <v/>
      </c>
      <c r="BB61" s="6" t="str">
        <f>IFERROR((('raw-PriceList'!AI60/'raw-PriceList'!AI61)-1)-Table14[[#This Row],[RF]],"")</f>
        <v/>
      </c>
    </row>
    <row r="62" spans="1:54" x14ac:dyDescent="0.2">
      <c r="A62" s="5">
        <v>41639</v>
      </c>
      <c r="B62" s="9">
        <v>1</v>
      </c>
      <c r="C62" s="4">
        <v>4.6500000000000007E-2</v>
      </c>
      <c r="D62" s="4">
        <v>4.6500000000000007E-2</v>
      </c>
      <c r="E62" s="4">
        <v>4.6500000000000007E-2</v>
      </c>
      <c r="F62" s="4">
        <v>4.6500000000000007E-2</v>
      </c>
      <c r="G62" s="4">
        <v>4.6500000000000007E-2</v>
      </c>
      <c r="H62" s="6">
        <f>IFERROR((('raw-PriceList'!B61/'raw-PriceList'!B62)-1)-Table14[[#This Row],[RF]],"")</f>
        <v>-5.3448647108359303E-2</v>
      </c>
      <c r="I62" s="6">
        <f>IFERROR((('raw-PriceList'!C61/'raw-PriceList'!C62)-1)-Table14[[#This Row],[RF]],"")</f>
        <v>-4.0850023713086679E-2</v>
      </c>
      <c r="J62" s="6">
        <f>IFERROR((('raw-PriceList'!D61/'raw-PriceList'!D62)-1)-Table14[[#This Row],[RF]],"")</f>
        <v>-5.0326595248013327E-2</v>
      </c>
      <c r="K62" s="6" t="str">
        <f>IFERROR((('raw-PriceList'!E61/'raw-PriceList'!E62)-1)-Table14[[#This Row],[RF]],"")</f>
        <v/>
      </c>
      <c r="L62" s="6">
        <f>IFERROR((('raw-PriceList'!F32/'raw-PriceList'!F33)-1)-Table14[[#This Row],[RF]],"")</f>
        <v>-4.662923811900601E-2</v>
      </c>
      <c r="M62" s="6">
        <f>IFERROR((('raw-PriceList'!G61/'raw-PriceList'!G62)-1)-Table14[[#This Row],[RF]],"")</f>
        <v>-5.0333649321462025E-2</v>
      </c>
      <c r="N62" s="6">
        <f>IFERROR((('raw-PriceList'!H61/'raw-PriceList'!H62)-1)-Table14[[#This Row],[RF]],"")</f>
        <v>-3.5237727263006689E-2</v>
      </c>
      <c r="O62" s="6" t="str">
        <f>IFERROR((('raw-PriceList'!I61/'raw-PriceList'!I62)-1)-Table14[[#This Row],[RF]],"")</f>
        <v/>
      </c>
      <c r="P62" s="6">
        <f>IFERROR((('raw-PriceList'!J61/'raw-PriceList'!J62)-1)-Table14[[#This Row],[RF]],"")</f>
        <v>-4.1603087796606507E-2</v>
      </c>
      <c r="Q62" s="6">
        <f>IFERROR((('raw-PriceList'!K61/'raw-PriceList'!K62)-1)-Table14[[#This Row],[RF]],"")</f>
        <v>-6.4251469656715271E-2</v>
      </c>
      <c r="R62" s="6">
        <f>IFERROR((('raw-PriceList'!L61/'raw-PriceList'!L62)-1)-Table14[[#This Row],[RF]],"")</f>
        <v>-2.3970915152951487E-2</v>
      </c>
      <c r="S62" s="6" t="str">
        <f>IFERROR((('raw-PriceList'!#REF!/'raw-PriceList'!#REF!)-1)-Table14[[#This Row],[RF]],"")</f>
        <v/>
      </c>
      <c r="T62" s="6">
        <f>IFERROR((('raw-PriceList'!M61/'raw-PriceList'!M62)-1)-Table14[[#This Row],[RF]],"")</f>
        <v>-4.8489230604338872E-2</v>
      </c>
      <c r="U62" s="6">
        <f>IFERROR((('raw-PriceList'!N61/'raw-PriceList'!N62)-1)-Table14[[#This Row],[RF]],"")</f>
        <v>-6.941850283935716E-2</v>
      </c>
      <c r="V62" s="6">
        <f>IFERROR((('raw-PriceList'!O61/'raw-PriceList'!O62)-1)-Table14[[#This Row],[RF]],"")</f>
        <v>-3.360424984769874E-2</v>
      </c>
      <c r="W62" s="6">
        <f>IFERROR((('raw-PriceList'!P61/'raw-PriceList'!P62)-1)-Table14[[#This Row],[RF]],"")</f>
        <v>-4.9073680827192788E-2</v>
      </c>
      <c r="X62" s="6">
        <f>IFERROR((('raw-PriceList'!Q61/'raw-PriceList'!Q62)-1)-Table14[[#This Row],[RF]],"")</f>
        <v>-4.1922462606896159E-2</v>
      </c>
      <c r="Y62" s="6" t="str">
        <f>IFERROR((('raw-PriceList'!#REF!/'raw-PriceList'!#REF!)-1)-Table14[[#This Row],[RF]],"")</f>
        <v/>
      </c>
      <c r="Z62" s="6">
        <f>IFERROR((('raw-PriceList'!R61/'raw-PriceList'!R62)-1)-Table14[[#This Row],[RF]],"")</f>
        <v>-5.1027551337286779E-2</v>
      </c>
      <c r="AA62" s="6" t="str">
        <f>IFERROR((('raw-PriceList'!#REF!/'raw-PriceList'!#REF!)-1)-Table14[[#This Row],[RF]],"")</f>
        <v/>
      </c>
      <c r="AB62" s="6" t="str">
        <f>IFERROR((('raw-PriceList'!#REF!/'raw-PriceList'!#REF!)-1)-Table14[[#This Row],[RF]],"")</f>
        <v/>
      </c>
      <c r="AC62" s="6">
        <f>IFERROR((('raw-PriceList'!S61/'raw-PriceList'!S62)-1)-Table14[[#This Row],[RF]],"")</f>
        <v>-6.0579143640997389E-2</v>
      </c>
      <c r="AD62" s="6">
        <f>IFERROR((('raw-PriceList'!T61/'raw-PriceList'!T62)-1)-Table14[[#This Row],[RF]],"")</f>
        <v>-4.9856523668404672E-2</v>
      </c>
      <c r="AE62" s="6" t="str">
        <f>IFERROR((('raw-PriceList'!#REF!/'raw-PriceList'!#REF!)-1)-Table14[[#This Row],[RF]],"")</f>
        <v/>
      </c>
      <c r="AF62" s="6">
        <f>IFERROR((('raw-PriceList'!U61/'raw-PriceList'!U62)-1)-Table14[[#This Row],[RF]],"")</f>
        <v>-5.4644192444622507E-2</v>
      </c>
      <c r="AG62" s="6">
        <f>IFERROR((('raw-PriceList'!V61/'raw-PriceList'!V62)-1)-Table14[[#This Row],[RF]],"")</f>
        <v>-6.7701763683891719E-2</v>
      </c>
      <c r="AH62" s="6">
        <f>IFERROR((('raw-PriceList'!W61/'raw-PriceList'!W62)-1)-Table14[[#This Row],[RF]],"")</f>
        <v>-4.19786366056756E-2</v>
      </c>
      <c r="AI62" s="6">
        <f>IFERROR((('raw-PriceList'!X61/'raw-PriceList'!X62)-1)-Table14[[#This Row],[RF]],"")</f>
        <v>-4.8265079281764732E-2</v>
      </c>
      <c r="AJ62" s="6" t="str">
        <f>IFERROR((('raw-PriceList'!#REF!/'raw-PriceList'!#REF!)-1)-Table14[[#This Row],[RF]],"")</f>
        <v/>
      </c>
      <c r="AK62" s="6" t="str">
        <f>IFERROR((('raw-PriceList'!#REF!/'raw-PriceList'!#REF!)-1)-Table14[[#This Row],[RF]],"")</f>
        <v/>
      </c>
      <c r="AL62" s="6">
        <f>IFERROR((('raw-PriceList'!Y61/'raw-PriceList'!Y62)-1)-Table14[[#This Row],[RF]],"")</f>
        <v>-4.3056101964671821E-2</v>
      </c>
      <c r="AM62" s="6" t="str">
        <f>IFERROR((('raw-PriceList'!Z61/'raw-PriceList'!Z62)-1)-Table14[[#This Row],[RF]],"")</f>
        <v/>
      </c>
      <c r="AN62" s="6" t="str">
        <f>IFERROR((('raw-PriceList'!#REF!/'raw-PriceList'!#REF!)-1)-Table14[[#This Row],[RF]],"")</f>
        <v/>
      </c>
      <c r="AO62" s="6">
        <f>IFERROR((('raw-PriceList'!AA61/'raw-PriceList'!AA62)-1)-Table14[[#This Row],[RF]],"")</f>
        <v>-5.158249166927633E-2</v>
      </c>
      <c r="AP62" s="6" t="str">
        <f>IFERROR((('raw-PriceList'!#REF!/'raw-PriceList'!#REF!)-1)-Table14[[#This Row],[RF]],"")</f>
        <v/>
      </c>
      <c r="AQ62" s="6">
        <f>IFERROR((('raw-PriceList'!AB61/'raw-PriceList'!AB62)-1)-Table14[[#This Row],[RF]],"")</f>
        <v>-3.8334685144705748E-2</v>
      </c>
      <c r="AR62" s="6">
        <f>IFERROR((('raw-PriceList'!AC61/'raw-PriceList'!AC62)-1)-Table14[[#This Row],[RF]],"")</f>
        <v>-3.5285903366804948E-2</v>
      </c>
      <c r="AS62" s="6" t="str">
        <f>IFERROR((('raw-PriceList'!#REF!/'raw-PriceList'!#REF!)-1)-Table14[[#This Row],[RF]],"")</f>
        <v/>
      </c>
      <c r="AT62" s="6" t="str">
        <f>IFERROR((('raw-PriceList'!#REF!/'raw-PriceList'!#REF!)-1)-Table14[[#This Row],[RF]],"")</f>
        <v/>
      </c>
      <c r="AU62" s="6" t="str">
        <f>IFERROR((('raw-PriceList'!#REF!/'raw-PriceList'!#REF!)-1)-Table14[[#This Row],[RF]],"")</f>
        <v/>
      </c>
      <c r="AV62" s="6">
        <f>IFERROR((('raw-PriceList'!AD61/'raw-PriceList'!AD62)-1)-Table14[[#This Row],[RF]],"")</f>
        <v>-4.2360065453932026E-2</v>
      </c>
      <c r="AW62" s="6">
        <f>IFERROR((('raw-PriceList'!AE61/'raw-PriceList'!AE62)-1)-Table14[[#This Row],[RF]],"")</f>
        <v>-4.2360065453932026E-2</v>
      </c>
      <c r="AX62" s="6">
        <f>IFERROR((('raw-PriceList'!AF61/'raw-PriceList'!AF62)-1)-Table14[[#This Row],[RF]],"")</f>
        <v>-6.3162030184560264E-2</v>
      </c>
      <c r="AY62" s="6">
        <f>IFERROR((('raw-PriceList'!AG61/'raw-PriceList'!AG62)-1)-Table14[[#This Row],[RF]],"")</f>
        <v>6.8130348268064869E-3</v>
      </c>
      <c r="AZ62" s="6">
        <f>IFERROR((('raw-PriceList'!AH61/'raw-PriceList'!AH62)-1)-Table14[[#This Row],[RF]],"")</f>
        <v>-5.2251338543055879E-2</v>
      </c>
      <c r="BA62" s="6" t="str">
        <f>IFERROR((('raw-PriceList'!#REF!/'raw-PriceList'!#REF!)-1)-Table14[[#This Row],[RF]],"")</f>
        <v/>
      </c>
      <c r="BB62" s="6" t="str">
        <f>IFERROR((('raw-PriceList'!AI61/'raw-PriceList'!AI62)-1)-Table14[[#This Row],[RF]],"")</f>
        <v/>
      </c>
    </row>
    <row r="63" spans="1:54" x14ac:dyDescent="0.2">
      <c r="A63" s="5">
        <v>41608</v>
      </c>
      <c r="B63" s="9">
        <v>1</v>
      </c>
      <c r="C63" s="4">
        <v>-3.32E-2</v>
      </c>
      <c r="D63" s="4">
        <v>-3.32E-2</v>
      </c>
      <c r="E63" s="4">
        <v>-3.32E-2</v>
      </c>
      <c r="F63" s="4">
        <v>-3.32E-2</v>
      </c>
      <c r="G63" s="4">
        <v>-3.32E-2</v>
      </c>
      <c r="H63" s="6">
        <f>IFERROR((('raw-PriceList'!B62/'raw-PriceList'!B63)-1)-Table14[[#This Row],[RF]],"")</f>
        <v>3.8074649975844747E-2</v>
      </c>
      <c r="I63" s="6">
        <f>IFERROR((('raw-PriceList'!C62/'raw-PriceList'!C63)-1)-Table14[[#This Row],[RF]],"")</f>
        <v>3.9449790703245273E-2</v>
      </c>
      <c r="J63" s="6">
        <f>IFERROR((('raw-PriceList'!D62/'raw-PriceList'!D63)-1)-Table14[[#This Row],[RF]],"")</f>
        <v>3.5729429231950431E-2</v>
      </c>
      <c r="K63" s="6" t="str">
        <f>IFERROR((('raw-PriceList'!E62/'raw-PriceList'!E63)-1)-Table14[[#This Row],[RF]],"")</f>
        <v/>
      </c>
      <c r="L63" s="6">
        <f>IFERROR((('raw-PriceList'!F33/'raw-PriceList'!F34)-1)-Table14[[#This Row],[RF]],"")</f>
        <v>4.0395510441003972E-2</v>
      </c>
      <c r="M63" s="6">
        <f>IFERROR((('raw-PriceList'!G62/'raw-PriceList'!G63)-1)-Table14[[#This Row],[RF]],"")</f>
        <v>3.3836112047322391E-2</v>
      </c>
      <c r="N63" s="6">
        <f>IFERROR((('raw-PriceList'!H62/'raw-PriceList'!H63)-1)-Table14[[#This Row],[RF]],"")</f>
        <v>3.6661553073279556E-2</v>
      </c>
      <c r="O63" s="6" t="str">
        <f>IFERROR((('raw-PriceList'!I62/'raw-PriceList'!I63)-1)-Table14[[#This Row],[RF]],"")</f>
        <v/>
      </c>
      <c r="P63" s="6">
        <f>IFERROR((('raw-PriceList'!J62/'raw-PriceList'!J63)-1)-Table14[[#This Row],[RF]],"")</f>
        <v>7.7545814222039211E-2</v>
      </c>
      <c r="Q63" s="6">
        <f>IFERROR((('raw-PriceList'!K62/'raw-PriceList'!K63)-1)-Table14[[#This Row],[RF]],"")</f>
        <v>8.5761690178736916E-2</v>
      </c>
      <c r="R63" s="6">
        <f>IFERROR((('raw-PriceList'!L62/'raw-PriceList'!L63)-1)-Table14[[#This Row],[RF]],"")</f>
        <v>7.0213785770816606E-2</v>
      </c>
      <c r="S63" s="6" t="str">
        <f>IFERROR((('raw-PriceList'!#REF!/'raw-PriceList'!#REF!)-1)-Table14[[#This Row],[RF]],"")</f>
        <v/>
      </c>
      <c r="T63" s="6">
        <f>IFERROR((('raw-PriceList'!M62/'raw-PriceList'!M63)-1)-Table14[[#This Row],[RF]],"")</f>
        <v>8.3967540133633611E-2</v>
      </c>
      <c r="U63" s="6">
        <f>IFERROR((('raw-PriceList'!N62/'raw-PriceList'!N63)-1)-Table14[[#This Row],[RF]],"")</f>
        <v>8.4858231848044308E-2</v>
      </c>
      <c r="V63" s="6">
        <f>IFERROR((('raw-PriceList'!O62/'raw-PriceList'!O63)-1)-Table14[[#This Row],[RF]],"")</f>
        <v>8.2848201943345967E-2</v>
      </c>
      <c r="W63" s="6">
        <f>IFERROR((('raw-PriceList'!P62/'raw-PriceList'!P63)-1)-Table14[[#This Row],[RF]],"")</f>
        <v>4.2924297315999442E-2</v>
      </c>
      <c r="X63" s="6">
        <f>IFERROR((('raw-PriceList'!Q62/'raw-PriceList'!Q63)-1)-Table14[[#This Row],[RF]],"")</f>
        <v>4.2942284693869286E-2</v>
      </c>
      <c r="Y63" s="6" t="str">
        <f>IFERROR((('raw-PriceList'!#REF!/'raw-PriceList'!#REF!)-1)-Table14[[#This Row],[RF]],"")</f>
        <v/>
      </c>
      <c r="Z63" s="6">
        <f>IFERROR((('raw-PriceList'!R62/'raw-PriceList'!R63)-1)-Table14[[#This Row],[RF]],"")</f>
        <v>3.5605464196574281E-2</v>
      </c>
      <c r="AA63" s="6" t="str">
        <f>IFERROR((('raw-PriceList'!#REF!/'raw-PriceList'!#REF!)-1)-Table14[[#This Row],[RF]],"")</f>
        <v/>
      </c>
      <c r="AB63" s="6" t="str">
        <f>IFERROR((('raw-PriceList'!#REF!/'raw-PriceList'!#REF!)-1)-Table14[[#This Row],[RF]],"")</f>
        <v/>
      </c>
      <c r="AC63" s="6">
        <f>IFERROR((('raw-PriceList'!S62/'raw-PriceList'!S63)-1)-Table14[[#This Row],[RF]],"")</f>
        <v>9.2698769628114186E-2</v>
      </c>
      <c r="AD63" s="6">
        <f>IFERROR((('raw-PriceList'!T62/'raw-PriceList'!T63)-1)-Table14[[#This Row],[RF]],"")</f>
        <v>8.9456704811687771E-2</v>
      </c>
      <c r="AE63" s="6" t="str">
        <f>IFERROR((('raw-PriceList'!#REF!/'raw-PriceList'!#REF!)-1)-Table14[[#This Row],[RF]],"")</f>
        <v/>
      </c>
      <c r="AF63" s="6">
        <f>IFERROR((('raw-PriceList'!U62/'raw-PriceList'!U63)-1)-Table14[[#This Row],[RF]],"")</f>
        <v>3.4927524794124636E-2</v>
      </c>
      <c r="AG63" s="6">
        <f>IFERROR((('raw-PriceList'!V62/'raw-PriceList'!V63)-1)-Table14[[#This Row],[RF]],"")</f>
        <v>0.10662535949874419</v>
      </c>
      <c r="AH63" s="6">
        <f>IFERROR((('raw-PriceList'!W62/'raw-PriceList'!W63)-1)-Table14[[#This Row],[RF]],"")</f>
        <v>3.5286576675477181E-2</v>
      </c>
      <c r="AI63" s="6">
        <f>IFERROR((('raw-PriceList'!X62/'raw-PriceList'!X63)-1)-Table14[[#This Row],[RF]],"")</f>
        <v>3.3506329569597974E-2</v>
      </c>
      <c r="AJ63" s="6" t="str">
        <f>IFERROR((('raw-PriceList'!#REF!/'raw-PriceList'!#REF!)-1)-Table14[[#This Row],[RF]],"")</f>
        <v/>
      </c>
      <c r="AK63" s="6" t="str">
        <f>IFERROR((('raw-PriceList'!#REF!/'raw-PriceList'!#REF!)-1)-Table14[[#This Row],[RF]],"")</f>
        <v/>
      </c>
      <c r="AL63" s="6">
        <f>IFERROR((('raw-PriceList'!Y62/'raw-PriceList'!Y63)-1)-Table14[[#This Row],[RF]],"")</f>
        <v>8.2186962499380845E-2</v>
      </c>
      <c r="AM63" s="6" t="str">
        <f>IFERROR((('raw-PriceList'!Z62/'raw-PriceList'!#REF!)-1)-Table14[[#This Row],[RF]],"")</f>
        <v/>
      </c>
      <c r="AN63" s="6" t="str">
        <f>IFERROR((('raw-PriceList'!#REF!/'raw-PriceList'!#REF!)-1)-Table14[[#This Row],[RF]],"")</f>
        <v/>
      </c>
      <c r="AO63" s="6">
        <f>IFERROR((('raw-PriceList'!AA62/'raw-PriceList'!AA63)-1)-Table14[[#This Row],[RF]],"")</f>
        <v>3.4844415835483804E-2</v>
      </c>
      <c r="AP63" s="6" t="str">
        <f>IFERROR((('raw-PriceList'!#REF!/'raw-PriceList'!#REF!)-1)-Table14[[#This Row],[RF]],"")</f>
        <v/>
      </c>
      <c r="AQ63" s="6">
        <f>IFERROR((('raw-PriceList'!AB62/'raw-PriceList'!AB63)-1)-Table14[[#This Row],[RF]],"")</f>
        <v>7.2995098526580038E-2</v>
      </c>
      <c r="AR63" s="6">
        <f>IFERROR((('raw-PriceList'!AC62/'raw-PriceList'!AC63)-1)-Table14[[#This Row],[RF]],"")</f>
        <v>8.7090447421524941E-2</v>
      </c>
      <c r="AS63" s="6" t="str">
        <f>IFERROR((('raw-PriceList'!#REF!/'raw-PriceList'!#REF!)-1)-Table14[[#This Row],[RF]],"")</f>
        <v/>
      </c>
      <c r="AT63" s="6" t="str">
        <f>IFERROR((('raw-PriceList'!#REF!/'raw-PriceList'!#REF!)-1)-Table14[[#This Row],[RF]],"")</f>
        <v/>
      </c>
      <c r="AU63" s="6" t="str">
        <f>IFERROR((('raw-PriceList'!#REF!/'raw-PriceList'!#REF!)-1)-Table14[[#This Row],[RF]],"")</f>
        <v/>
      </c>
      <c r="AV63" s="6">
        <f>IFERROR((('raw-PriceList'!AD62/'raw-PriceList'!AD63)-1)-Table14[[#This Row],[RF]],"")</f>
        <v>7.8951647204660635E-2</v>
      </c>
      <c r="AW63" s="6">
        <f>IFERROR((('raw-PriceList'!AE62/'raw-PriceList'!AE63)-1)-Table14[[#This Row],[RF]],"")</f>
        <v>7.8951647204660635E-2</v>
      </c>
      <c r="AX63" s="6">
        <f>IFERROR((('raw-PriceList'!AF62/'raw-PriceList'!AF63)-1)-Table14[[#This Row],[RF]],"")</f>
        <v>9.9332630220060225E-2</v>
      </c>
      <c r="AY63" s="6">
        <f>IFERROR((('raw-PriceList'!AG62/'raw-PriceList'!AG63)-1)-Table14[[#This Row],[RF]],"")</f>
        <v>2.6809961986135604E-2</v>
      </c>
      <c r="AZ63" s="6">
        <f>IFERROR((('raw-PriceList'!AH62/'raw-PriceList'!AH63)-1)-Table14[[#This Row],[RF]],"")</f>
        <v>7.349767234053417E-2</v>
      </c>
      <c r="BA63" s="6" t="str">
        <f>IFERROR((('raw-PriceList'!#REF!/'raw-PriceList'!#REF!)-1)-Table14[[#This Row],[RF]],"")</f>
        <v/>
      </c>
      <c r="BB63" s="6" t="str">
        <f>IFERROR((('raw-PriceList'!AI62/'raw-PriceList'!AI63)-1)-Table14[[#This Row],[RF]],"")</f>
        <v/>
      </c>
    </row>
    <row r="64" spans="1:54" x14ac:dyDescent="0.2">
      <c r="A64" s="5">
        <v>41578</v>
      </c>
      <c r="B64" s="9">
        <v>1</v>
      </c>
      <c r="C64" s="4">
        <v>2.81E-2</v>
      </c>
      <c r="D64" s="4">
        <v>2.81E-2</v>
      </c>
      <c r="E64" s="4">
        <v>2.81E-2</v>
      </c>
      <c r="F64" s="4">
        <v>2.81E-2</v>
      </c>
      <c r="G64" s="4">
        <v>2.81E-2</v>
      </c>
      <c r="H64" s="6">
        <f>IFERROR((('raw-PriceList'!B63/'raw-PriceList'!B64)-1)-Table14[[#This Row],[RF]],"")</f>
        <v>-6.0113774454597507E-3</v>
      </c>
      <c r="I64" s="6">
        <f>IFERROR((('raw-PriceList'!C63/'raw-PriceList'!C64)-1)-Table14[[#This Row],[RF]],"")</f>
        <v>2.1522354210697495E-2</v>
      </c>
      <c r="J64" s="6">
        <f>IFERROR((('raw-PriceList'!D63/'raw-PriceList'!D64)-1)-Table14[[#This Row],[RF]],"")</f>
        <v>-1.2501551000032349E-2</v>
      </c>
      <c r="K64" s="6" t="str">
        <f>IFERROR((('raw-PriceList'!E63/'raw-PriceList'!E64)-1)-Table14[[#This Row],[RF]],"")</f>
        <v/>
      </c>
      <c r="L64" s="6">
        <f>IFERROR((('raw-PriceList'!F34/'raw-PriceList'!F35)-1)-Table14[[#This Row],[RF]],"")</f>
        <v>-9.8428566257375699E-3</v>
      </c>
      <c r="M64" s="6">
        <f>IFERROR((('raw-PriceList'!G63/'raw-PriceList'!G64)-1)-Table14[[#This Row],[RF]],"")</f>
        <v>-2.2930879213413954E-2</v>
      </c>
      <c r="N64" s="6">
        <f>IFERROR((('raw-PriceList'!H63/'raw-PriceList'!H64)-1)-Table14[[#This Row],[RF]],"")</f>
        <v>6.901354151365259E-2</v>
      </c>
      <c r="O64" s="6" t="str">
        <f>IFERROR((('raw-PriceList'!I63/'raw-PriceList'!I64)-1)-Table14[[#This Row],[RF]],"")</f>
        <v/>
      </c>
      <c r="P64" s="6">
        <f>IFERROR((('raw-PriceList'!J63/'raw-PriceList'!J64)-1)-Table14[[#This Row],[RF]],"")</f>
        <v>-6.4391688126181776E-2</v>
      </c>
      <c r="Q64" s="6">
        <f>IFERROR((('raw-PriceList'!K63/'raw-PriceList'!K64)-1)-Table14[[#This Row],[RF]],"")</f>
        <v>-6.1907227705505372E-2</v>
      </c>
      <c r="R64" s="6">
        <f>IFERROR((('raw-PriceList'!L63/'raw-PriceList'!L64)-1)-Table14[[#This Row],[RF]],"")</f>
        <v>-6.49754255028092E-2</v>
      </c>
      <c r="S64" s="6" t="str">
        <f>IFERROR((('raw-PriceList'!#REF!/'raw-PriceList'!#REF!)-1)-Table14[[#This Row],[RF]],"")</f>
        <v/>
      </c>
      <c r="T64" s="6">
        <f>IFERROR((('raw-PriceList'!M63/'raw-PriceList'!M64)-1)-Table14[[#This Row],[RF]],"")</f>
        <v>-4.8542340779528667E-2</v>
      </c>
      <c r="U64" s="6">
        <f>IFERROR((('raw-PriceList'!N63/'raw-PriceList'!N64)-1)-Table14[[#This Row],[RF]],"")</f>
        <v>-3.9515258125162975E-2</v>
      </c>
      <c r="V64" s="6">
        <f>IFERROR((('raw-PriceList'!O63/'raw-PriceList'!O64)-1)-Table14[[#This Row],[RF]],"")</f>
        <v>-5.5937139026097524E-2</v>
      </c>
      <c r="W64" s="6">
        <f>IFERROR((('raw-PriceList'!P63/'raw-PriceList'!P64)-1)-Table14[[#This Row],[RF]],"")</f>
        <v>-7.7794142869371669E-3</v>
      </c>
      <c r="X64" s="6">
        <f>IFERROR((('raw-PriceList'!Q63/'raw-PriceList'!Q64)-1)-Table14[[#This Row],[RF]],"")</f>
        <v>8.3876757805627783E-3</v>
      </c>
      <c r="Y64" s="6" t="str">
        <f>IFERROR((('raw-PriceList'!#REF!/'raw-PriceList'!#REF!)-1)-Table14[[#This Row],[RF]],"")</f>
        <v/>
      </c>
      <c r="Z64" s="6">
        <f>IFERROR((('raw-PriceList'!R63/'raw-PriceList'!R64)-1)-Table14[[#This Row],[RF]],"")</f>
        <v>-2.3477784083844253E-2</v>
      </c>
      <c r="AA64" s="6" t="str">
        <f>IFERROR((('raw-PriceList'!#REF!/'raw-PriceList'!#REF!)-1)-Table14[[#This Row],[RF]],"")</f>
        <v/>
      </c>
      <c r="AB64" s="6" t="str">
        <f>IFERROR((('raw-PriceList'!#REF!/'raw-PriceList'!#REF!)-1)-Table14[[#This Row],[RF]],"")</f>
        <v/>
      </c>
      <c r="AC64" s="6">
        <f>IFERROR((('raw-PriceList'!S63/'raw-PriceList'!S64)-1)-Table14[[#This Row],[RF]],"")</f>
        <v>-8.0180829078198887E-2</v>
      </c>
      <c r="AD64" s="6">
        <f>IFERROR((('raw-PriceList'!T63/'raw-PriceList'!T64)-1)-Table14[[#This Row],[RF]],"")</f>
        <v>-8.6010912263140601E-2</v>
      </c>
      <c r="AE64" s="6" t="str">
        <f>IFERROR((('raw-PriceList'!#REF!/'raw-PriceList'!#REF!)-1)-Table14[[#This Row],[RF]],"")</f>
        <v/>
      </c>
      <c r="AF64" s="6">
        <f>IFERROR((('raw-PriceList'!U63/'raw-PriceList'!U64)-1)-Table14[[#This Row],[RF]],"")</f>
        <v>-1.1016056828021523E-2</v>
      </c>
      <c r="AG64" s="6">
        <f>IFERROR((('raw-PriceList'!V63/'raw-PriceList'!V64)-1)-Table14[[#This Row],[RF]],"")</f>
        <v>-7.3863445468545272E-2</v>
      </c>
      <c r="AH64" s="6">
        <f>IFERROR((('raw-PriceList'!W63/'raw-PriceList'!W64)-1)-Table14[[#This Row],[RF]],"")</f>
        <v>3.3745090851716744E-2</v>
      </c>
      <c r="AI64" s="6">
        <f>IFERROR((('raw-PriceList'!X63/'raw-PriceList'!X64)-1)-Table14[[#This Row],[RF]],"")</f>
        <v>-2.6957055562901941E-2</v>
      </c>
      <c r="AJ64" s="6" t="str">
        <f>IFERROR((('raw-PriceList'!#REF!/'raw-PriceList'!#REF!)-1)-Table14[[#This Row],[RF]],"")</f>
        <v/>
      </c>
      <c r="AK64" s="6" t="str">
        <f>IFERROR((('raw-PriceList'!#REF!/'raw-PriceList'!#REF!)-1)-Table14[[#This Row],[RF]],"")</f>
        <v/>
      </c>
      <c r="AL64" s="6">
        <f>IFERROR((('raw-PriceList'!Y63/'raw-PriceList'!Y64)-1)-Table14[[#This Row],[RF]],"")</f>
        <v>-7.8250526270462237E-2</v>
      </c>
      <c r="AM64" s="6" t="str">
        <f>IFERROR((('raw-PriceList'!#REF!/'raw-PriceList'!Z2)-1)-Table14[[#This Row],[RF]],"")</f>
        <v/>
      </c>
      <c r="AN64" s="6" t="str">
        <f>IFERROR((('raw-PriceList'!#REF!/'raw-PriceList'!#REF!)-1)-Table14[[#This Row],[RF]],"")</f>
        <v/>
      </c>
      <c r="AO64" s="6">
        <f>IFERROR((('raw-PriceList'!AA63/'raw-PriceList'!AA64)-1)-Table14[[#This Row],[RF]],"")</f>
        <v>-1.0969470914256693E-2</v>
      </c>
      <c r="AP64" s="6" t="str">
        <f>IFERROR((('raw-PriceList'!#REF!/'raw-PriceList'!#REF!)-1)-Table14[[#This Row],[RF]],"")</f>
        <v/>
      </c>
      <c r="AQ64" s="6">
        <f>IFERROR((('raw-PriceList'!AB63/'raw-PriceList'!AB64)-1)-Table14[[#This Row],[RF]],"")</f>
        <v>-8.1379109790193457E-2</v>
      </c>
      <c r="AR64" s="6">
        <f>IFERROR((('raw-PriceList'!AC63/'raw-PriceList'!AC64)-1)-Table14[[#This Row],[RF]],"")</f>
        <v>-5.3883263553642799E-2</v>
      </c>
      <c r="AS64" s="6" t="str">
        <f>IFERROR((('raw-PriceList'!#REF!/'raw-PriceList'!#REF!)-1)-Table14[[#This Row],[RF]],"")</f>
        <v/>
      </c>
      <c r="AT64" s="6" t="str">
        <f>IFERROR((('raw-PriceList'!#REF!/'raw-PriceList'!#REF!)-1)-Table14[[#This Row],[RF]],"")</f>
        <v/>
      </c>
      <c r="AU64" s="6" t="str">
        <f>IFERROR((('raw-PriceList'!#REF!/'raw-PriceList'!#REF!)-1)-Table14[[#This Row],[RF]],"")</f>
        <v/>
      </c>
      <c r="AV64" s="6">
        <f>IFERROR((('raw-PriceList'!AD63/'raw-PriceList'!AD64)-1)-Table14[[#This Row],[RF]],"")</f>
        <v>-6.3370956230556538E-2</v>
      </c>
      <c r="AW64" s="6">
        <f>IFERROR((('raw-PriceList'!AE63/'raw-PriceList'!AE64)-1)-Table14[[#This Row],[RF]],"")</f>
        <v>-6.3370956230556538E-2</v>
      </c>
      <c r="AX64" s="6">
        <f>IFERROR((('raw-PriceList'!AF63/'raw-PriceList'!AF64)-1)-Table14[[#This Row],[RF]],"")</f>
        <v>-4.9280805208991016E-2</v>
      </c>
      <c r="AY64" s="6">
        <f>IFERROR((('raw-PriceList'!AG63/'raw-PriceList'!AG64)-1)-Table14[[#This Row],[RF]],"")</f>
        <v>-5.6071640123857777E-2</v>
      </c>
      <c r="AZ64" s="6">
        <f>IFERROR((('raw-PriceList'!AH63/'raw-PriceList'!AH64)-1)-Table14[[#This Row],[RF]],"")</f>
        <v>-9.6317810476174923E-2</v>
      </c>
      <c r="BA64" s="6" t="str">
        <f>IFERROR((('raw-PriceList'!#REF!/'raw-PriceList'!#REF!)-1)-Table14[[#This Row],[RF]],"")</f>
        <v/>
      </c>
      <c r="BB64" s="6" t="str">
        <f>IFERROR((('raw-PriceList'!AI63/'raw-PriceList'!AI64)-1)-Table14[[#This Row],[RF]],"")</f>
        <v/>
      </c>
    </row>
    <row r="65" spans="1:54" x14ac:dyDescent="0.2">
      <c r="A65" s="5">
        <v>41547</v>
      </c>
      <c r="B65" s="9">
        <v>1</v>
      </c>
      <c r="C65" s="4">
        <v>3.1200000000000002E-2</v>
      </c>
      <c r="D65" s="4">
        <v>3.1200000000000002E-2</v>
      </c>
      <c r="E65" s="4">
        <v>3.1200000000000002E-2</v>
      </c>
      <c r="F65" s="4">
        <v>3.1200000000000002E-2</v>
      </c>
      <c r="G65" s="4">
        <v>3.1200000000000002E-2</v>
      </c>
      <c r="H65" s="6">
        <f>IFERROR((('raw-PriceList'!B64/'raw-PriceList'!B65)-1)-Table14[[#This Row],[RF]],"")</f>
        <v>-5.7805448839387208E-2</v>
      </c>
      <c r="I65" s="6">
        <f>IFERROR((('raw-PriceList'!C64/'raw-PriceList'!C65)-1)-Table14[[#This Row],[RF]],"")</f>
        <v>-4.8985426802847898E-2</v>
      </c>
      <c r="J65" s="6">
        <f>IFERROR((('raw-PriceList'!D64/'raw-PriceList'!D65)-1)-Table14[[#This Row],[RF]],"")</f>
        <v>-4.4825636874528452E-2</v>
      </c>
      <c r="K65" s="6" t="str">
        <f>IFERROR((('raw-PriceList'!E64/'raw-PriceList'!E65)-1)-Table14[[#This Row],[RF]],"")</f>
        <v/>
      </c>
      <c r="L65" s="6">
        <f>IFERROR((('raw-PriceList'!F35/'raw-PriceList'!F36)-1)-Table14[[#This Row],[RF]],"")</f>
        <v>-2.459710366933698E-2</v>
      </c>
      <c r="M65" s="6">
        <f>IFERROR((('raw-PriceList'!G64/'raw-PriceList'!G65)-1)-Table14[[#This Row],[RF]],"")</f>
        <v>-4.0690315756499063E-2</v>
      </c>
      <c r="N65" s="6">
        <f>IFERROR((('raw-PriceList'!H64/'raw-PriceList'!H65)-1)-Table14[[#This Row],[RF]],"")</f>
        <v>-7.5217506506356502E-2</v>
      </c>
      <c r="O65" s="6" t="str">
        <f>IFERROR((('raw-PriceList'!I64/'raw-PriceList'!I65)-1)-Table14[[#This Row],[RF]],"")</f>
        <v/>
      </c>
      <c r="P65" s="6">
        <f>IFERROR((('raw-PriceList'!J64/'raw-PriceList'!J65)-1)-Table14[[#This Row],[RF]],"")</f>
        <v>-1.0976625738678632E-2</v>
      </c>
      <c r="Q65" s="6">
        <f>IFERROR((('raw-PriceList'!K64/'raw-PriceList'!K65)-1)-Table14[[#This Row],[RF]],"")</f>
        <v>-1.9451661694273002E-3</v>
      </c>
      <c r="R65" s="6">
        <f>IFERROR((('raw-PriceList'!L64/'raw-PriceList'!L65)-1)-Table14[[#This Row],[RF]],"")</f>
        <v>-1.7782198679332391E-2</v>
      </c>
      <c r="S65" s="6" t="str">
        <f>IFERROR((('raw-PriceList'!#REF!/'raw-PriceList'!#REF!)-1)-Table14[[#This Row],[RF]],"")</f>
        <v/>
      </c>
      <c r="T65" s="6">
        <f>IFERROR((('raw-PriceList'!M64/'raw-PriceList'!M65)-1)-Table14[[#This Row],[RF]],"")</f>
        <v>-1.8935163191293621E-2</v>
      </c>
      <c r="U65" s="6">
        <f>IFERROR((('raw-PriceList'!N64/'raw-PriceList'!N65)-1)-Table14[[#This Row],[RF]],"")</f>
        <v>-1.2831784918612917E-2</v>
      </c>
      <c r="V65" s="6">
        <f>IFERROR((('raw-PriceList'!O64/'raw-PriceList'!O65)-1)-Table14[[#This Row],[RF]],"")</f>
        <v>-2.2505558525251709E-2</v>
      </c>
      <c r="W65" s="6">
        <f>IFERROR((('raw-PriceList'!P64/'raw-PriceList'!P65)-1)-Table14[[#This Row],[RF]],"")</f>
        <v>-4.5733565667014586E-2</v>
      </c>
      <c r="X65" s="6">
        <f>IFERROR((('raw-PriceList'!Q64/'raw-PriceList'!Q65)-1)-Table14[[#This Row],[RF]],"")</f>
        <v>-2.6659317718731642E-2</v>
      </c>
      <c r="Y65" s="6" t="str">
        <f>IFERROR((('raw-PriceList'!#REF!/'raw-PriceList'!#REF!)-1)-Table14[[#This Row],[RF]],"")</f>
        <v/>
      </c>
      <c r="Z65" s="6">
        <f>IFERROR((('raw-PriceList'!R64/'raw-PriceList'!R65)-1)-Table14[[#This Row],[RF]],"")</f>
        <v>-3.6269672613105541E-2</v>
      </c>
      <c r="AA65" s="6" t="str">
        <f>IFERROR((('raw-PriceList'!#REF!/'raw-PriceList'!#REF!)-1)-Table14[[#This Row],[RF]],"")</f>
        <v/>
      </c>
      <c r="AB65" s="6" t="str">
        <f>IFERROR((('raw-PriceList'!#REF!/'raw-PriceList'!#REF!)-1)-Table14[[#This Row],[RF]],"")</f>
        <v/>
      </c>
      <c r="AC65" s="6">
        <f>IFERROR((('raw-PriceList'!S64/'raw-PriceList'!S65)-1)-Table14[[#This Row],[RF]],"")</f>
        <v>-1.7587420803651384E-2</v>
      </c>
      <c r="AD65" s="6">
        <f>IFERROR((('raw-PriceList'!T64/'raw-PriceList'!T65)-1)-Table14[[#This Row],[RF]],"")</f>
        <v>-2.4486791277134819E-2</v>
      </c>
      <c r="AE65" s="6" t="str">
        <f>IFERROR((('raw-PriceList'!#REF!/'raw-PriceList'!#REF!)-1)-Table14[[#This Row],[RF]],"")</f>
        <v/>
      </c>
      <c r="AF65" s="6">
        <f>IFERROR((('raw-PriceList'!U64/'raw-PriceList'!U65)-1)-Table14[[#This Row],[RF]],"")</f>
        <v>-4.9687487656570828E-2</v>
      </c>
      <c r="AG65" s="6">
        <f>IFERROR((('raw-PriceList'!V64/'raw-PriceList'!V65)-1)-Table14[[#This Row],[RF]],"")</f>
        <v>-6.135946081217921E-3</v>
      </c>
      <c r="AH65" s="6">
        <f>IFERROR((('raw-PriceList'!W64/'raw-PriceList'!W65)-1)-Table14[[#This Row],[RF]],"")</f>
        <v>-5.3585350636069951E-2</v>
      </c>
      <c r="AI65" s="6">
        <f>IFERROR((('raw-PriceList'!X64/'raw-PriceList'!X65)-1)-Table14[[#This Row],[RF]],"")</f>
        <v>-3.226853998090351E-2</v>
      </c>
      <c r="AJ65" s="6" t="str">
        <f>IFERROR((('raw-PriceList'!#REF!/'raw-PriceList'!#REF!)-1)-Table14[[#This Row],[RF]],"")</f>
        <v/>
      </c>
      <c r="AK65" s="6" t="str">
        <f>IFERROR((('raw-PriceList'!#REF!/'raw-PriceList'!#REF!)-1)-Table14[[#This Row],[RF]],"")</f>
        <v/>
      </c>
      <c r="AL65" s="6">
        <f>IFERROR((('raw-PriceList'!Y64/'raw-PriceList'!Y65)-1)-Table14[[#This Row],[RF]],"")</f>
        <v>-1.6992570696460981E-2</v>
      </c>
      <c r="AM65" s="6">
        <f>IFERROR((('raw-PriceList'!Z2/'raw-PriceList'!Z3)-1)-Table14[[#This Row],[RF]],"")</f>
        <v>-1.0563255548443725E-2</v>
      </c>
      <c r="AN65" s="6" t="str">
        <f>IFERROR((('raw-PriceList'!#REF!/'raw-PriceList'!#REF!)-1)-Table14[[#This Row],[RF]],"")</f>
        <v/>
      </c>
      <c r="AO65" s="6">
        <f>IFERROR((('raw-PriceList'!AA64/'raw-PriceList'!AA65)-1)-Table14[[#This Row],[RF]],"")</f>
        <v>-3.7488399410340878E-2</v>
      </c>
      <c r="AP65" s="6" t="str">
        <f>IFERROR((('raw-PriceList'!#REF!/'raw-PriceList'!#REF!)-1)-Table14[[#This Row],[RF]],"")</f>
        <v/>
      </c>
      <c r="AQ65" s="6">
        <f>IFERROR((('raw-PriceList'!AB64/'raw-PriceList'!AB65)-1)-Table14[[#This Row],[RF]],"")</f>
        <v>-6.3487435675313453E-2</v>
      </c>
      <c r="AR65" s="6">
        <f>IFERROR((('raw-PriceList'!AC64/'raw-PriceList'!AC65)-1)-Table14[[#This Row],[RF]],"")</f>
        <v>-1.837368966148489E-2</v>
      </c>
      <c r="AS65" s="6" t="str">
        <f>IFERROR((('raw-PriceList'!#REF!/'raw-PriceList'!#REF!)-1)-Table14[[#This Row],[RF]],"")</f>
        <v/>
      </c>
      <c r="AT65" s="6" t="str">
        <f>IFERROR((('raw-PriceList'!#REF!/'raw-PriceList'!#REF!)-1)-Table14[[#This Row],[RF]],"")</f>
        <v/>
      </c>
      <c r="AU65" s="6" t="str">
        <f>IFERROR((('raw-PriceList'!#REF!/'raw-PriceList'!#REF!)-1)-Table14[[#This Row],[RF]],"")</f>
        <v/>
      </c>
      <c r="AV65" s="6">
        <f>IFERROR((('raw-PriceList'!AD64/'raw-PriceList'!AD65)-1)-Table14[[#This Row],[RF]],"")</f>
        <v>-1.0256477668976745E-2</v>
      </c>
      <c r="AW65" s="6">
        <f>IFERROR((('raw-PriceList'!AE64/'raw-PriceList'!AE65)-1)-Table14[[#This Row],[RF]],"")</f>
        <v>-1.0256477668976745E-2</v>
      </c>
      <c r="AX65" s="6">
        <f>IFERROR((('raw-PriceList'!AF64/'raw-PriceList'!AF65)-1)-Table14[[#This Row],[RF]],"")</f>
        <v>-5.7663216176494468E-3</v>
      </c>
      <c r="AY65" s="6">
        <f>IFERROR((('raw-PriceList'!AG64/'raw-PriceList'!AG65)-1)-Table14[[#This Row],[RF]],"")</f>
        <v>-4.7541853112151422E-2</v>
      </c>
      <c r="AZ65" s="6">
        <f>IFERROR((('raw-PriceList'!AH64/'raw-PriceList'!AH65)-1)-Table14[[#This Row],[RF]],"")</f>
        <v>-3.8150262789397149E-2</v>
      </c>
      <c r="BA65" s="6" t="str">
        <f>IFERROR((('raw-PriceList'!#REF!/'raw-PriceList'!#REF!)-1)-Table14[[#This Row],[RF]],"")</f>
        <v/>
      </c>
      <c r="BB65" s="6" t="str">
        <f>IFERROR((('raw-PriceList'!AI64/'raw-PriceList'!AI65)-1)-Table14[[#This Row],[RF]],"")</f>
        <v/>
      </c>
    </row>
    <row r="66" spans="1:54" x14ac:dyDescent="0.2">
      <c r="A66" s="5">
        <v>41517</v>
      </c>
      <c r="B66" s="9">
        <v>1</v>
      </c>
      <c r="C66" s="4">
        <v>4.1799999999999997E-2</v>
      </c>
      <c r="D66" s="4">
        <v>4.1799999999999997E-2</v>
      </c>
      <c r="E66" s="4">
        <v>4.1799999999999997E-2</v>
      </c>
      <c r="F66" s="4">
        <v>4.1799999999999997E-2</v>
      </c>
      <c r="G66" s="4">
        <v>4.1799999999999997E-2</v>
      </c>
      <c r="H66" s="6">
        <f>IFERROR((('raw-PriceList'!B65/'raw-PriceList'!B66)-1)-Table14[[#This Row],[RF]],"")</f>
        <v>-5.2197746064367383E-2</v>
      </c>
      <c r="I66" s="6">
        <f>IFERROR((('raw-PriceList'!C65/'raw-PriceList'!C66)-1)-Table14[[#This Row],[RF]],"")</f>
        <v>-6.6930354294664263E-2</v>
      </c>
      <c r="J66" s="6">
        <f>IFERROR((('raw-PriceList'!D65/'raw-PriceList'!D66)-1)-Table14[[#This Row],[RF]],"")</f>
        <v>-4.921586683118389E-2</v>
      </c>
      <c r="K66" s="6" t="str">
        <f>IFERROR((('raw-PriceList'!E65/'raw-PriceList'!E66)-1)-Table14[[#This Row],[RF]],"")</f>
        <v/>
      </c>
      <c r="L66" s="6">
        <f>IFERROR((('raw-PriceList'!F36/'raw-PriceList'!F37)-1)-Table14[[#This Row],[RF]],"")</f>
        <v>-4.5482575048624345E-2</v>
      </c>
      <c r="M66" s="6">
        <f>IFERROR((('raw-PriceList'!G65/'raw-PriceList'!G66)-1)-Table14[[#This Row],[RF]],"")</f>
        <v>-4.1635041273763988E-2</v>
      </c>
      <c r="N66" s="6">
        <f>IFERROR((('raw-PriceList'!H65/'raw-PriceList'!H66)-1)-Table14[[#This Row],[RF]],"")</f>
        <v>-8.5491998991573392E-2</v>
      </c>
      <c r="O66" s="6" t="str">
        <f>IFERROR((('raw-PriceList'!I65/'raw-PriceList'!I66)-1)-Table14[[#This Row],[RF]],"")</f>
        <v/>
      </c>
      <c r="P66" s="6">
        <f>IFERROR((('raw-PriceList'!J65/'raw-PriceList'!J66)-1)-Table14[[#This Row],[RF]],"")</f>
        <v>-1.222019501124965E-2</v>
      </c>
      <c r="Q66" s="6">
        <f>IFERROR((('raw-PriceList'!K65/'raw-PriceList'!K66)-1)-Table14[[#This Row],[RF]],"")</f>
        <v>-1.6040645356764242E-2</v>
      </c>
      <c r="R66" s="6">
        <f>IFERROR((('raw-PriceList'!L65/'raw-PriceList'!L66)-1)-Table14[[#This Row],[RF]],"")</f>
        <v>-9.2331320390769897E-3</v>
      </c>
      <c r="S66" s="6" t="str">
        <f>IFERROR((('raw-PriceList'!#REF!/'raw-PriceList'!#REF!)-1)-Table14[[#This Row],[RF]],"")</f>
        <v/>
      </c>
      <c r="T66" s="6">
        <f>IFERROR((('raw-PriceList'!M65/'raw-PriceList'!M66)-1)-Table14[[#This Row],[RF]],"")</f>
        <v>-1.4732199588423693E-2</v>
      </c>
      <c r="U66" s="6">
        <f>IFERROR((('raw-PriceList'!N65/'raw-PriceList'!N66)-1)-Table14[[#This Row],[RF]],"")</f>
        <v>-1.8209126471243557E-2</v>
      </c>
      <c r="V66" s="6">
        <f>IFERROR((('raw-PriceList'!O65/'raw-PriceList'!O66)-1)-Table14[[#This Row],[RF]],"")</f>
        <v>-1.2467030639860592E-2</v>
      </c>
      <c r="W66" s="6">
        <f>IFERROR((('raw-PriceList'!P65/'raw-PriceList'!P66)-1)-Table14[[#This Row],[RF]],"")</f>
        <v>-4.5585683090247513E-2</v>
      </c>
      <c r="X66" s="6">
        <f>IFERROR((('raw-PriceList'!Q65/'raw-PriceList'!Q66)-1)-Table14[[#This Row],[RF]],"")</f>
        <v>-5.5060232952523762E-2</v>
      </c>
      <c r="Y66" s="6" t="str">
        <f>IFERROR((('raw-PriceList'!#REF!/'raw-PriceList'!#REF!)-1)-Table14[[#This Row],[RF]],"")</f>
        <v/>
      </c>
      <c r="Z66" s="6">
        <f>IFERROR((('raw-PriceList'!R65/'raw-PriceList'!R66)-1)-Table14[[#This Row],[RF]],"")</f>
        <v>-4.0557258792334787E-2</v>
      </c>
      <c r="AA66" s="6" t="str">
        <f>IFERROR((('raw-PriceList'!#REF!/'raw-PriceList'!#REF!)-1)-Table14[[#This Row],[RF]],"")</f>
        <v/>
      </c>
      <c r="AB66" s="6" t="str">
        <f>IFERROR((('raw-PriceList'!#REF!/'raw-PriceList'!#REF!)-1)-Table14[[#This Row],[RF]],"")</f>
        <v/>
      </c>
      <c r="AC66" s="6">
        <f>IFERROR((('raw-PriceList'!S65/'raw-PriceList'!S66)-1)-Table14[[#This Row],[RF]],"")</f>
        <v>-3.5212520177369803E-2</v>
      </c>
      <c r="AD66" s="6">
        <f>IFERROR((('raw-PriceList'!T65/'raw-PriceList'!T66)-1)-Table14[[#This Row],[RF]],"")</f>
        <v>-3.8411612589262116E-2</v>
      </c>
      <c r="AE66" s="6" t="str">
        <f>IFERROR((('raw-PriceList'!#REF!/'raw-PriceList'!#REF!)-1)-Table14[[#This Row],[RF]],"")</f>
        <v/>
      </c>
      <c r="AF66" s="6">
        <f>IFERROR((('raw-PriceList'!U65/'raw-PriceList'!U66)-1)-Table14[[#This Row],[RF]],"")</f>
        <v>-4.4908949441262273E-2</v>
      </c>
      <c r="AG66" s="6">
        <f>IFERROR((('raw-PriceList'!V65/'raw-PriceList'!V66)-1)-Table14[[#This Row],[RF]],"")</f>
        <v>-3.154792408275358E-2</v>
      </c>
      <c r="AH66" s="6">
        <f>IFERROR((('raw-PriceList'!W65/'raw-PriceList'!W66)-1)-Table14[[#This Row],[RF]],"")</f>
        <v>-6.8570871064002448E-2</v>
      </c>
      <c r="AI66" s="6">
        <f>IFERROR((('raw-PriceList'!X65/'raw-PriceList'!X66)-1)-Table14[[#This Row],[RF]],"")</f>
        <v>-4.1527211625183406E-2</v>
      </c>
      <c r="AJ66" s="6" t="str">
        <f>IFERROR((('raw-PriceList'!#REF!/'raw-PriceList'!#REF!)-1)-Table14[[#This Row],[RF]],"")</f>
        <v/>
      </c>
      <c r="AK66" s="6" t="str">
        <f>IFERROR((('raw-PriceList'!#REF!/'raw-PriceList'!#REF!)-1)-Table14[[#This Row],[RF]],"")</f>
        <v/>
      </c>
      <c r="AL66" s="6">
        <f>IFERROR((('raw-PriceList'!Y65/'raw-PriceList'!Y66)-1)-Table14[[#This Row],[RF]],"")</f>
        <v>-1.8658007400572156E-2</v>
      </c>
      <c r="AM66" s="6">
        <f>IFERROR((('raw-PriceList'!Z3/'raw-PriceList'!Z4)-1)-Table14[[#This Row],[RF]],"")</f>
        <v>2.660417401763266E-2</v>
      </c>
      <c r="AN66" s="6" t="str">
        <f>IFERROR((('raw-PriceList'!#REF!/'raw-PriceList'!#REF!)-1)-Table14[[#This Row],[RF]],"")</f>
        <v/>
      </c>
      <c r="AO66" s="6">
        <f>IFERROR((('raw-PriceList'!AA65/'raw-PriceList'!AA66)-1)-Table14[[#This Row],[RF]],"")</f>
        <v>-4.8913933336336694E-2</v>
      </c>
      <c r="AP66" s="6" t="str">
        <f>IFERROR((('raw-PriceList'!#REF!/'raw-PriceList'!#REF!)-1)-Table14[[#This Row],[RF]],"")</f>
        <v/>
      </c>
      <c r="AQ66" s="6">
        <f>IFERROR((('raw-PriceList'!AB65/'raw-PriceList'!AB66)-1)-Table14[[#This Row],[RF]],"")</f>
        <v>-6.8623458071212007E-2</v>
      </c>
      <c r="AR66" s="6">
        <f>IFERROR((('raw-PriceList'!AC65/'raw-PriceList'!AC66)-1)-Table14[[#This Row],[RF]],"")</f>
        <v>-1.2837002744272734E-2</v>
      </c>
      <c r="AS66" s="6" t="str">
        <f>IFERROR((('raw-PriceList'!#REF!/'raw-PriceList'!#REF!)-1)-Table14[[#This Row],[RF]],"")</f>
        <v/>
      </c>
      <c r="AT66" s="6" t="str">
        <f>IFERROR((('raw-PriceList'!#REF!/'raw-PriceList'!#REF!)-1)-Table14[[#This Row],[RF]],"")</f>
        <v/>
      </c>
      <c r="AU66" s="6" t="str">
        <f>IFERROR((('raw-PriceList'!#REF!/'raw-PriceList'!#REF!)-1)-Table14[[#This Row],[RF]],"")</f>
        <v/>
      </c>
      <c r="AV66" s="6">
        <f>IFERROR((('raw-PriceList'!AD65/'raw-PriceList'!AD66)-1)-Table14[[#This Row],[RF]],"")</f>
        <v>-1.1942982885815016E-2</v>
      </c>
      <c r="AW66" s="6">
        <f>IFERROR((('raw-PriceList'!AE65/'raw-PriceList'!AE66)-1)-Table14[[#This Row],[RF]],"")</f>
        <v>-1.1942982885815016E-2</v>
      </c>
      <c r="AX66" s="6">
        <f>IFERROR((('raw-PriceList'!AF65/'raw-PriceList'!AF66)-1)-Table14[[#This Row],[RF]],"")</f>
        <v>-3.0522299111284949E-2</v>
      </c>
      <c r="AY66" s="6">
        <f>IFERROR((('raw-PriceList'!AG65/'raw-PriceList'!AG66)-1)-Table14[[#This Row],[RF]],"")</f>
        <v>-5.868750682136397E-2</v>
      </c>
      <c r="AZ66" s="6">
        <f>IFERROR((('raw-PriceList'!AH65/'raw-PriceList'!AH66)-1)-Table14[[#This Row],[RF]],"")</f>
        <v>-4.1443482437620575E-2</v>
      </c>
      <c r="BA66" s="6" t="str">
        <f>IFERROR((('raw-PriceList'!#REF!/'raw-PriceList'!#REF!)-1)-Table14[[#This Row],[RF]],"")</f>
        <v/>
      </c>
      <c r="BB66" s="6" t="str">
        <f>IFERROR((('raw-PriceList'!AI65/'raw-PriceList'!AI66)-1)-Table14[[#This Row],[RF]],"")</f>
        <v/>
      </c>
    </row>
    <row r="67" spans="1:54" x14ac:dyDescent="0.2">
      <c r="A67" s="5">
        <v>41486</v>
      </c>
      <c r="B67" s="9">
        <v>1</v>
      </c>
      <c r="C67" s="4">
        <v>3.7699999999999997E-2</v>
      </c>
      <c r="D67" s="4">
        <v>3.7699999999999997E-2</v>
      </c>
      <c r="E67" s="4">
        <v>3.7699999999999997E-2</v>
      </c>
      <c r="F67" s="4">
        <v>3.7699999999999997E-2</v>
      </c>
      <c r="G67" s="4">
        <v>3.7699999999999997E-2</v>
      </c>
      <c r="H67" s="6">
        <f>IFERROR((('raw-PriceList'!B66/'raw-PriceList'!B67)-1)-Table14[[#This Row],[RF]],"")</f>
        <v>-2.9596819597971821E-2</v>
      </c>
      <c r="I67" s="6">
        <f>IFERROR((('raw-PriceList'!C66/'raw-PriceList'!C67)-1)-Table14[[#This Row],[RF]],"")</f>
        <v>-2.2351664268402446E-2</v>
      </c>
      <c r="J67" s="6">
        <f>IFERROR((('raw-PriceList'!D66/'raw-PriceList'!D67)-1)-Table14[[#This Row],[RF]],"")</f>
        <v>-3.344917386673589E-2</v>
      </c>
      <c r="K67" s="6" t="str">
        <f>IFERROR((('raw-PriceList'!E66/'raw-PriceList'!E67)-1)-Table14[[#This Row],[RF]],"")</f>
        <v/>
      </c>
      <c r="L67" s="6">
        <f>IFERROR((('raw-PriceList'!F37/'raw-PriceList'!F38)-1)-Table14[[#This Row],[RF]],"")</f>
        <v>-3.1262678036654432E-2</v>
      </c>
      <c r="M67" s="6">
        <f>IFERROR((('raw-PriceList'!G66/'raw-PriceList'!G67)-1)-Table14[[#This Row],[RF]],"")</f>
        <v>-3.6536624827264871E-2</v>
      </c>
      <c r="N67" s="6">
        <f>IFERROR((('raw-PriceList'!H66/'raw-PriceList'!H67)-1)-Table14[[#This Row],[RF]],"")</f>
        <v>-1.8773280804817924E-2</v>
      </c>
      <c r="O67" s="6" t="str">
        <f>IFERROR((('raw-PriceList'!I66/'raw-PriceList'!I67)-1)-Table14[[#This Row],[RF]],"")</f>
        <v/>
      </c>
      <c r="P67" s="6">
        <f>IFERROR((('raw-PriceList'!J66/'raw-PriceList'!J67)-1)-Table14[[#This Row],[RF]],"")</f>
        <v>9.3208666272220492E-3</v>
      </c>
      <c r="Q67" s="6">
        <f>IFERROR((('raw-PriceList'!K66/'raw-PriceList'!K67)-1)-Table14[[#This Row],[RF]],"")</f>
        <v>1.0893670716317486E-2</v>
      </c>
      <c r="R67" s="6">
        <f>IFERROR((('raw-PriceList'!L66/'raw-PriceList'!L67)-1)-Table14[[#This Row],[RF]],"")</f>
        <v>7.2229309917118539E-3</v>
      </c>
      <c r="S67" s="6" t="str">
        <f>IFERROR((('raw-PriceList'!#REF!/'raw-PriceList'!#REF!)-1)-Table14[[#This Row],[RF]],"")</f>
        <v/>
      </c>
      <c r="T67" s="6">
        <f>IFERROR((('raw-PriceList'!M66/'raw-PriceList'!M67)-1)-Table14[[#This Row],[RF]],"")</f>
        <v>-5.8060922572080037E-3</v>
      </c>
      <c r="U67" s="6">
        <f>IFERROR((('raw-PriceList'!N66/'raw-PriceList'!N67)-1)-Table14[[#This Row],[RF]],"")</f>
        <v>-1.2688488231783632E-2</v>
      </c>
      <c r="V67" s="6">
        <f>IFERROR((('raw-PriceList'!O66/'raw-PriceList'!O67)-1)-Table14[[#This Row],[RF]],"")</f>
        <v>1.5381386360818344E-3</v>
      </c>
      <c r="W67" s="6">
        <f>IFERROR((('raw-PriceList'!P66/'raw-PriceList'!P67)-1)-Table14[[#This Row],[RF]],"")</f>
        <v>-2.7911558457219751E-2</v>
      </c>
      <c r="X67" s="6">
        <f>IFERROR((('raw-PriceList'!Q66/'raw-PriceList'!Q67)-1)-Table14[[#This Row],[RF]],"")</f>
        <v>-1.6434104277500847E-2</v>
      </c>
      <c r="Y67" s="6" t="str">
        <f>IFERROR((('raw-PriceList'!#REF!/'raw-PriceList'!#REF!)-1)-Table14[[#This Row],[RF]],"")</f>
        <v/>
      </c>
      <c r="Z67" s="6">
        <f>IFERROR((('raw-PriceList'!R66/'raw-PriceList'!R67)-1)-Table14[[#This Row],[RF]],"")</f>
        <v>-3.1591675221637791E-2</v>
      </c>
      <c r="AA67" s="6" t="str">
        <f>IFERROR((('raw-PriceList'!#REF!/'raw-PriceList'!#REF!)-1)-Table14[[#This Row],[RF]],"")</f>
        <v/>
      </c>
      <c r="AB67" s="6" t="str">
        <f>IFERROR((('raw-PriceList'!#REF!/'raw-PriceList'!#REF!)-1)-Table14[[#This Row],[RF]],"")</f>
        <v/>
      </c>
      <c r="AC67" s="6">
        <f>IFERROR((('raw-PriceList'!S66/'raw-PriceList'!S67)-1)-Table14[[#This Row],[RF]],"")</f>
        <v>-5.6057037240843516E-3</v>
      </c>
      <c r="AD67" s="6">
        <f>IFERROR((('raw-PriceList'!T66/'raw-PriceList'!T67)-1)-Table14[[#This Row],[RF]],"")</f>
        <v>-4.2773475387922061E-3</v>
      </c>
      <c r="AE67" s="6" t="str">
        <f>IFERROR((('raw-PriceList'!#REF!/'raw-PriceList'!#REF!)-1)-Table14[[#This Row],[RF]],"")</f>
        <v/>
      </c>
      <c r="AF67" s="6">
        <f>IFERROR((('raw-PriceList'!U66/'raw-PriceList'!U67)-1)-Table14[[#This Row],[RF]],"")</f>
        <v>-3.2865152052145838E-2</v>
      </c>
      <c r="AG67" s="6">
        <f>IFERROR((('raw-PriceList'!V66/'raw-PriceList'!V67)-1)-Table14[[#This Row],[RF]],"")</f>
        <v>4.1224606874300102E-3</v>
      </c>
      <c r="AH67" s="6">
        <f>IFERROR((('raw-PriceList'!W66/'raw-PriceList'!W67)-1)-Table14[[#This Row],[RF]],"")</f>
        <v>-2.9792459425635506E-2</v>
      </c>
      <c r="AI67" s="6">
        <f>IFERROR((('raw-PriceList'!X66/'raw-PriceList'!X67)-1)-Table14[[#This Row],[RF]],"")</f>
        <v>-3.7203580852113546E-2</v>
      </c>
      <c r="AJ67" s="6" t="str">
        <f>IFERROR((('raw-PriceList'!#REF!/'raw-PriceList'!#REF!)-1)-Table14[[#This Row],[RF]],"")</f>
        <v/>
      </c>
      <c r="AK67" s="6" t="str">
        <f>IFERROR((('raw-PriceList'!#REF!/'raw-PriceList'!#REF!)-1)-Table14[[#This Row],[RF]],"")</f>
        <v/>
      </c>
      <c r="AL67" s="6">
        <f>IFERROR((('raw-PriceList'!Y66/'raw-PriceList'!Y67)-1)-Table14[[#This Row],[RF]],"")</f>
        <v>3.9827625004829753E-3</v>
      </c>
      <c r="AM67" s="6">
        <f>IFERROR((('raw-PriceList'!Z4/'raw-PriceList'!Z5)-1)-Table14[[#This Row],[RF]],"")</f>
        <v>-8.3260616612739244E-2</v>
      </c>
      <c r="AN67" s="6" t="str">
        <f>IFERROR((('raw-PriceList'!#REF!/'raw-PriceList'!#REF!)-1)-Table14[[#This Row],[RF]],"")</f>
        <v/>
      </c>
      <c r="AO67" s="6">
        <f>IFERROR((('raw-PriceList'!AA66/'raw-PriceList'!AA67)-1)-Table14[[#This Row],[RF]],"")</f>
        <v>-3.2478915861693533E-2</v>
      </c>
      <c r="AP67" s="6" t="str">
        <f>IFERROR((('raw-PriceList'!#REF!/'raw-PriceList'!#REF!)-1)-Table14[[#This Row],[RF]],"")</f>
        <v/>
      </c>
      <c r="AQ67" s="6">
        <f>IFERROR((('raw-PriceList'!AB66/'raw-PriceList'!AB67)-1)-Table14[[#This Row],[RF]],"")</f>
        <v>-1.7781209006086193E-2</v>
      </c>
      <c r="AR67" s="6">
        <f>IFERROR((('raw-PriceList'!AC66/'raw-PriceList'!AC67)-1)-Table14[[#This Row],[RF]],"")</f>
        <v>7.6936584700374039E-3</v>
      </c>
      <c r="AS67" s="6" t="str">
        <f>IFERROR((('raw-PriceList'!#REF!/'raw-PriceList'!#REF!)-1)-Table14[[#This Row],[RF]],"")</f>
        <v/>
      </c>
      <c r="AT67" s="6" t="str">
        <f>IFERROR((('raw-PriceList'!#REF!/'raw-PriceList'!#REF!)-1)-Table14[[#This Row],[RF]],"")</f>
        <v/>
      </c>
      <c r="AU67" s="6" t="str">
        <f>IFERROR((('raw-PriceList'!#REF!/'raw-PriceList'!#REF!)-1)-Table14[[#This Row],[RF]],"")</f>
        <v/>
      </c>
      <c r="AV67" s="6">
        <f>IFERROR((('raw-PriceList'!AD66/'raw-PriceList'!AD67)-1)-Table14[[#This Row],[RF]],"")</f>
        <v>1.0519690677087103</v>
      </c>
      <c r="AW67" s="6">
        <f>IFERROR((('raw-PriceList'!AE66/'raw-PriceList'!AE67)-1)-Table14[[#This Row],[RF]],"")</f>
        <v>1.0519690677087103</v>
      </c>
      <c r="AX67" s="6">
        <f>IFERROR((('raw-PriceList'!AF66/'raw-PriceList'!AF67)-1)-Table14[[#This Row],[RF]],"")</f>
        <v>-1.6336487341768333E-2</v>
      </c>
      <c r="AY67" s="6">
        <f>IFERROR((('raw-PriceList'!AG66/'raw-PriceList'!AG67)-1)-Table14[[#This Row],[RF]],"")</f>
        <v>3.3373076402610183E-2</v>
      </c>
      <c r="AZ67" s="6">
        <f>IFERROR((('raw-PriceList'!AH66/'raw-PriceList'!AH67)-1)-Table14[[#This Row],[RF]],"")</f>
        <v>-2.1741653804202496E-2</v>
      </c>
      <c r="BA67" s="6" t="str">
        <f>IFERROR((('raw-PriceList'!#REF!/'raw-PriceList'!#REF!)-1)-Table14[[#This Row],[RF]],"")</f>
        <v/>
      </c>
      <c r="BB67" s="6" t="str">
        <f>IFERROR((('raw-PriceList'!AI66/'raw-PriceList'!AI67)-1)-Table14[[#This Row],[RF]],"")</f>
        <v/>
      </c>
    </row>
    <row r="68" spans="1:54" x14ac:dyDescent="0.2">
      <c r="A68" s="5">
        <v>41455</v>
      </c>
      <c r="B68" s="9">
        <v>1</v>
      </c>
      <c r="C68" s="4">
        <v>-2.7099999999999999E-2</v>
      </c>
      <c r="D68" s="4">
        <v>-2.7099999999999999E-2</v>
      </c>
      <c r="E68" s="4">
        <v>-2.7099999999999999E-2</v>
      </c>
      <c r="F68" s="4">
        <v>-2.7099999999999999E-2</v>
      </c>
      <c r="G68" s="4">
        <v>-2.7099999999999999E-2</v>
      </c>
      <c r="H68" s="6">
        <f>IFERROR((('raw-PriceList'!B67/'raw-PriceList'!B68)-1)-Table14[[#This Row],[RF]],"")</f>
        <v>3.9021389291161154E-2</v>
      </c>
      <c r="I68" s="6">
        <f>IFERROR((('raw-PriceList'!C67/'raw-PriceList'!C68)-1)-Table14[[#This Row],[RF]],"")</f>
        <v>2.9102349894746346E-2</v>
      </c>
      <c r="J68" s="6">
        <f>IFERROR((('raw-PriceList'!D67/'raw-PriceList'!D68)-1)-Table14[[#This Row],[RF]],"")</f>
        <v>3.6133063600665247E-2</v>
      </c>
      <c r="K68" s="6" t="str">
        <f>IFERROR((('raw-PriceList'!E67/'raw-PriceList'!E68)-1)-Table14[[#This Row],[RF]],"")</f>
        <v/>
      </c>
      <c r="L68" s="6">
        <f>IFERROR((('raw-PriceList'!F38/'raw-PriceList'!F39)-1)-Table14[[#This Row],[RF]],"")</f>
        <v>3.8759555974717239E-2</v>
      </c>
      <c r="M68" s="6">
        <f>IFERROR((('raw-PriceList'!G67/'raw-PriceList'!G68)-1)-Table14[[#This Row],[RF]],"")</f>
        <v>3.1218859990655642E-2</v>
      </c>
      <c r="N68" s="6">
        <f>IFERROR((('raw-PriceList'!H67/'raw-PriceList'!H68)-1)-Table14[[#This Row],[RF]],"")</f>
        <v>1.6792143461934014E-2</v>
      </c>
      <c r="O68" s="6" t="str">
        <f>IFERROR((('raw-PriceList'!I67/'raw-PriceList'!I68)-1)-Table14[[#This Row],[RF]],"")</f>
        <v/>
      </c>
      <c r="P68" s="6">
        <f>IFERROR((('raw-PriceList'!J67/'raw-PriceList'!J68)-1)-Table14[[#This Row],[RF]],"")</f>
        <v>5.3731975137936247E-2</v>
      </c>
      <c r="Q68" s="6">
        <f>IFERROR((('raw-PriceList'!K67/'raw-PriceList'!K68)-1)-Table14[[#This Row],[RF]],"")</f>
        <v>7.1742000917486157E-2</v>
      </c>
      <c r="R68" s="6">
        <f>IFERROR((('raw-PriceList'!L67/'raw-PriceList'!L68)-1)-Table14[[#This Row],[RF]],"")</f>
        <v>4.014093753309976E-2</v>
      </c>
      <c r="S68" s="6" t="str">
        <f>IFERROR((('raw-PriceList'!#REF!/'raw-PriceList'!#REF!)-1)-Table14[[#This Row],[RF]],"")</f>
        <v/>
      </c>
      <c r="T68" s="6">
        <f>IFERROR((('raw-PriceList'!M67/'raw-PriceList'!M68)-1)-Table14[[#This Row],[RF]],"")</f>
        <v>8.5549098039620838E-2</v>
      </c>
      <c r="U68" s="6">
        <f>IFERROR((('raw-PriceList'!N67/'raw-PriceList'!N68)-1)-Table14[[#This Row],[RF]],"")</f>
        <v>8.8626425212158119E-2</v>
      </c>
      <c r="V68" s="6">
        <f>IFERROR((('raw-PriceList'!O67/'raw-PriceList'!O68)-1)-Table14[[#This Row],[RF]],"")</f>
        <v>8.0053389955104234E-2</v>
      </c>
      <c r="W68" s="6">
        <f>IFERROR((('raw-PriceList'!P67/'raw-PriceList'!P68)-1)-Table14[[#This Row],[RF]],"")</f>
        <v>3.6066564062868442E-2</v>
      </c>
      <c r="X68" s="6">
        <f>IFERROR((('raw-PriceList'!Q67/'raw-PriceList'!Q68)-1)-Table14[[#This Row],[RF]],"")</f>
        <v>2.4483678563025565E-2</v>
      </c>
      <c r="Y68" s="6" t="str">
        <f>IFERROR((('raw-PriceList'!#REF!/'raw-PriceList'!#REF!)-1)-Table14[[#This Row],[RF]],"")</f>
        <v/>
      </c>
      <c r="Z68" s="6">
        <f>IFERROR((('raw-PriceList'!R67/'raw-PriceList'!R68)-1)-Table14[[#This Row],[RF]],"")</f>
        <v>3.089245994651578E-2</v>
      </c>
      <c r="AA68" s="6" t="str">
        <f>IFERROR((('raw-PriceList'!#REF!/'raw-PriceList'!#REF!)-1)-Table14[[#This Row],[RF]],"")</f>
        <v/>
      </c>
      <c r="AB68" s="6" t="str">
        <f>IFERROR((('raw-PriceList'!#REF!/'raw-PriceList'!#REF!)-1)-Table14[[#This Row],[RF]],"")</f>
        <v/>
      </c>
      <c r="AC68" s="6">
        <f>IFERROR((('raw-PriceList'!S67/'raw-PriceList'!S68)-1)-Table14[[#This Row],[RF]],"")</f>
        <v>0.10112480790036447</v>
      </c>
      <c r="AD68" s="6">
        <f>IFERROR((('raw-PriceList'!T67/'raw-PriceList'!T68)-1)-Table14[[#This Row],[RF]],"")</f>
        <v>9.7997846052683232E-2</v>
      </c>
      <c r="AE68" s="6" t="str">
        <f>IFERROR((('raw-PriceList'!#REF!/'raw-PriceList'!#REF!)-1)-Table14[[#This Row],[RF]],"")</f>
        <v/>
      </c>
      <c r="AF68" s="6">
        <f>IFERROR((('raw-PriceList'!U67/'raw-PriceList'!U68)-1)-Table14[[#This Row],[RF]],"")</f>
        <v>3.7630646764306705E-2</v>
      </c>
      <c r="AG68" s="6">
        <f>IFERROR((('raw-PriceList'!V67/'raw-PriceList'!V68)-1)-Table14[[#This Row],[RF]],"")</f>
        <v>9.4879003810279014E-2</v>
      </c>
      <c r="AH68" s="6">
        <f>IFERROR((('raw-PriceList'!W67/'raw-PriceList'!W68)-1)-Table14[[#This Row],[RF]],"")</f>
        <v>2.5463050926091454E-2</v>
      </c>
      <c r="AI68" s="6">
        <f>IFERROR((('raw-PriceList'!X67/'raw-PriceList'!X68)-1)-Table14[[#This Row],[RF]],"")</f>
        <v>2.9006375837545936E-2</v>
      </c>
      <c r="AJ68" s="6" t="str">
        <f>IFERROR((('raw-PriceList'!#REF!/'raw-PriceList'!#REF!)-1)-Table14[[#This Row],[RF]],"")</f>
        <v/>
      </c>
      <c r="AK68" s="6" t="str">
        <f>IFERROR((('raw-PriceList'!#REF!/'raw-PriceList'!#REF!)-1)-Table14[[#This Row],[RF]],"")</f>
        <v/>
      </c>
      <c r="AL68" s="6">
        <f>IFERROR((('raw-PriceList'!Y67/'raw-PriceList'!Y68)-1)-Table14[[#This Row],[RF]],"")</f>
        <v>6.1537197892104753E-2</v>
      </c>
      <c r="AM68" s="6">
        <f>IFERROR((('raw-PriceList'!Z5/'raw-PriceList'!Z6)-1)-Table14[[#This Row],[RF]],"")</f>
        <v>5.5913742221849513E-2</v>
      </c>
      <c r="AN68" s="6" t="str">
        <f>IFERROR((('raw-PriceList'!#REF!/'raw-PriceList'!#REF!)-1)-Table14[[#This Row],[RF]],"")</f>
        <v/>
      </c>
      <c r="AO68" s="6">
        <f>IFERROR((('raw-PriceList'!AA67/'raw-PriceList'!AA68)-1)-Table14[[#This Row],[RF]],"")</f>
        <v>3.8838892669863165E-2</v>
      </c>
      <c r="AP68" s="6" t="str">
        <f>IFERROR((('raw-PriceList'!#REF!/'raw-PriceList'!#REF!)-1)-Table14[[#This Row],[RF]],"")</f>
        <v/>
      </c>
      <c r="AQ68" s="6">
        <f>IFERROR((('raw-PriceList'!AB67/'raw-PriceList'!AB68)-1)-Table14[[#This Row],[RF]],"")</f>
        <v>0.10752554666719481</v>
      </c>
      <c r="AR68" s="6">
        <f>IFERROR((('raw-PriceList'!AC67/'raw-PriceList'!AC68)-1)-Table14[[#This Row],[RF]],"")</f>
        <v>6.7006893004918675E-2</v>
      </c>
      <c r="AS68" s="6" t="str">
        <f>IFERROR((('raw-PriceList'!#REF!/'raw-PriceList'!#REF!)-1)-Table14[[#This Row],[RF]],"")</f>
        <v/>
      </c>
      <c r="AT68" s="6" t="str">
        <f>IFERROR((('raw-PriceList'!#REF!/'raw-PriceList'!#REF!)-1)-Table14[[#This Row],[RF]],"")</f>
        <v/>
      </c>
      <c r="AU68" s="6" t="str">
        <f>IFERROR((('raw-PriceList'!#REF!/'raw-PriceList'!#REF!)-1)-Table14[[#This Row],[RF]],"")</f>
        <v/>
      </c>
      <c r="AV68" s="6">
        <f>IFERROR((('raw-PriceList'!AD67/'raw-PriceList'!AD68)-1)-Table14[[#This Row],[RF]],"")</f>
        <v>5.5753450952830227E-2</v>
      </c>
      <c r="AW68" s="6">
        <f>IFERROR((('raw-PriceList'!AE67/'raw-PriceList'!AE68)-1)-Table14[[#This Row],[RF]],"")</f>
        <v>5.5753450952830227E-2</v>
      </c>
      <c r="AX68" s="6">
        <f>IFERROR((('raw-PriceList'!AF67/'raw-PriceList'!AF68)-1)-Table14[[#This Row],[RF]],"")</f>
        <v>7.9200020027119553E-2</v>
      </c>
      <c r="AY68" s="6">
        <f>IFERROR((('raw-PriceList'!AG67/'raw-PriceList'!AG68)-1)-Table14[[#This Row],[RF]],"")</f>
        <v>5.6666949403265318E-2</v>
      </c>
      <c r="AZ68" s="6">
        <f>IFERROR((('raw-PriceList'!AH67/'raw-PriceList'!AH68)-1)-Table14[[#This Row],[RF]],"")</f>
        <v>0.11113051339199674</v>
      </c>
      <c r="BA68" s="6" t="str">
        <f>IFERROR((('raw-PriceList'!#REF!/'raw-PriceList'!#REF!)-1)-Table14[[#This Row],[RF]],"")</f>
        <v/>
      </c>
      <c r="BB68" s="6" t="str">
        <f>IFERROR((('raw-PriceList'!AI67/'raw-PriceList'!AI68)-1)-Table14[[#This Row],[RF]],"")</f>
        <v/>
      </c>
    </row>
    <row r="69" spans="1:54" x14ac:dyDescent="0.2">
      <c r="A69" s="5">
        <v>41425</v>
      </c>
      <c r="B69" s="9">
        <v>1</v>
      </c>
      <c r="C69" s="4">
        <v>5.6500000000000002E-2</v>
      </c>
      <c r="D69" s="4">
        <v>5.6500000000000002E-2</v>
      </c>
      <c r="E69" s="4">
        <v>5.6500000000000002E-2</v>
      </c>
      <c r="F69" s="4">
        <v>5.6500000000000002E-2</v>
      </c>
      <c r="G69" s="4">
        <v>5.6500000000000002E-2</v>
      </c>
      <c r="H69" s="6">
        <f>IFERROR((('raw-PriceList'!B68/'raw-PriceList'!B69)-1)-Table14[[#This Row],[RF]],"")</f>
        <v>-6.2839131524997427E-2</v>
      </c>
      <c r="I69" s="6">
        <f>IFERROR((('raw-PriceList'!C68/'raw-PriceList'!C69)-1)-Table14[[#This Row],[RF]],"")</f>
        <v>-6.2345024707235804E-2</v>
      </c>
      <c r="J69" s="6">
        <f>IFERROR((('raw-PriceList'!D68/'raw-PriceList'!D69)-1)-Table14[[#This Row],[RF]],"")</f>
        <v>-6.0623913663310776E-2</v>
      </c>
      <c r="K69" s="6" t="str">
        <f>IFERROR((('raw-PriceList'!E68/'raw-PriceList'!E69)-1)-Table14[[#This Row],[RF]],"")</f>
        <v/>
      </c>
      <c r="L69" s="6">
        <f>IFERROR((('raw-PriceList'!F39/'raw-PriceList'!F40)-1)-Table14[[#This Row],[RF]],"")</f>
        <v>-4.3556071823853244E-2</v>
      </c>
      <c r="M69" s="6">
        <f>IFERROR((('raw-PriceList'!G68/'raw-PriceList'!G69)-1)-Table14[[#This Row],[RF]],"")</f>
        <v>-5.726005106845989E-2</v>
      </c>
      <c r="N69" s="6">
        <f>IFERROR((('raw-PriceList'!H68/'raw-PriceList'!H69)-1)-Table14[[#This Row],[RF]],"")</f>
        <v>-6.7891053727654582E-2</v>
      </c>
      <c r="O69" s="6" t="str">
        <f>IFERROR((('raw-PriceList'!I68/'raw-PriceList'!I69)-1)-Table14[[#This Row],[RF]],"")</f>
        <v/>
      </c>
      <c r="P69" s="6">
        <f>IFERROR((('raw-PriceList'!J68/'raw-PriceList'!J69)-1)-Table14[[#This Row],[RF]],"")</f>
        <v>-8.6787140186365019E-2</v>
      </c>
      <c r="Q69" s="6">
        <f>IFERROR((('raw-PriceList'!K68/'raw-PriceList'!K69)-1)-Table14[[#This Row],[RF]],"")</f>
        <v>-7.2821640555055356E-2</v>
      </c>
      <c r="R69" s="6">
        <f>IFERROR((('raw-PriceList'!L68/'raw-PriceList'!L69)-1)-Table14[[#This Row],[RF]],"")</f>
        <v>-9.4291742498354592E-2</v>
      </c>
      <c r="S69" s="6" t="str">
        <f>IFERROR((('raw-PriceList'!#REF!/'raw-PriceList'!#REF!)-1)-Table14[[#This Row],[RF]],"")</f>
        <v/>
      </c>
      <c r="T69" s="6">
        <f>IFERROR((('raw-PriceList'!M68/'raw-PriceList'!M69)-1)-Table14[[#This Row],[RF]],"")</f>
        <v>-8.8859301205539309E-2</v>
      </c>
      <c r="U69" s="6">
        <f>IFERROR((('raw-PriceList'!N68/'raw-PriceList'!N69)-1)-Table14[[#This Row],[RF]],"")</f>
        <v>-7.5906295720335581E-2</v>
      </c>
      <c r="V69" s="6">
        <f>IFERROR((('raw-PriceList'!O68/'raw-PriceList'!O69)-1)-Table14[[#This Row],[RF]],"")</f>
        <v>-9.8197598732414293E-2</v>
      </c>
      <c r="W69" s="6">
        <f>IFERROR((('raw-PriceList'!P68/'raw-PriceList'!P69)-1)-Table14[[#This Row],[RF]],"")</f>
        <v>-6.8810682079687435E-2</v>
      </c>
      <c r="X69" s="6">
        <f>IFERROR((('raw-PriceList'!Q68/'raw-PriceList'!Q69)-1)-Table14[[#This Row],[RF]],"")</f>
        <v>-7.1283984965154534E-2</v>
      </c>
      <c r="Y69" s="6" t="str">
        <f>IFERROR((('raw-PriceList'!#REF!/'raw-PriceList'!#REF!)-1)-Table14[[#This Row],[RF]],"")</f>
        <v/>
      </c>
      <c r="Z69" s="6">
        <f>IFERROR((('raw-PriceList'!R68/'raw-PriceList'!R69)-1)-Table14[[#This Row],[RF]],"")</f>
        <v>-5.9568532014988025E-2</v>
      </c>
      <c r="AA69" s="6" t="str">
        <f>IFERROR((('raw-PriceList'!#REF!/'raw-PriceList'!#REF!)-1)-Table14[[#This Row],[RF]],"")</f>
        <v/>
      </c>
      <c r="AB69" s="6" t="str">
        <f>IFERROR((('raw-PriceList'!#REF!/'raw-PriceList'!#REF!)-1)-Table14[[#This Row],[RF]],"")</f>
        <v/>
      </c>
      <c r="AC69" s="6">
        <f>IFERROR((('raw-PriceList'!S68/'raw-PriceList'!S69)-1)-Table14[[#This Row],[RF]],"")</f>
        <v>-7.2505017705622565E-2</v>
      </c>
      <c r="AD69" s="6">
        <f>IFERROR((('raw-PriceList'!T68/'raw-PriceList'!T69)-1)-Table14[[#This Row],[RF]],"")</f>
        <v>-7.6410232470343509E-2</v>
      </c>
      <c r="AE69" s="6" t="str">
        <f>IFERROR((('raw-PriceList'!#REF!/'raw-PriceList'!#REF!)-1)-Table14[[#This Row],[RF]],"")</f>
        <v/>
      </c>
      <c r="AF69" s="6">
        <f>IFERROR((('raw-PriceList'!U68/'raw-PriceList'!U69)-1)-Table14[[#This Row],[RF]],"")</f>
        <v>-6.4530760482698457E-2</v>
      </c>
      <c r="AG69" s="6">
        <f>IFERROR((('raw-PriceList'!V68/'raw-PriceList'!V69)-1)-Table14[[#This Row],[RF]],"")</f>
        <v>-7.1121916909580141E-2</v>
      </c>
      <c r="AH69" s="6">
        <f>IFERROR((('raw-PriceList'!W68/'raw-PriceList'!W69)-1)-Table14[[#This Row],[RF]],"")</f>
        <v>-6.3992400202888877E-2</v>
      </c>
      <c r="AI69" s="6">
        <f>IFERROR((('raw-PriceList'!X68/'raw-PriceList'!X69)-1)-Table14[[#This Row],[RF]],"")</f>
        <v>-5.7754916884966596E-2</v>
      </c>
      <c r="AJ69" s="6" t="str">
        <f>IFERROR((('raw-PriceList'!#REF!/'raw-PriceList'!#REF!)-1)-Table14[[#This Row],[RF]],"")</f>
        <v/>
      </c>
      <c r="AK69" s="6" t="str">
        <f>IFERROR((('raw-PriceList'!#REF!/'raw-PriceList'!#REF!)-1)-Table14[[#This Row],[RF]],"")</f>
        <v/>
      </c>
      <c r="AL69" s="6">
        <f>IFERROR((('raw-PriceList'!Y68/'raw-PriceList'!Y69)-1)-Table14[[#This Row],[RF]],"")</f>
        <v>-9.2147984802360972E-2</v>
      </c>
      <c r="AM69" s="6">
        <f>IFERROR((('raw-PriceList'!Z6/'raw-PriceList'!Z7)-1)-Table14[[#This Row],[RF]],"")</f>
        <v>-0.14606922575488313</v>
      </c>
      <c r="AN69" s="6" t="str">
        <f>IFERROR((('raw-PriceList'!#REF!/'raw-PriceList'!#REF!)-1)-Table14[[#This Row],[RF]],"")</f>
        <v/>
      </c>
      <c r="AO69" s="6">
        <f>IFERROR((('raw-PriceList'!AA68/'raw-PriceList'!AA69)-1)-Table14[[#This Row],[RF]],"")</f>
        <v>-6.0917218125570834E-2</v>
      </c>
      <c r="AP69" s="6" t="str">
        <f>IFERROR((('raw-PriceList'!#REF!/'raw-PriceList'!#REF!)-1)-Table14[[#This Row],[RF]],"")</f>
        <v/>
      </c>
      <c r="AQ69" s="6">
        <f>IFERROR((('raw-PriceList'!AB68/'raw-PriceList'!AB69)-1)-Table14[[#This Row],[RF]],"")</f>
        <v>-8.4662993824263677E-2</v>
      </c>
      <c r="AR69" s="6">
        <f>IFERROR((('raw-PriceList'!AC68/'raw-PriceList'!AC69)-1)-Table14[[#This Row],[RF]],"")</f>
        <v>-8.5757010800353251E-2</v>
      </c>
      <c r="AS69" s="6" t="str">
        <f>IFERROR((('raw-PriceList'!#REF!/'raw-PriceList'!#REF!)-1)-Table14[[#This Row],[RF]],"")</f>
        <v/>
      </c>
      <c r="AT69" s="6" t="str">
        <f>IFERROR((('raw-PriceList'!#REF!/'raw-PriceList'!#REF!)-1)-Table14[[#This Row],[RF]],"")</f>
        <v/>
      </c>
      <c r="AU69" s="6" t="str">
        <f>IFERROR((('raw-PriceList'!#REF!/'raw-PriceList'!#REF!)-1)-Table14[[#This Row],[RF]],"")</f>
        <v/>
      </c>
      <c r="AV69" s="6">
        <f>IFERROR((('raw-PriceList'!AD68/'raw-PriceList'!AD69)-1)-Table14[[#This Row],[RF]],"")</f>
        <v>-8.7179733372879764E-2</v>
      </c>
      <c r="AW69" s="6">
        <f>IFERROR((('raw-PriceList'!AE68/'raw-PriceList'!AE69)-1)-Table14[[#This Row],[RF]],"")</f>
        <v>-8.7179733372879764E-2</v>
      </c>
      <c r="AX69" s="6">
        <f>IFERROR((('raw-PriceList'!AF68/'raw-PriceList'!AF69)-1)-Table14[[#This Row],[RF]],"")</f>
        <v>-7.7292072145181301E-2</v>
      </c>
      <c r="AY69" s="6">
        <f>IFERROR((('raw-PriceList'!AG68/'raw-PriceList'!AG69)-1)-Table14[[#This Row],[RF]],"")</f>
        <v>-0.10282613434223997</v>
      </c>
      <c r="AZ69" s="6">
        <f>IFERROR((('raw-PriceList'!AH68/'raw-PriceList'!AH69)-1)-Table14[[#This Row],[RF]],"")</f>
        <v>-7.1250308250564665E-2</v>
      </c>
      <c r="BA69" s="6" t="str">
        <f>IFERROR((('raw-PriceList'!#REF!/'raw-PriceList'!#REF!)-1)-Table14[[#This Row],[RF]],"")</f>
        <v/>
      </c>
      <c r="BB69" s="6" t="str">
        <f>IFERROR((('raw-PriceList'!AI68/'raw-PriceList'!AI69)-1)-Table14[[#This Row],[RF]],"")</f>
        <v/>
      </c>
    </row>
    <row r="70" spans="1:54" x14ac:dyDescent="0.2">
      <c r="A70" s="5">
        <v>41394</v>
      </c>
      <c r="B70" s="9">
        <v>1</v>
      </c>
      <c r="C70" s="4">
        <v>-1.2E-2</v>
      </c>
      <c r="D70" s="4">
        <v>-1.2E-2</v>
      </c>
      <c r="E70" s="4">
        <v>-1.2E-2</v>
      </c>
      <c r="F70" s="4">
        <v>-1.2E-2</v>
      </c>
      <c r="G70" s="4">
        <v>-1.2E-2</v>
      </c>
      <c r="H70" s="6">
        <f>IFERROR((('raw-PriceList'!B69/'raw-PriceList'!B70)-1)-Table14[[#This Row],[RF]],"")</f>
        <v>6.7067346232982834E-3</v>
      </c>
      <c r="I70" s="6">
        <f>IFERROR((('raw-PriceList'!C69/'raw-PriceList'!C70)-1)-Table14[[#This Row],[RF]],"")</f>
        <v>-9.3867797569453619E-3</v>
      </c>
      <c r="J70" s="6">
        <f>IFERROR((('raw-PriceList'!D69/'raw-PriceList'!D70)-1)-Table14[[#This Row],[RF]],"")</f>
        <v>7.227758478808622E-3</v>
      </c>
      <c r="K70" s="6" t="str">
        <f>IFERROR((('raw-PriceList'!E69/'raw-PriceList'!E70)-1)-Table14[[#This Row],[RF]],"")</f>
        <v/>
      </c>
      <c r="L70" s="6">
        <f>IFERROR((('raw-PriceList'!F40/'raw-PriceList'!F41)-1)-Table14[[#This Row],[RF]],"")</f>
        <v>5.957058293496343E-3</v>
      </c>
      <c r="M70" s="6">
        <f>IFERROR((('raw-PriceList'!G69/'raw-PriceList'!G70)-1)-Table14[[#This Row],[RF]],"")</f>
        <v>1.2417237254180414E-2</v>
      </c>
      <c r="N70" s="6">
        <f>IFERROR((('raw-PriceList'!H69/'raw-PriceList'!H70)-1)-Table14[[#This Row],[RF]],"")</f>
        <v>-2.4132040247672248E-2</v>
      </c>
      <c r="O70" s="6" t="str">
        <f>IFERROR((('raw-PriceList'!I69/'raw-PriceList'!I70)-1)-Table14[[#This Row],[RF]],"")</f>
        <v/>
      </c>
      <c r="P70" s="6">
        <f>IFERROR((('raw-PriceList'!J69/'raw-PriceList'!J70)-1)-Table14[[#This Row],[RF]],"")</f>
        <v>6.7566900257744353E-2</v>
      </c>
      <c r="Q70" s="6">
        <f>IFERROR((('raw-PriceList'!K69/'raw-PriceList'!K70)-1)-Table14[[#This Row],[RF]],"")</f>
        <v>6.6618023437898341E-2</v>
      </c>
      <c r="R70" s="6">
        <f>IFERROR((('raw-PriceList'!L69/'raw-PriceList'!L70)-1)-Table14[[#This Row],[RF]],"")</f>
        <v>6.4631568212902821E-2</v>
      </c>
      <c r="S70" s="6" t="str">
        <f>IFERROR((('raw-PriceList'!#REF!/'raw-PriceList'!#REF!)-1)-Table14[[#This Row],[RF]],"")</f>
        <v/>
      </c>
      <c r="T70" s="6">
        <f>IFERROR((('raw-PriceList'!M69/'raw-PriceList'!M70)-1)-Table14[[#This Row],[RF]],"")</f>
        <v>7.9873051593332564E-2</v>
      </c>
      <c r="U70" s="6">
        <f>IFERROR((('raw-PriceList'!N69/'raw-PriceList'!N70)-1)-Table14[[#This Row],[RF]],"")</f>
        <v>7.9940288463817386E-2</v>
      </c>
      <c r="V70" s="6">
        <f>IFERROR((('raw-PriceList'!O69/'raw-PriceList'!O70)-1)-Table14[[#This Row],[RF]],"")</f>
        <v>8.0464520837124173E-2</v>
      </c>
      <c r="W70" s="6">
        <f>IFERROR((('raw-PriceList'!P69/'raw-PriceList'!P70)-1)-Table14[[#This Row],[RF]],"")</f>
        <v>1.7724303528653607E-2</v>
      </c>
      <c r="X70" s="6">
        <f>IFERROR((('raw-PriceList'!Q69/'raw-PriceList'!Q70)-1)-Table14[[#This Row],[RF]],"")</f>
        <v>1.3645220810026382E-2</v>
      </c>
      <c r="Y70" s="6" t="str">
        <f>IFERROR((('raw-PriceList'!#REF!/'raw-PriceList'!#REF!)-1)-Table14[[#This Row],[RF]],"")</f>
        <v/>
      </c>
      <c r="Z70" s="6">
        <f>IFERROR((('raw-PriceList'!R69/'raw-PriceList'!R70)-1)-Table14[[#This Row],[RF]],"")</f>
        <v>1.6139703179469878E-2</v>
      </c>
      <c r="AA70" s="6" t="str">
        <f>IFERROR((('raw-PriceList'!#REF!/'raw-PriceList'!#REF!)-1)-Table14[[#This Row],[RF]],"")</f>
        <v/>
      </c>
      <c r="AB70" s="6" t="str">
        <f>IFERROR((('raw-PriceList'!#REF!/'raw-PriceList'!#REF!)-1)-Table14[[#This Row],[RF]],"")</f>
        <v/>
      </c>
      <c r="AC70" s="6">
        <f>IFERROR((('raw-PriceList'!S69/'raw-PriceList'!S70)-1)-Table14[[#This Row],[RF]],"")</f>
        <v>6.3968710069848708E-2</v>
      </c>
      <c r="AD70" s="6">
        <f>IFERROR((('raw-PriceList'!T69/'raw-PriceList'!T70)-1)-Table14[[#This Row],[RF]],"")</f>
        <v>5.9052888112889099E-2</v>
      </c>
      <c r="AE70" s="6" t="str">
        <f>IFERROR((('raw-PriceList'!#REF!/'raw-PriceList'!#REF!)-1)-Table14[[#This Row],[RF]],"")</f>
        <v/>
      </c>
      <c r="AF70" s="6">
        <f>IFERROR((('raw-PriceList'!U69/'raw-PriceList'!U70)-1)-Table14[[#This Row],[RF]],"")</f>
        <v>1.0447585753920897E-2</v>
      </c>
      <c r="AG70" s="6">
        <f>IFERROR((('raw-PriceList'!V69/'raw-PriceList'!V70)-1)-Table14[[#This Row],[RF]],"")</f>
        <v>8.8181439446982188E-2</v>
      </c>
      <c r="AH70" s="6">
        <f>IFERROR((('raw-PriceList'!W69/'raw-PriceList'!W70)-1)-Table14[[#This Row],[RF]],"")</f>
        <v>-1.0909940738099932E-2</v>
      </c>
      <c r="AI70" s="6">
        <f>IFERROR((('raw-PriceList'!X69/'raw-PriceList'!X70)-1)-Table14[[#This Row],[RF]],"")</f>
        <v>1.2426922940984565E-2</v>
      </c>
      <c r="AJ70" s="6" t="str">
        <f>IFERROR((('raw-PriceList'!#REF!/'raw-PriceList'!#REF!)-1)-Table14[[#This Row],[RF]],"")</f>
        <v/>
      </c>
      <c r="AK70" s="6" t="str">
        <f>IFERROR((('raw-PriceList'!#REF!/'raw-PriceList'!#REF!)-1)-Table14[[#This Row],[RF]],"")</f>
        <v/>
      </c>
      <c r="AL70" s="6">
        <f>IFERROR((('raw-PriceList'!Y69/'raw-PriceList'!Y70)-1)-Table14[[#This Row],[RF]],"")</f>
        <v>6.6035209197544006E-2</v>
      </c>
      <c r="AM70" s="6">
        <f>IFERROR((('raw-PriceList'!Z7/'raw-PriceList'!Z8)-1)-Table14[[#This Row],[RF]],"")</f>
        <v>-4.181347382861144E-3</v>
      </c>
      <c r="AN70" s="6" t="str">
        <f>IFERROR((('raw-PriceList'!#REF!/'raw-PriceList'!#REF!)-1)-Table14[[#This Row],[RF]],"")</f>
        <v/>
      </c>
      <c r="AO70" s="6">
        <f>IFERROR((('raw-PriceList'!AA69/'raw-PriceList'!AA70)-1)-Table14[[#This Row],[RF]],"")</f>
        <v>1.1582200038707569E-2</v>
      </c>
      <c r="AP70" s="6" t="str">
        <f>IFERROR((('raw-PriceList'!#REF!/'raw-PriceList'!#REF!)-1)-Table14[[#This Row],[RF]],"")</f>
        <v/>
      </c>
      <c r="AQ70" s="6">
        <f>IFERROR((('raw-PriceList'!AB69/'raw-PriceList'!AB70)-1)-Table14[[#This Row],[RF]],"")</f>
        <v>2.4005363943330183E-2</v>
      </c>
      <c r="AR70" s="6">
        <f>IFERROR((('raw-PriceList'!AC69/'raw-PriceList'!AC70)-1)-Table14[[#This Row],[RF]],"")</f>
        <v>6.8367998233858293E-2</v>
      </c>
      <c r="AS70" s="6" t="str">
        <f>IFERROR((('raw-PriceList'!#REF!/'raw-PriceList'!#REF!)-1)-Table14[[#This Row],[RF]],"")</f>
        <v/>
      </c>
      <c r="AT70" s="6" t="str">
        <f>IFERROR((('raw-PriceList'!#REF!/'raw-PriceList'!#REF!)-1)-Table14[[#This Row],[RF]],"")</f>
        <v/>
      </c>
      <c r="AU70" s="6" t="str">
        <f>IFERROR((('raw-PriceList'!#REF!/'raw-PriceList'!#REF!)-1)-Table14[[#This Row],[RF]],"")</f>
        <v/>
      </c>
      <c r="AV70" s="6">
        <f>IFERROR((('raw-PriceList'!AD69/'raw-PriceList'!AD70)-1)-Table14[[#This Row],[RF]],"")</f>
        <v>6.4651706747778745E-2</v>
      </c>
      <c r="AW70" s="6">
        <f>IFERROR((('raw-PriceList'!AE69/'raw-PriceList'!AE70)-1)-Table14[[#This Row],[RF]],"")</f>
        <v>6.4651706747778745E-2</v>
      </c>
      <c r="AX70" s="6">
        <f>IFERROR((('raw-PriceList'!AF69/'raw-PriceList'!AF70)-1)-Table14[[#This Row],[RF]],"")</f>
        <v>7.0638758466337478E-2</v>
      </c>
      <c r="AY70" s="6">
        <f>IFERROR((('raw-PriceList'!AG69/'raw-PriceList'!AG70)-1)-Table14[[#This Row],[RF]],"")</f>
        <v>5.4476532806421826E-2</v>
      </c>
      <c r="AZ70" s="6">
        <f>IFERROR((('raw-PriceList'!AH69/'raw-PriceList'!AH70)-1)-Table14[[#This Row],[RF]],"")</f>
        <v>3.0625285422683602E-2</v>
      </c>
      <c r="BA70" s="6" t="str">
        <f>IFERROR((('raw-PriceList'!#REF!/'raw-PriceList'!#REF!)-1)-Table14[[#This Row],[RF]],"")</f>
        <v/>
      </c>
      <c r="BB70" s="6" t="str">
        <f>IFERROR((('raw-PriceList'!AI69/'raw-PriceList'!AI70)-1)-Table14[[#This Row],[RF]],"")</f>
        <v/>
      </c>
    </row>
    <row r="71" spans="1:54" x14ac:dyDescent="0.2">
      <c r="A71" s="5">
        <v>41364</v>
      </c>
      <c r="B71" s="9">
        <v>1</v>
      </c>
      <c r="C71" s="4">
        <v>2.7999999999999997E-2</v>
      </c>
      <c r="D71" s="4">
        <v>2.7999999999999997E-2</v>
      </c>
      <c r="E71" s="4">
        <v>2.7999999999999997E-2</v>
      </c>
      <c r="F71" s="4">
        <v>2.7999999999999997E-2</v>
      </c>
      <c r="G71" s="4">
        <v>2.7999999999999997E-2</v>
      </c>
      <c r="H71" s="6">
        <f>IFERROR((('raw-PriceList'!B70/'raw-PriceList'!B71)-1)-Table14[[#This Row],[RF]],"")</f>
        <v>-5.0541599640133911E-2</v>
      </c>
      <c r="I71" s="6">
        <f>IFERROR((('raw-PriceList'!C70/'raw-PriceList'!C71)-1)-Table14[[#This Row],[RF]],"")</f>
        <v>-6.0178079066291107E-2</v>
      </c>
      <c r="J71" s="6">
        <f>IFERROR((('raw-PriceList'!D70/'raw-PriceList'!D71)-1)-Table14[[#This Row],[RF]],"")</f>
        <v>-4.00236319570276E-2</v>
      </c>
      <c r="K71" s="6" t="str">
        <f>IFERROR((('raw-PriceList'!E70/'raw-PriceList'!E71)-1)-Table14[[#This Row],[RF]],"")</f>
        <v/>
      </c>
      <c r="L71" s="6">
        <f>IFERROR((('raw-PriceList'!F41/'raw-PriceList'!F42)-1)-Table14[[#This Row],[RF]],"")</f>
        <v>-2.7591783088086713E-2</v>
      </c>
      <c r="M71" s="6">
        <f>IFERROR((('raw-PriceList'!G70/'raw-PriceList'!G71)-1)-Table14[[#This Row],[RF]],"")</f>
        <v>-3.1497499436838078E-2</v>
      </c>
      <c r="N71" s="6">
        <f>IFERROR((('raw-PriceList'!H70/'raw-PriceList'!H71)-1)-Table14[[#This Row],[RF]],"")</f>
        <v>-8.1988694258258582E-2</v>
      </c>
      <c r="O71" s="6" t="str">
        <f>IFERROR((('raw-PriceList'!I70/'raw-PriceList'!I71)-1)-Table14[[#This Row],[RF]],"")</f>
        <v/>
      </c>
      <c r="P71" s="6">
        <f>IFERROR((('raw-PriceList'!J70/'raw-PriceList'!J71)-1)-Table14[[#This Row],[RF]],"")</f>
        <v>-5.0370904032673053E-2</v>
      </c>
      <c r="Q71" s="6">
        <f>IFERROR((('raw-PriceList'!K70/'raw-PriceList'!K71)-1)-Table14[[#This Row],[RF]],"")</f>
        <v>-5.5568470466354242E-2</v>
      </c>
      <c r="R71" s="6">
        <f>IFERROR((('raw-PriceList'!L70/'raw-PriceList'!L71)-1)-Table14[[#This Row],[RF]],"")</f>
        <v>-4.2381492497469114E-2</v>
      </c>
      <c r="S71" s="6" t="str">
        <f>IFERROR((('raw-PriceList'!#REF!/'raw-PriceList'!#REF!)-1)-Table14[[#This Row],[RF]],"")</f>
        <v/>
      </c>
      <c r="T71" s="6">
        <f>IFERROR((('raw-PriceList'!M70/'raw-PriceList'!M71)-1)-Table14[[#This Row],[RF]],"")</f>
        <v>-3.8587534465235412E-2</v>
      </c>
      <c r="U71" s="6">
        <f>IFERROR((('raw-PriceList'!N70/'raw-PriceList'!N71)-1)-Table14[[#This Row],[RF]],"")</f>
        <v>-3.7099027113056543E-2</v>
      </c>
      <c r="V71" s="6">
        <f>IFERROR((('raw-PriceList'!O70/'raw-PriceList'!O71)-1)-Table14[[#This Row],[RF]],"")</f>
        <v>-4.0721124897201894E-2</v>
      </c>
      <c r="W71" s="6">
        <f>IFERROR((('raw-PriceList'!P70/'raw-PriceList'!P71)-1)-Table14[[#This Row],[RF]],"")</f>
        <v>-5.7967156119961033E-2</v>
      </c>
      <c r="X71" s="6">
        <f>IFERROR((('raw-PriceList'!Q70/'raw-PriceList'!Q71)-1)-Table14[[#This Row],[RF]],"")</f>
        <v>-7.2009015000861293E-2</v>
      </c>
      <c r="Y71" s="6" t="str">
        <f>IFERROR((('raw-PriceList'!#REF!/'raw-PriceList'!#REF!)-1)-Table14[[#This Row],[RF]],"")</f>
        <v/>
      </c>
      <c r="Z71" s="6">
        <f>IFERROR((('raw-PriceList'!R70/'raw-PriceList'!R71)-1)-Table14[[#This Row],[RF]],"")</f>
        <v>-3.7145408327591251E-2</v>
      </c>
      <c r="AA71" s="6" t="str">
        <f>IFERROR((('raw-PriceList'!#REF!/'raw-PriceList'!#REF!)-1)-Table14[[#This Row],[RF]],"")</f>
        <v/>
      </c>
      <c r="AB71" s="6" t="str">
        <f>IFERROR((('raw-PriceList'!#REF!/'raw-PriceList'!#REF!)-1)-Table14[[#This Row],[RF]],"")</f>
        <v/>
      </c>
      <c r="AC71" s="6">
        <f>IFERROR((('raw-PriceList'!S70/'raw-PriceList'!S71)-1)-Table14[[#This Row],[RF]],"")</f>
        <v>-7.061171878067371E-2</v>
      </c>
      <c r="AD71" s="6">
        <f>IFERROR((('raw-PriceList'!T70/'raw-PriceList'!T71)-1)-Table14[[#This Row],[RF]],"")</f>
        <v>-7.7225144042495336E-2</v>
      </c>
      <c r="AE71" s="6" t="str">
        <f>IFERROR((('raw-PriceList'!#REF!/'raw-PriceList'!#REF!)-1)-Table14[[#This Row],[RF]],"")</f>
        <v/>
      </c>
      <c r="AF71" s="6">
        <f>IFERROR((('raw-PriceList'!U70/'raw-PriceList'!U71)-1)-Table14[[#This Row],[RF]],"")</f>
        <v>-4.2943815808328484E-2</v>
      </c>
      <c r="AG71" s="6">
        <f>IFERROR((('raw-PriceList'!V70/'raw-PriceList'!V71)-1)-Table14[[#This Row],[RF]],"")</f>
        <v>-9.0900658966330455E-2</v>
      </c>
      <c r="AH71" s="6">
        <f>IFERROR((('raw-PriceList'!W70/'raw-PriceList'!W71)-1)-Table14[[#This Row],[RF]],"")</f>
        <v>-6.2393313936185496E-2</v>
      </c>
      <c r="AI71" s="6">
        <f>IFERROR((('raw-PriceList'!X70/'raw-PriceList'!X71)-1)-Table14[[#This Row],[RF]],"")</f>
        <v>-2.8040109749480097E-2</v>
      </c>
      <c r="AJ71" s="6" t="str">
        <f>IFERROR((('raw-PriceList'!#REF!/'raw-PriceList'!#REF!)-1)-Table14[[#This Row],[RF]],"")</f>
        <v/>
      </c>
      <c r="AK71" s="6" t="str">
        <f>IFERROR((('raw-PriceList'!#REF!/'raw-PriceList'!#REF!)-1)-Table14[[#This Row],[RF]],"")</f>
        <v/>
      </c>
      <c r="AL71" s="6">
        <f>IFERROR((('raw-PriceList'!Y70/'raw-PriceList'!Y71)-1)-Table14[[#This Row],[RF]],"")</f>
        <v>-4.8213329457719362E-2</v>
      </c>
      <c r="AM71" s="6">
        <f>IFERROR((('raw-PriceList'!Z8/'raw-PriceList'!Z9)-1)-Table14[[#This Row],[RF]],"")</f>
        <v>-4.1759284282893855E-2</v>
      </c>
      <c r="AN71" s="6" t="str">
        <f>IFERROR((('raw-PriceList'!#REF!/'raw-PriceList'!#REF!)-1)-Table14[[#This Row],[RF]],"")</f>
        <v/>
      </c>
      <c r="AO71" s="6">
        <f>IFERROR((('raw-PriceList'!AA70/'raw-PriceList'!AA71)-1)-Table14[[#This Row],[RF]],"")</f>
        <v>-3.760816144269527E-2</v>
      </c>
      <c r="AP71" s="6" t="str">
        <f>IFERROR((('raw-PriceList'!#REF!/'raw-PriceList'!#REF!)-1)-Table14[[#This Row],[RF]],"")</f>
        <v/>
      </c>
      <c r="AQ71" s="6">
        <f>IFERROR((('raw-PriceList'!AB70/'raw-PriceList'!AB71)-1)-Table14[[#This Row],[RF]],"")</f>
        <v>-6.0859166175806417E-2</v>
      </c>
      <c r="AR71" s="6">
        <f>IFERROR((('raw-PriceList'!AC70/'raw-PriceList'!AC71)-1)-Table14[[#This Row],[RF]],"")</f>
        <v>-4.1484212390890812E-2</v>
      </c>
      <c r="AS71" s="6" t="str">
        <f>IFERROR((('raw-PriceList'!#REF!/'raw-PriceList'!#REF!)-1)-Table14[[#This Row],[RF]],"")</f>
        <v/>
      </c>
      <c r="AT71" s="6" t="str">
        <f>IFERROR((('raw-PriceList'!#REF!/'raw-PriceList'!#REF!)-1)-Table14[[#This Row],[RF]],"")</f>
        <v/>
      </c>
      <c r="AU71" s="6" t="str">
        <f>IFERROR((('raw-PriceList'!#REF!/'raw-PriceList'!#REF!)-1)-Table14[[#This Row],[RF]],"")</f>
        <v/>
      </c>
      <c r="AV71" s="6">
        <f>IFERROR((('raw-PriceList'!AD70/'raw-PriceList'!AD71)-1)-Table14[[#This Row],[RF]],"")</f>
        <v>-4.7966090955820134E-2</v>
      </c>
      <c r="AW71" s="6">
        <f>IFERROR((('raw-PriceList'!AE70/'raw-PriceList'!AE71)-1)-Table14[[#This Row],[RF]],"")</f>
        <v>-4.7966090955820134E-2</v>
      </c>
      <c r="AX71" s="6">
        <f>IFERROR((('raw-PriceList'!AF70/'raw-PriceList'!AF71)-1)-Table14[[#This Row],[RF]],"")</f>
        <v>-3.9423943248871524E-2</v>
      </c>
      <c r="AY71" s="6">
        <f>IFERROR((('raw-PriceList'!AG70/'raw-PriceList'!AG71)-1)-Table14[[#This Row],[RF]],"")</f>
        <v>-6.8949623947871241E-3</v>
      </c>
      <c r="AZ71" s="6">
        <f>IFERROR((('raw-PriceList'!AH70/'raw-PriceList'!AH71)-1)-Table14[[#This Row],[RF]],"")</f>
        <v>-3.9342484742781209E-2</v>
      </c>
      <c r="BA71" s="6" t="str">
        <f>IFERROR((('raw-PriceList'!#REF!/'raw-PriceList'!#REF!)-1)-Table14[[#This Row],[RF]],"")</f>
        <v/>
      </c>
      <c r="BB71" s="6" t="str">
        <f>IFERROR((('raw-PriceList'!AI70/'raw-PriceList'!AI71)-1)-Table14[[#This Row],[RF]],"")</f>
        <v/>
      </c>
    </row>
    <row r="72" spans="1:54" x14ac:dyDescent="0.2">
      <c r="A72" s="5">
        <v>41333</v>
      </c>
      <c r="B72" s="9">
        <v>1</v>
      </c>
      <c r="C72" s="4">
        <v>1.55E-2</v>
      </c>
      <c r="D72" s="4">
        <v>1.55E-2</v>
      </c>
      <c r="E72" s="4">
        <v>1.55E-2</v>
      </c>
      <c r="F72" s="4">
        <v>1.55E-2</v>
      </c>
      <c r="G72" s="4">
        <v>1.55E-2</v>
      </c>
      <c r="H72" s="6">
        <f>IFERROR((('raw-PriceList'!B71/'raw-PriceList'!B72)-1)-Table14[[#This Row],[RF]],"")</f>
        <v>-4.5550172288661359E-2</v>
      </c>
      <c r="I72" s="6">
        <f>IFERROR((('raw-PriceList'!C71/'raw-PriceList'!C72)-1)-Table14[[#This Row],[RF]],"")</f>
        <v>-7.6021887547403397E-2</v>
      </c>
      <c r="J72" s="6">
        <f>IFERROR((('raw-PriceList'!D71/'raw-PriceList'!D72)-1)-Table14[[#This Row],[RF]],"")</f>
        <v>-3.6702687802514997E-2</v>
      </c>
      <c r="K72" s="6" t="str">
        <f>IFERROR((('raw-PriceList'!E71/'raw-PriceList'!E72)-1)-Table14[[#This Row],[RF]],"")</f>
        <v/>
      </c>
      <c r="L72" s="6">
        <f>IFERROR((('raw-PriceList'!F42/'raw-PriceList'!F43)-1)-Table14[[#This Row],[RF]],"")</f>
        <v>-1.0676394145846688E-2</v>
      </c>
      <c r="M72" s="6">
        <f>IFERROR((('raw-PriceList'!G71/'raw-PriceList'!G72)-1)-Table14[[#This Row],[RF]],"")</f>
        <v>-2.1793371918078772E-2</v>
      </c>
      <c r="N72" s="6">
        <f>IFERROR((('raw-PriceList'!H71/'raw-PriceList'!H72)-1)-Table14[[#This Row],[RF]],"")</f>
        <v>-0.11339400228409928</v>
      </c>
      <c r="O72" s="6" t="str">
        <f>IFERROR((('raw-PriceList'!I71/'raw-PriceList'!I72)-1)-Table14[[#This Row],[RF]],"")</f>
        <v/>
      </c>
      <c r="P72" s="6">
        <f>IFERROR((('raw-PriceList'!J71/'raw-PriceList'!J72)-1)-Table14[[#This Row],[RF]],"")</f>
        <v>7.6898578667828482E-3</v>
      </c>
      <c r="Q72" s="6">
        <f>IFERROR((('raw-PriceList'!K71/'raw-PriceList'!K72)-1)-Table14[[#This Row],[RF]],"")</f>
        <v>1.099953428099168E-3</v>
      </c>
      <c r="R72" s="6">
        <f>IFERROR((('raw-PriceList'!L71/'raw-PriceList'!L72)-1)-Table14[[#This Row],[RF]],"")</f>
        <v>1.1027036421719386E-2</v>
      </c>
      <c r="S72" s="6" t="str">
        <f>IFERROR((('raw-PriceList'!#REF!/'raw-PriceList'!#REF!)-1)-Table14[[#This Row],[RF]],"")</f>
        <v/>
      </c>
      <c r="T72" s="6">
        <f>IFERROR((('raw-PriceList'!M71/'raw-PriceList'!M72)-1)-Table14[[#This Row],[RF]],"")</f>
        <v>2.0495251402117345E-2</v>
      </c>
      <c r="U72" s="6">
        <f>IFERROR((('raw-PriceList'!N71/'raw-PriceList'!N72)-1)-Table14[[#This Row],[RF]],"")</f>
        <v>2.8371866785020197E-2</v>
      </c>
      <c r="V72" s="6">
        <f>IFERROR((('raw-PriceList'!O71/'raw-PriceList'!O72)-1)-Table14[[#This Row],[RF]],"")</f>
        <v>1.561332739396544E-2</v>
      </c>
      <c r="W72" s="6">
        <f>IFERROR((('raw-PriceList'!P71/'raw-PriceList'!P72)-1)-Table14[[#This Row],[RF]],"")</f>
        <v>-4.843877787927324E-2</v>
      </c>
      <c r="X72" s="6">
        <f>IFERROR((('raw-PriceList'!Q71/'raw-PriceList'!Q72)-1)-Table14[[#This Row],[RF]],"")</f>
        <v>-7.70162814945025E-2</v>
      </c>
      <c r="Y72" s="6" t="str">
        <f>IFERROR((('raw-PriceList'!#REF!/'raw-PriceList'!#REF!)-1)-Table14[[#This Row],[RF]],"")</f>
        <v/>
      </c>
      <c r="Z72" s="6">
        <f>IFERROR((('raw-PriceList'!R71/'raw-PriceList'!R72)-1)-Table14[[#This Row],[RF]],"")</f>
        <v>-2.3319236361416126E-2</v>
      </c>
      <c r="AA72" s="6" t="str">
        <f>IFERROR((('raw-PriceList'!#REF!/'raw-PriceList'!#REF!)-1)-Table14[[#This Row],[RF]],"")</f>
        <v/>
      </c>
      <c r="AB72" s="6" t="str">
        <f>IFERROR((('raw-PriceList'!#REF!/'raw-PriceList'!#REF!)-1)-Table14[[#This Row],[RF]],"")</f>
        <v/>
      </c>
      <c r="AC72" s="6">
        <f>IFERROR((('raw-PriceList'!S71/'raw-PriceList'!S72)-1)-Table14[[#This Row],[RF]],"")</f>
        <v>-4.5474300140550913E-2</v>
      </c>
      <c r="AD72" s="6">
        <f>IFERROR((('raw-PriceList'!T71/'raw-PriceList'!T72)-1)-Table14[[#This Row],[RF]],"")</f>
        <v>-4.8499444049184867E-2</v>
      </c>
      <c r="AE72" s="6" t="str">
        <f>IFERROR((('raw-PriceList'!#REF!/'raw-PriceList'!#REF!)-1)-Table14[[#This Row],[RF]],"")</f>
        <v/>
      </c>
      <c r="AF72" s="6">
        <f>IFERROR((('raw-PriceList'!U71/'raw-PriceList'!U72)-1)-Table14[[#This Row],[RF]],"")</f>
        <v>-3.3946940382785271E-2</v>
      </c>
      <c r="AG72" s="6">
        <f>IFERROR((('raw-PriceList'!V71/'raw-PriceList'!V72)-1)-Table14[[#This Row],[RF]],"")</f>
        <v>-1.5356878339383748E-2</v>
      </c>
      <c r="AH72" s="6">
        <f>IFERROR((('raw-PriceList'!W71/'raw-PriceList'!W72)-1)-Table14[[#This Row],[RF]],"")</f>
        <v>-7.8628087873192018E-2</v>
      </c>
      <c r="AI72" s="6">
        <f>IFERROR((('raw-PriceList'!X71/'raw-PriceList'!X72)-1)-Table14[[#This Row],[RF]],"")</f>
        <v>-1.6704306145622724E-2</v>
      </c>
      <c r="AJ72" s="6" t="str">
        <f>IFERROR((('raw-PriceList'!#REF!/'raw-PriceList'!#REF!)-1)-Table14[[#This Row],[RF]],"")</f>
        <v/>
      </c>
      <c r="AK72" s="6" t="str">
        <f>IFERROR((('raw-PriceList'!#REF!/'raw-PriceList'!#REF!)-1)-Table14[[#This Row],[RF]],"")</f>
        <v/>
      </c>
      <c r="AL72" s="6">
        <f>IFERROR((('raw-PriceList'!Y71/'raw-PriceList'!Y72)-1)-Table14[[#This Row],[RF]],"")</f>
        <v>-3.9899353926777098E-3</v>
      </c>
      <c r="AM72" s="6">
        <f>IFERROR((('raw-PriceList'!Z9/'raw-PriceList'!Z10)-1)-Table14[[#This Row],[RF]],"")</f>
        <v>9.8862422228083863E-3</v>
      </c>
      <c r="AN72" s="6" t="str">
        <f>IFERROR((('raw-PriceList'!#REF!/'raw-PriceList'!#REF!)-1)-Table14[[#This Row],[RF]],"")</f>
        <v/>
      </c>
      <c r="AO72" s="6">
        <f>IFERROR((('raw-PriceList'!AA71/'raw-PriceList'!AA72)-1)-Table14[[#This Row],[RF]],"")</f>
        <v>-3.0433100975315638E-2</v>
      </c>
      <c r="AP72" s="6" t="str">
        <f>IFERROR((('raw-PriceList'!#REF!/'raw-PriceList'!#REF!)-1)-Table14[[#This Row],[RF]],"")</f>
        <v/>
      </c>
      <c r="AQ72" s="6">
        <f>IFERROR((('raw-PriceList'!AB71/'raw-PriceList'!AB72)-1)-Table14[[#This Row],[RF]],"")</f>
        <v>-0.11544029739756338</v>
      </c>
      <c r="AR72" s="6">
        <f>IFERROR((('raw-PriceList'!AC71/'raw-PriceList'!AC72)-1)-Table14[[#This Row],[RF]],"")</f>
        <v>3.1784355264479897E-3</v>
      </c>
      <c r="AS72" s="6" t="str">
        <f>IFERROR((('raw-PriceList'!#REF!/'raw-PriceList'!#REF!)-1)-Table14[[#This Row],[RF]],"")</f>
        <v/>
      </c>
      <c r="AT72" s="6" t="str">
        <f>IFERROR((('raw-PriceList'!#REF!/'raw-PriceList'!#REF!)-1)-Table14[[#This Row],[RF]],"")</f>
        <v/>
      </c>
      <c r="AU72" s="6" t="str">
        <f>IFERROR((('raw-PriceList'!#REF!/'raw-PriceList'!#REF!)-1)-Table14[[#This Row],[RF]],"")</f>
        <v/>
      </c>
      <c r="AV72" s="6">
        <f>IFERROR((('raw-PriceList'!AD71/'raw-PriceList'!AD72)-1)-Table14[[#This Row],[RF]],"")</f>
        <v>7.8741759249270765E-3</v>
      </c>
      <c r="AW72" s="6">
        <f>IFERROR((('raw-PriceList'!AE71/'raw-PriceList'!AE72)-1)-Table14[[#This Row],[RF]],"")</f>
        <v>7.8741759249270765E-3</v>
      </c>
      <c r="AX72" s="6">
        <f>IFERROR((('raw-PriceList'!AF71/'raw-PriceList'!AF72)-1)-Table14[[#This Row],[RF]],"")</f>
        <v>3.2067277940182742E-3</v>
      </c>
      <c r="AY72" s="6">
        <f>IFERROR((('raw-PriceList'!AG71/'raw-PriceList'!AG72)-1)-Table14[[#This Row],[RF]],"")</f>
        <v>-5.277796925286353E-2</v>
      </c>
      <c r="AZ72" s="6">
        <f>IFERROR((('raw-PriceList'!AH71/'raw-PriceList'!AH72)-1)-Table14[[#This Row],[RF]],"")</f>
        <v>-9.254086861142434E-2</v>
      </c>
      <c r="BA72" s="6" t="str">
        <f>IFERROR((('raw-PriceList'!#REF!/'raw-PriceList'!#REF!)-1)-Table14[[#This Row],[RF]],"")</f>
        <v/>
      </c>
      <c r="BB72" s="6" t="str">
        <f>IFERROR((('raw-PriceList'!AI71/'raw-PriceList'!AI72)-1)-Table14[[#This Row],[RF]],"")</f>
        <v/>
      </c>
    </row>
    <row r="73" spans="1:54" x14ac:dyDescent="0.2">
      <c r="A73" s="5">
        <v>41305</v>
      </c>
      <c r="B73" s="9">
        <v>1</v>
      </c>
      <c r="C73" s="4">
        <v>4.0300000000000002E-2</v>
      </c>
      <c r="D73" s="4">
        <v>4.0300000000000002E-2</v>
      </c>
      <c r="E73" s="4">
        <v>4.0300000000000002E-2</v>
      </c>
      <c r="F73" s="4">
        <v>4.0300000000000002E-2</v>
      </c>
      <c r="G73" s="4">
        <v>4.0300000000000002E-2</v>
      </c>
      <c r="H73" s="6">
        <f>IFERROR((('raw-PriceList'!B72/'raw-PriceList'!B73)-1)-Table14[[#This Row],[RF]],"")</f>
        <v>-3.249464574485339E-2</v>
      </c>
      <c r="I73" s="6">
        <f>IFERROR((('raw-PriceList'!C72/'raw-PriceList'!C73)-1)-Table14[[#This Row],[RF]],"")</f>
        <v>-6.4053013374953949E-3</v>
      </c>
      <c r="J73" s="6">
        <f>IFERROR((('raw-PriceList'!D72/'raw-PriceList'!D73)-1)-Table14[[#This Row],[RF]],"")</f>
        <v>-3.3800455593421042E-2</v>
      </c>
      <c r="K73" s="6" t="str">
        <f>IFERROR((('raw-PriceList'!E72/'raw-PriceList'!E73)-1)-Table14[[#This Row],[RF]],"")</f>
        <v/>
      </c>
      <c r="L73" s="6">
        <f>IFERROR((('raw-PriceList'!F43/'raw-PriceList'!F44)-1)-Table14[[#This Row],[RF]],"")</f>
        <v>-3.3381709077543453E-2</v>
      </c>
      <c r="M73" s="6">
        <f>IFERROR((('raw-PriceList'!G72/'raw-PriceList'!G73)-1)-Table14[[#This Row],[RF]],"")</f>
        <v>-3.9253917039312247E-2</v>
      </c>
      <c r="N73" s="6">
        <f>IFERROR((('raw-PriceList'!H72/'raw-PriceList'!H73)-1)-Table14[[#This Row],[RF]],"")</f>
        <v>3.2990739463528262E-2</v>
      </c>
      <c r="O73" s="6" t="str">
        <f>IFERROR((('raw-PriceList'!I72/'raw-PriceList'!I73)-1)-Table14[[#This Row],[RF]],"")</f>
        <v/>
      </c>
      <c r="P73" s="6">
        <f>IFERROR((('raw-PriceList'!J72/'raw-PriceList'!J73)-1)-Table14[[#This Row],[RF]],"")</f>
        <v>-1.9865978049185662E-2</v>
      </c>
      <c r="Q73" s="6">
        <f>IFERROR((('raw-PriceList'!K72/'raw-PriceList'!K73)-1)-Table14[[#This Row],[RF]],"")</f>
        <v>-2.2650698926244273E-2</v>
      </c>
      <c r="R73" s="6">
        <f>IFERROR((('raw-PriceList'!L72/'raw-PriceList'!L73)-1)-Table14[[#This Row],[RF]],"")</f>
        <v>-1.815079055656077E-2</v>
      </c>
      <c r="S73" s="6" t="str">
        <f>IFERROR((('raw-PriceList'!#REF!/'raw-PriceList'!#REF!)-1)-Table14[[#This Row],[RF]],"")</f>
        <v/>
      </c>
      <c r="T73" s="6">
        <f>IFERROR((('raw-PriceList'!M72/'raw-PriceList'!M73)-1)-Table14[[#This Row],[RF]],"")</f>
        <v>-3.7333580149177648E-2</v>
      </c>
      <c r="U73" s="6">
        <f>IFERROR((('raw-PriceList'!N72/'raw-PriceList'!N73)-1)-Table14[[#This Row],[RF]],"")</f>
        <v>-4.4158568270406873E-2</v>
      </c>
      <c r="V73" s="6">
        <f>IFERROR((('raw-PriceList'!O72/'raw-PriceList'!O73)-1)-Table14[[#This Row],[RF]],"")</f>
        <v>-3.9463126437900842E-2</v>
      </c>
      <c r="W73" s="6">
        <f>IFERROR((('raw-PriceList'!P72/'raw-PriceList'!P73)-1)-Table14[[#This Row],[RF]],"")</f>
        <v>-2.4757470185333696E-2</v>
      </c>
      <c r="X73" s="6">
        <f>IFERROR((('raw-PriceList'!Q72/'raw-PriceList'!Q73)-1)-Table14[[#This Row],[RF]],"")</f>
        <v>7.2246289066679736E-4</v>
      </c>
      <c r="Y73" s="6" t="str">
        <f>IFERROR((('raw-PriceList'!#REF!/'raw-PriceList'!#REF!)-1)-Table14[[#This Row],[RF]],"")</f>
        <v/>
      </c>
      <c r="Z73" s="6">
        <f>IFERROR((('raw-PriceList'!R72/'raw-PriceList'!R73)-1)-Table14[[#This Row],[RF]],"")</f>
        <v>-3.7281714527552579E-2</v>
      </c>
      <c r="AA73" s="6" t="str">
        <f>IFERROR((('raw-PriceList'!#REF!/'raw-PriceList'!#REF!)-1)-Table14[[#This Row],[RF]],"")</f>
        <v/>
      </c>
      <c r="AB73" s="6" t="str">
        <f>IFERROR((('raw-PriceList'!#REF!/'raw-PriceList'!#REF!)-1)-Table14[[#This Row],[RF]],"")</f>
        <v/>
      </c>
      <c r="AC73" s="6">
        <f>IFERROR((('raw-PriceList'!S72/'raw-PriceList'!S73)-1)-Table14[[#This Row],[RF]],"")</f>
        <v>1.1961101284293729E-2</v>
      </c>
      <c r="AD73" s="6">
        <f>IFERROR((('raw-PriceList'!T72/'raw-PriceList'!T73)-1)-Table14[[#This Row],[RF]],"")</f>
        <v>-2.8419370257615206E-3</v>
      </c>
      <c r="AE73" s="6" t="str">
        <f>IFERROR((('raw-PriceList'!#REF!/'raw-PriceList'!#REF!)-1)-Table14[[#This Row],[RF]],"")</f>
        <v/>
      </c>
      <c r="AF73" s="6">
        <f>IFERROR((('raw-PriceList'!U72/'raw-PriceList'!U73)-1)-Table14[[#This Row],[RF]],"")</f>
        <v>-3.3629315978892294E-2</v>
      </c>
      <c r="AG73" s="6">
        <f>IFERROR((('raw-PriceList'!V72/'raw-PriceList'!V73)-1)-Table14[[#This Row],[RF]],"")</f>
        <v>5.0185199297838601E-3</v>
      </c>
      <c r="AH73" s="6">
        <f>IFERROR((('raw-PriceList'!W72/'raw-PriceList'!W73)-1)-Table14[[#This Row],[RF]],"")</f>
        <v>-3.5883907990001962E-3</v>
      </c>
      <c r="AI73" s="6">
        <f>IFERROR((('raw-PriceList'!X72/'raw-PriceList'!X73)-1)-Table14[[#This Row],[RF]],"")</f>
        <v>-3.981886709545357E-2</v>
      </c>
      <c r="AJ73" s="6" t="str">
        <f>IFERROR((('raw-PriceList'!#REF!/'raw-PriceList'!#REF!)-1)-Table14[[#This Row],[RF]],"")</f>
        <v/>
      </c>
      <c r="AK73" s="6" t="str">
        <f>IFERROR((('raw-PriceList'!#REF!/'raw-PriceList'!#REF!)-1)-Table14[[#This Row],[RF]],"")</f>
        <v/>
      </c>
      <c r="AL73" s="6">
        <f>IFERROR((('raw-PriceList'!Y72/'raw-PriceList'!Y73)-1)-Table14[[#This Row],[RF]],"")</f>
        <v>-2.3592240736510117E-2</v>
      </c>
      <c r="AM73" s="6">
        <f>IFERROR((('raw-PriceList'!Z10/'raw-PriceList'!Z11)-1)-Table14[[#This Row],[RF]],"")</f>
        <v>-5.9839897502668493E-2</v>
      </c>
      <c r="AN73" s="6" t="str">
        <f>IFERROR((('raw-PriceList'!#REF!/'raw-PriceList'!#REF!)-1)-Table14[[#This Row],[RF]],"")</f>
        <v/>
      </c>
      <c r="AO73" s="6">
        <f>IFERROR((('raw-PriceList'!AA72/'raw-PriceList'!AA73)-1)-Table14[[#This Row],[RF]],"")</f>
        <v>-3.578650179245435E-2</v>
      </c>
      <c r="AP73" s="6" t="str">
        <f>IFERROR((('raw-PriceList'!#REF!/'raw-PriceList'!#REF!)-1)-Table14[[#This Row],[RF]],"")</f>
        <v/>
      </c>
      <c r="AQ73" s="6">
        <f>IFERROR((('raw-PriceList'!AB72/'raw-PriceList'!AB73)-1)-Table14[[#This Row],[RF]],"")</f>
        <v>2.8336560878740924E-2</v>
      </c>
      <c r="AR73" s="6">
        <f>IFERROR((('raw-PriceList'!AC72/'raw-PriceList'!AC73)-1)-Table14[[#This Row],[RF]],"")</f>
        <v>-2.3304719613072455E-2</v>
      </c>
      <c r="AS73" s="6" t="str">
        <f>IFERROR((('raw-PriceList'!#REF!/'raw-PriceList'!#REF!)-1)-Table14[[#This Row],[RF]],"")</f>
        <v/>
      </c>
      <c r="AT73" s="6" t="str">
        <f>IFERROR((('raw-PriceList'!#REF!/'raw-PriceList'!#REF!)-1)-Table14[[#This Row],[RF]],"")</f>
        <v/>
      </c>
      <c r="AU73" s="6" t="str">
        <f>IFERROR((('raw-PriceList'!#REF!/'raw-PriceList'!#REF!)-1)-Table14[[#This Row],[RF]],"")</f>
        <v/>
      </c>
      <c r="AV73" s="6">
        <f>IFERROR((('raw-PriceList'!AD72/'raw-PriceList'!AD73)-1)-Table14[[#This Row],[RF]],"")</f>
        <v>-1.9591329516073452E-2</v>
      </c>
      <c r="AW73" s="6">
        <f>IFERROR((('raw-PriceList'!AE72/'raw-PriceList'!AE73)-1)-Table14[[#This Row],[RF]],"")</f>
        <v>-1.9591329516073452E-2</v>
      </c>
      <c r="AX73" s="6">
        <f>IFERROR((('raw-PriceList'!AF72/'raw-PriceList'!AF73)-1)-Table14[[#This Row],[RF]],"")</f>
        <v>-3.3180592389963071E-2</v>
      </c>
      <c r="AY73" s="6">
        <f>IFERROR((('raw-PriceList'!AG72/'raw-PriceList'!AG73)-1)-Table14[[#This Row],[RF]],"")</f>
        <v>4.2244490416826208E-2</v>
      </c>
      <c r="AZ73" s="6">
        <f>IFERROR((('raw-PriceList'!AH72/'raw-PriceList'!AH73)-1)-Table14[[#This Row],[RF]],"")</f>
        <v>1.4082251032864423E-2</v>
      </c>
      <c r="BA73" s="6" t="str">
        <f>IFERROR((('raw-PriceList'!#REF!/'raw-PriceList'!#REF!)-1)-Table14[[#This Row],[RF]],"")</f>
        <v/>
      </c>
      <c r="BB73" s="6" t="str">
        <f>IFERROR((('raw-PriceList'!AI72/'raw-PriceList'!AI73)-1)-Table14[[#This Row],[RF]],"")</f>
        <v/>
      </c>
    </row>
    <row r="74" spans="1:54" x14ac:dyDescent="0.2">
      <c r="A74" s="5">
        <v>41274</v>
      </c>
      <c r="B74" s="9">
        <v>1</v>
      </c>
      <c r="C74" s="4">
        <v>1.29E-2</v>
      </c>
      <c r="D74" s="4">
        <v>1.29E-2</v>
      </c>
      <c r="E74" s="4">
        <v>1.29E-2</v>
      </c>
      <c r="F74" s="4">
        <v>1.29E-2</v>
      </c>
      <c r="G74" s="4">
        <v>1.29E-2</v>
      </c>
      <c r="H74" s="6">
        <f>IFERROR((('raw-PriceList'!B73/'raw-PriceList'!B74)-1)-Table14[[#This Row],[RF]],"")</f>
        <v>-1.1662458863784675E-2</v>
      </c>
      <c r="I74" s="6">
        <f>IFERROR((('raw-PriceList'!C73/'raw-PriceList'!C74)-1)-Table14[[#This Row],[RF]],"")</f>
        <v>-2.176345243449971E-2</v>
      </c>
      <c r="J74" s="6">
        <f>IFERROR((('raw-PriceList'!D73/'raw-PriceList'!D74)-1)-Table14[[#This Row],[RF]],"")</f>
        <v>-1.3871458262411962E-2</v>
      </c>
      <c r="K74" s="6" t="str">
        <f>IFERROR((('raw-PriceList'!E73/'raw-PriceList'!E74)-1)-Table14[[#This Row],[RF]],"")</f>
        <v/>
      </c>
      <c r="L74" s="6">
        <f>IFERROR((('raw-PriceList'!F44/'raw-PriceList'!F45)-1)-Table14[[#This Row],[RF]],"")</f>
        <v>-2.0725679077128946E-2</v>
      </c>
      <c r="M74" s="6">
        <f>IFERROR((('raw-PriceList'!G73/'raw-PriceList'!G74)-1)-Table14[[#This Row],[RF]],"")</f>
        <v>-1.3779131235284825E-2</v>
      </c>
      <c r="N74" s="6">
        <f>IFERROR((('raw-PriceList'!H73/'raw-PriceList'!H74)-1)-Table14[[#This Row],[RF]],"")</f>
        <v>-2.6886350233074598E-2</v>
      </c>
      <c r="O74" s="6" t="str">
        <f>IFERROR((('raw-PriceList'!I73/'raw-PriceList'!I74)-1)-Table14[[#This Row],[RF]],"")</f>
        <v/>
      </c>
      <c r="P74" s="6">
        <f>IFERROR((('raw-PriceList'!J73/'raw-PriceList'!J74)-1)-Table14[[#This Row],[RF]],"")</f>
        <v>2.0315951252214769E-2</v>
      </c>
      <c r="Q74" s="6">
        <f>IFERROR((('raw-PriceList'!K73/'raw-PriceList'!K74)-1)-Table14[[#This Row],[RF]],"")</f>
        <v>2.0508451237466384E-2</v>
      </c>
      <c r="R74" s="6">
        <f>IFERROR((('raw-PriceList'!L73/'raw-PriceList'!L74)-1)-Table14[[#This Row],[RF]],"")</f>
        <v>2.0214835475056779E-2</v>
      </c>
      <c r="S74" s="6" t="str">
        <f>IFERROR((('raw-PriceList'!#REF!/'raw-PriceList'!#REF!)-1)-Table14[[#This Row],[RF]],"")</f>
        <v/>
      </c>
      <c r="T74" s="6">
        <f>IFERROR((('raw-PriceList'!M73/'raw-PriceList'!M74)-1)-Table14[[#This Row],[RF]],"")</f>
        <v>3.339295469926986E-2</v>
      </c>
      <c r="U74" s="6">
        <f>IFERROR((('raw-PriceList'!N73/'raw-PriceList'!N74)-1)-Table14[[#This Row],[RF]],"")</f>
        <v>3.5558878757000166E-2</v>
      </c>
      <c r="V74" s="6">
        <f>IFERROR((('raw-PriceList'!O73/'raw-PriceList'!O74)-1)-Table14[[#This Row],[RF]],"")</f>
        <v>3.2397674632251093E-2</v>
      </c>
      <c r="W74" s="6">
        <f>IFERROR((('raw-PriceList'!P73/'raw-PriceList'!P74)-1)-Table14[[#This Row],[RF]],"")</f>
        <v>-1.1753679735030919E-2</v>
      </c>
      <c r="X74" s="6">
        <f>IFERROR((('raw-PriceList'!Q73/'raw-PriceList'!Q74)-1)-Table14[[#This Row],[RF]],"")</f>
        <v>-2.759651096656255E-2</v>
      </c>
      <c r="Y74" s="6" t="str">
        <f>IFERROR((('raw-PriceList'!#REF!/'raw-PriceList'!#REF!)-1)-Table14[[#This Row],[RF]],"")</f>
        <v/>
      </c>
      <c r="Z74" s="6">
        <f>IFERROR((('raw-PriceList'!R73/'raw-PriceList'!R74)-1)-Table14[[#This Row],[RF]],"")</f>
        <v>-1.2563179967114957E-2</v>
      </c>
      <c r="AA74" s="6" t="str">
        <f>IFERROR((('raw-PriceList'!#REF!/'raw-PriceList'!#REF!)-1)-Table14[[#This Row],[RF]],"")</f>
        <v/>
      </c>
      <c r="AB74" s="6" t="str">
        <f>IFERROR((('raw-PriceList'!#REF!/'raw-PriceList'!#REF!)-1)-Table14[[#This Row],[RF]],"")</f>
        <v/>
      </c>
      <c r="AC74" s="6">
        <f>IFERROR((('raw-PriceList'!S73/'raw-PriceList'!S74)-1)-Table14[[#This Row],[RF]],"")</f>
        <v>-5.3383620442891463E-3</v>
      </c>
      <c r="AD74" s="6">
        <f>IFERROR((('raw-PriceList'!T73/'raw-PriceList'!T74)-1)-Table14[[#This Row],[RF]],"")</f>
        <v>-9.452522731749324E-3</v>
      </c>
      <c r="AE74" s="6" t="str">
        <f>IFERROR((('raw-PriceList'!#REF!/'raw-PriceList'!#REF!)-1)-Table14[[#This Row],[RF]],"")</f>
        <v/>
      </c>
      <c r="AF74" s="6">
        <f>IFERROR((('raw-PriceList'!U73/'raw-PriceList'!U74)-1)-Table14[[#This Row],[RF]],"")</f>
        <v>-1.218511173265977E-2</v>
      </c>
      <c r="AG74" s="6">
        <f>IFERROR((('raw-PriceList'!V73/'raw-PriceList'!V74)-1)-Table14[[#This Row],[RF]],"")</f>
        <v>-1.429215890734723E-2</v>
      </c>
      <c r="AH74" s="6">
        <f>IFERROR((('raw-PriceList'!W73/'raw-PriceList'!W74)-1)-Table14[[#This Row],[RF]],"")</f>
        <v>-1.6184169538151473E-2</v>
      </c>
      <c r="AI74" s="6">
        <f>IFERROR((('raw-PriceList'!X73/'raw-PriceList'!X74)-1)-Table14[[#This Row],[RF]],"")</f>
        <v>-1.2888665569581325E-2</v>
      </c>
      <c r="AJ74" s="6" t="str">
        <f>IFERROR((('raw-PriceList'!#REF!/'raw-PriceList'!#REF!)-1)-Table14[[#This Row],[RF]],"")</f>
        <v/>
      </c>
      <c r="AK74" s="6" t="str">
        <f>IFERROR((('raw-PriceList'!#REF!/'raw-PriceList'!#REF!)-1)-Table14[[#This Row],[RF]],"")</f>
        <v/>
      </c>
      <c r="AL74" s="6">
        <f>IFERROR((('raw-PriceList'!Y73/'raw-PriceList'!Y74)-1)-Table14[[#This Row],[RF]],"")</f>
        <v>1.6345382775887839E-2</v>
      </c>
      <c r="AM74" s="6">
        <f>IFERROR((('raw-PriceList'!Z11/'raw-PriceList'!Z12)-1)-Table14[[#This Row],[RF]],"")</f>
        <v>-3.5686841933951548E-3</v>
      </c>
      <c r="AN74" s="6" t="str">
        <f>IFERROR((('raw-PriceList'!#REF!/'raw-PriceList'!#REF!)-1)-Table14[[#This Row],[RF]],"")</f>
        <v/>
      </c>
      <c r="AO74" s="6">
        <f>IFERROR((('raw-PriceList'!AA73/'raw-PriceList'!AA74)-1)-Table14[[#This Row],[RF]],"")</f>
        <v>-1.3365037374551502E-2</v>
      </c>
      <c r="AP74" s="6" t="str">
        <f>IFERROR((('raw-PriceList'!#REF!/'raw-PriceList'!#REF!)-1)-Table14[[#This Row],[RF]],"")</f>
        <v/>
      </c>
      <c r="AQ74" s="6">
        <f>IFERROR((('raw-PriceList'!AB73/'raw-PriceList'!AB74)-1)-Table14[[#This Row],[RF]],"")</f>
        <v>1.4119761442313994E-2</v>
      </c>
      <c r="AR74" s="6">
        <f>IFERROR((('raw-PriceList'!AC73/'raw-PriceList'!AC74)-1)-Table14[[#This Row],[RF]],"")</f>
        <v>3.6800860275697643E-2</v>
      </c>
      <c r="AS74" s="6" t="str">
        <f>IFERROR((('raw-PriceList'!#REF!/'raw-PriceList'!#REF!)-1)-Table14[[#This Row],[RF]],"")</f>
        <v/>
      </c>
      <c r="AT74" s="6" t="str">
        <f>IFERROR((('raw-PriceList'!#REF!/'raw-PriceList'!#REF!)-1)-Table14[[#This Row],[RF]],"")</f>
        <v/>
      </c>
      <c r="AU74" s="6" t="str">
        <f>IFERROR((('raw-PriceList'!#REF!/'raw-PriceList'!#REF!)-1)-Table14[[#This Row],[RF]],"")</f>
        <v/>
      </c>
      <c r="AV74" s="6">
        <f>IFERROR((('raw-PriceList'!AD73/'raw-PriceList'!AD74)-1)-Table14[[#This Row],[RF]],"")</f>
        <v>1.8522815226850085E-2</v>
      </c>
      <c r="AW74" s="6">
        <f>IFERROR((('raw-PriceList'!AE73/'raw-PriceList'!AE74)-1)-Table14[[#This Row],[RF]],"")</f>
        <v>1.8522815226850085E-2</v>
      </c>
      <c r="AX74" s="6">
        <f>IFERROR((('raw-PriceList'!AF73/'raw-PriceList'!AF74)-1)-Table14[[#This Row],[RF]],"")</f>
        <v>2.7888192967598611E-2</v>
      </c>
      <c r="AY74" s="6">
        <f>IFERROR((('raw-PriceList'!AG73/'raw-PriceList'!AG74)-1)-Table14[[#This Row],[RF]],"")</f>
        <v>2.1700778865294444E-2</v>
      </c>
      <c r="AZ74" s="6">
        <f>IFERROR((('raw-PriceList'!AH73/'raw-PriceList'!AH74)-1)-Table14[[#This Row],[RF]],"")</f>
        <v>2.0432799108200193E-2</v>
      </c>
      <c r="BA74" s="6" t="str">
        <f>IFERROR((('raw-PriceList'!#REF!/'raw-PriceList'!#REF!)-1)-Table14[[#This Row],[RF]],"")</f>
        <v/>
      </c>
      <c r="BB74" s="6" t="str">
        <f>IFERROR((('raw-PriceList'!AI73/'raw-PriceList'!AI74)-1)-Table14[[#This Row],[RF]],"")</f>
        <v/>
      </c>
    </row>
    <row r="75" spans="1:54" x14ac:dyDescent="0.2">
      <c r="A75" s="5">
        <v>41243</v>
      </c>
      <c r="B75" s="9">
        <v>1</v>
      </c>
      <c r="C75" s="4">
        <v>5.57E-2</v>
      </c>
      <c r="D75" s="4">
        <v>5.57E-2</v>
      </c>
      <c r="E75" s="4">
        <v>5.57E-2</v>
      </c>
      <c r="F75" s="4">
        <v>5.57E-2</v>
      </c>
      <c r="G75" s="4">
        <v>5.57E-2</v>
      </c>
      <c r="H75" s="6">
        <f>IFERROR((('raw-PriceList'!B74/'raw-PriceList'!B75)-1)-Table14[[#This Row],[RF]],"")</f>
        <v>-4.8140930589238101E-2</v>
      </c>
      <c r="I75" s="6">
        <f>IFERROR((('raw-PriceList'!C74/'raw-PriceList'!C75)-1)-Table14[[#This Row],[RF]],"")</f>
        <v>-4.1253257319287556E-2</v>
      </c>
      <c r="J75" s="6">
        <f>IFERROR((('raw-PriceList'!D74/'raw-PriceList'!D75)-1)-Table14[[#This Row],[RF]],"")</f>
        <v>-5.2415578072999486E-2</v>
      </c>
      <c r="K75" s="6" t="str">
        <f>IFERROR((('raw-PriceList'!E74/'raw-PriceList'!E75)-1)-Table14[[#This Row],[RF]],"")</f>
        <v/>
      </c>
      <c r="L75" s="6">
        <f>IFERROR((('raw-PriceList'!F45/'raw-PriceList'!F46)-1)-Table14[[#This Row],[RF]],"")</f>
        <v>-4.4126453667435422E-2</v>
      </c>
      <c r="M75" s="6">
        <f>IFERROR((('raw-PriceList'!G74/'raw-PriceList'!G75)-1)-Table14[[#This Row],[RF]],"")</f>
        <v>-5.4632605338232804E-2</v>
      </c>
      <c r="N75" s="6">
        <f>IFERROR((('raw-PriceList'!H74/'raw-PriceList'!H75)-1)-Table14[[#This Row],[RF]],"")</f>
        <v>-3.9974970775767421E-2</v>
      </c>
      <c r="O75" s="6" t="str">
        <f>IFERROR((('raw-PriceList'!I74/'raw-PriceList'!I75)-1)-Table14[[#This Row],[RF]],"")</f>
        <v/>
      </c>
      <c r="P75" s="6">
        <f>IFERROR((('raw-PriceList'!J74/'raw-PriceList'!J75)-1)-Table14[[#This Row],[RF]],"")</f>
        <v>-4.4758998145870615E-2</v>
      </c>
      <c r="Q75" s="6">
        <f>IFERROR((('raw-PriceList'!K74/'raw-PriceList'!K75)-1)-Table14[[#This Row],[RF]],"")</f>
        <v>-4.7532980787648255E-2</v>
      </c>
      <c r="R75" s="6">
        <f>IFERROR((('raw-PriceList'!L74/'raw-PriceList'!L75)-1)-Table14[[#This Row],[RF]],"")</f>
        <v>-4.3913695069872555E-2</v>
      </c>
      <c r="S75" s="6" t="str">
        <f>IFERROR((('raw-PriceList'!#REF!/'raw-PriceList'!#REF!)-1)-Table14[[#This Row],[RF]],"")</f>
        <v/>
      </c>
      <c r="T75" s="6">
        <f>IFERROR((('raw-PriceList'!M74/'raw-PriceList'!M75)-1)-Table14[[#This Row],[RF]],"")</f>
        <v>-4.3190738432410974E-2</v>
      </c>
      <c r="U75" s="6">
        <f>IFERROR((('raw-PriceList'!N74/'raw-PriceList'!N75)-1)-Table14[[#This Row],[RF]],"")</f>
        <v>-4.6809034275168276E-2</v>
      </c>
      <c r="V75" s="6">
        <f>IFERROR((('raw-PriceList'!O74/'raw-PriceList'!O75)-1)-Table14[[#This Row],[RF]],"")</f>
        <v>-3.9521781776236914E-2</v>
      </c>
      <c r="W75" s="6">
        <f>IFERROR((('raw-PriceList'!P74/'raw-PriceList'!P75)-1)-Table14[[#This Row],[RF]],"")</f>
        <v>-5.0749206235515182E-2</v>
      </c>
      <c r="X75" s="6">
        <f>IFERROR((('raw-PriceList'!Q74/'raw-PriceList'!Q75)-1)-Table14[[#This Row],[RF]],"")</f>
        <v>-4.2116395017709835E-2</v>
      </c>
      <c r="Y75" s="6" t="str">
        <f>IFERROR((('raw-PriceList'!#REF!/'raw-PriceList'!#REF!)-1)-Table14[[#This Row],[RF]],"")</f>
        <v/>
      </c>
      <c r="Z75" s="6">
        <f>IFERROR((('raw-PriceList'!R74/'raw-PriceList'!R75)-1)-Table14[[#This Row],[RF]],"")</f>
        <v>-5.3959457572937547E-2</v>
      </c>
      <c r="AA75" s="6" t="str">
        <f>IFERROR((('raw-PriceList'!#REF!/'raw-PriceList'!#REF!)-1)-Table14[[#This Row],[RF]],"")</f>
        <v/>
      </c>
      <c r="AB75" s="6" t="str">
        <f>IFERROR((('raw-PriceList'!#REF!/'raw-PriceList'!#REF!)-1)-Table14[[#This Row],[RF]],"")</f>
        <v/>
      </c>
      <c r="AC75" s="6">
        <f>IFERROR((('raw-PriceList'!S74/'raw-PriceList'!S75)-1)-Table14[[#This Row],[RF]],"")</f>
        <v>-6.7345671346821151E-2</v>
      </c>
      <c r="AD75" s="6">
        <f>IFERROR((('raw-PriceList'!T74/'raw-PriceList'!T75)-1)-Table14[[#This Row],[RF]],"")</f>
        <v>-6.9718921948722007E-2</v>
      </c>
      <c r="AE75" s="6" t="str">
        <f>IFERROR((('raw-PriceList'!#REF!/'raw-PriceList'!#REF!)-1)-Table14[[#This Row],[RF]],"")</f>
        <v/>
      </c>
      <c r="AF75" s="6">
        <f>IFERROR((('raw-PriceList'!U74/'raw-PriceList'!U75)-1)-Table14[[#This Row],[RF]],"")</f>
        <v>-5.0112502650418472E-2</v>
      </c>
      <c r="AG75" s="6">
        <f>IFERROR((('raw-PriceList'!V74/'raw-PriceList'!V75)-1)-Table14[[#This Row],[RF]],"")</f>
        <v>-8.9779840574090303E-2</v>
      </c>
      <c r="AH75" s="6">
        <f>IFERROR((('raw-PriceList'!W74/'raw-PriceList'!W75)-1)-Table14[[#This Row],[RF]],"")</f>
        <v>-4.5582507197873851E-2</v>
      </c>
      <c r="AI75" s="6">
        <f>IFERROR((('raw-PriceList'!X74/'raw-PriceList'!X75)-1)-Table14[[#This Row],[RF]],"")</f>
        <v>-5.5374809679859333E-2</v>
      </c>
      <c r="AJ75" s="6" t="str">
        <f>IFERROR((('raw-PriceList'!#REF!/'raw-PriceList'!#REF!)-1)-Table14[[#This Row],[RF]],"")</f>
        <v/>
      </c>
      <c r="AK75" s="6" t="str">
        <f>IFERROR((('raw-PriceList'!#REF!/'raw-PriceList'!#REF!)-1)-Table14[[#This Row],[RF]],"")</f>
        <v/>
      </c>
      <c r="AL75" s="6">
        <f>IFERROR((('raw-PriceList'!Y74/'raw-PriceList'!Y75)-1)-Table14[[#This Row],[RF]],"")</f>
        <v>-4.4056512278594223E-2</v>
      </c>
      <c r="AM75" s="6">
        <f>IFERROR((('raw-PriceList'!Z12/'raw-PriceList'!Z13)-1)-Table14[[#This Row],[RF]],"")</f>
        <v>-3.9720332057145896E-2</v>
      </c>
      <c r="AN75" s="6" t="str">
        <f>IFERROR((('raw-PriceList'!#REF!/'raw-PriceList'!#REF!)-1)-Table14[[#This Row],[RF]],"")</f>
        <v/>
      </c>
      <c r="AO75" s="6">
        <f>IFERROR((('raw-PriceList'!AA74/'raw-PriceList'!AA75)-1)-Table14[[#This Row],[RF]],"")</f>
        <v>-5.2298642726886918E-2</v>
      </c>
      <c r="AP75" s="6" t="str">
        <f>IFERROR((('raw-PriceList'!#REF!/'raw-PriceList'!#REF!)-1)-Table14[[#This Row],[RF]],"")</f>
        <v/>
      </c>
      <c r="AQ75" s="6">
        <f>IFERROR((('raw-PriceList'!AB74/'raw-PriceList'!AB75)-1)-Table14[[#This Row],[RF]],"")</f>
        <v>-5.6604457591882623E-2</v>
      </c>
      <c r="AR75" s="6">
        <f>IFERROR((('raw-PriceList'!AC74/'raw-PriceList'!AC75)-1)-Table14[[#This Row],[RF]],"")</f>
        <v>-4.0977551345231206E-2</v>
      </c>
      <c r="AS75" s="6" t="str">
        <f>IFERROR((('raw-PriceList'!#REF!/'raw-PriceList'!#REF!)-1)-Table14[[#This Row],[RF]],"")</f>
        <v/>
      </c>
      <c r="AT75" s="6" t="str">
        <f>IFERROR((('raw-PriceList'!#REF!/'raw-PriceList'!#REF!)-1)-Table14[[#This Row],[RF]],"")</f>
        <v/>
      </c>
      <c r="AU75" s="6" t="str">
        <f>IFERROR((('raw-PriceList'!#REF!/'raw-PriceList'!#REF!)-1)-Table14[[#This Row],[RF]],"")</f>
        <v/>
      </c>
      <c r="AV75" s="6">
        <f>IFERROR((('raw-PriceList'!AD74/'raw-PriceList'!AD75)-1)-Table14[[#This Row],[RF]],"")</f>
        <v>-4.2471447224940034E-2</v>
      </c>
      <c r="AW75" s="6">
        <f>IFERROR((('raw-PriceList'!AE74/'raw-PriceList'!AE75)-1)-Table14[[#This Row],[RF]],"")</f>
        <v>-4.2471447224940034E-2</v>
      </c>
      <c r="AX75" s="6">
        <f>IFERROR((('raw-PriceList'!AF74/'raw-PriceList'!AF75)-1)-Table14[[#This Row],[RF]],"")</f>
        <v>-4.3508490485272638E-2</v>
      </c>
      <c r="AY75" s="6">
        <f>IFERROR((('raw-PriceList'!AG74/'raw-PriceList'!AG75)-1)-Table14[[#This Row],[RF]],"")</f>
        <v>-6.3417605660712778E-2</v>
      </c>
      <c r="AZ75" s="6">
        <f>IFERROR((('raw-PriceList'!AH74/'raw-PriceList'!AH75)-1)-Table14[[#This Row],[RF]],"")</f>
        <v>-3.555936123061923E-2</v>
      </c>
      <c r="BA75" s="6" t="str">
        <f>IFERROR((('raw-PriceList'!#REF!/'raw-PriceList'!#REF!)-1)-Table14[[#This Row],[RF]],"")</f>
        <v/>
      </c>
      <c r="BB75" s="6" t="str">
        <f>IFERROR((('raw-PriceList'!AI74/'raw-PriceList'!AI75)-1)-Table14[[#This Row],[RF]],"")</f>
        <v/>
      </c>
    </row>
    <row r="76" spans="1:54" x14ac:dyDescent="0.2">
      <c r="A76" s="5">
        <v>41213</v>
      </c>
      <c r="B76" s="9">
        <v>1</v>
      </c>
      <c r="C76" s="4">
        <v>1.18E-2</v>
      </c>
      <c r="D76" s="4">
        <v>1.18E-2</v>
      </c>
      <c r="E76" s="4">
        <v>1.18E-2</v>
      </c>
      <c r="F76" s="4">
        <v>1.18E-2</v>
      </c>
      <c r="G76" s="4">
        <v>1.18E-2</v>
      </c>
      <c r="H76" s="6">
        <f>IFERROR((('raw-PriceList'!B75/'raw-PriceList'!B76)-1)-Table14[[#This Row],[RF]],"")</f>
        <v>-2.3047892811731883E-2</v>
      </c>
      <c r="I76" s="6">
        <f>IFERROR((('raw-PriceList'!C75/'raw-PriceList'!C76)-1)-Table14[[#This Row],[RF]],"")</f>
        <v>-4.0868342380550669E-2</v>
      </c>
      <c r="J76" s="6">
        <f>IFERROR((('raw-PriceList'!D75/'raw-PriceList'!D76)-1)-Table14[[#This Row],[RF]],"")</f>
        <v>-1.8624778823416253E-2</v>
      </c>
      <c r="K76" s="6" t="str">
        <f>IFERROR((('raw-PriceList'!E75/'raw-PriceList'!E76)-1)-Table14[[#This Row],[RF]],"")</f>
        <v/>
      </c>
      <c r="L76" s="6">
        <f>IFERROR((('raw-PriceList'!F46/'raw-PriceList'!F47)-1)-Table14[[#This Row],[RF]],"")</f>
        <v>-2.6187839328642736E-2</v>
      </c>
      <c r="M76" s="6">
        <f>IFERROR((('raw-PriceList'!G75/'raw-PriceList'!G76)-1)-Table14[[#This Row],[RF]],"")</f>
        <v>-1.1962354939256981E-2</v>
      </c>
      <c r="N76" s="6">
        <f>IFERROR((('raw-PriceList'!H75/'raw-PriceList'!H76)-1)-Table14[[#This Row],[RF]],"")</f>
        <v>-6.2227229376354574E-2</v>
      </c>
      <c r="O76" s="6" t="str">
        <f>IFERROR((('raw-PriceList'!I75/'raw-PriceList'!I76)-1)-Table14[[#This Row],[RF]],"")</f>
        <v/>
      </c>
      <c r="P76" s="6">
        <f>IFERROR((('raw-PriceList'!J75/'raw-PriceList'!J76)-1)-Table14[[#This Row],[RF]],"")</f>
        <v>3.8785278111631606E-2</v>
      </c>
      <c r="Q76" s="6">
        <f>IFERROR((('raw-PriceList'!K75/'raw-PriceList'!K76)-1)-Table14[[#This Row],[RF]],"")</f>
        <v>2.740995557235152E-2</v>
      </c>
      <c r="R76" s="6">
        <f>IFERROR((('raw-PriceList'!L75/'raw-PriceList'!L76)-1)-Table14[[#This Row],[RF]],"")</f>
        <v>5.1084643956376609E-2</v>
      </c>
      <c r="S76" s="6" t="str">
        <f>IFERROR((('raw-PriceList'!#REF!/'raw-PriceList'!#REF!)-1)-Table14[[#This Row],[RF]],"")</f>
        <v/>
      </c>
      <c r="T76" s="6">
        <f>IFERROR((('raw-PriceList'!M75/'raw-PriceList'!M76)-1)-Table14[[#This Row],[RF]],"")</f>
        <v>5.1728488346940472E-2</v>
      </c>
      <c r="U76" s="6">
        <f>IFERROR((('raw-PriceList'!N75/'raw-PriceList'!N76)-1)-Table14[[#This Row],[RF]],"")</f>
        <v>4.9215275328950349E-2</v>
      </c>
      <c r="V76" s="6">
        <f>IFERROR((('raw-PriceList'!O75/'raw-PriceList'!O76)-1)-Table14[[#This Row],[RF]],"")</f>
        <v>5.2745141089778382E-2</v>
      </c>
      <c r="W76" s="6">
        <f>IFERROR((('raw-PriceList'!P75/'raw-PriceList'!P76)-1)-Table14[[#This Row],[RF]],"")</f>
        <v>-2.1136966651148247E-2</v>
      </c>
      <c r="X76" s="6">
        <f>IFERROR((('raw-PriceList'!Q75/'raw-PriceList'!Q76)-1)-Table14[[#This Row],[RF]],"")</f>
        <v>-3.8100378018799584E-2</v>
      </c>
      <c r="Y76" s="6" t="str">
        <f>IFERROR((('raw-PriceList'!#REF!/'raw-PriceList'!#REF!)-1)-Table14[[#This Row],[RF]],"")</f>
        <v/>
      </c>
      <c r="Z76" s="6">
        <f>IFERROR((('raw-PriceList'!R75/'raw-PriceList'!R76)-1)-Table14[[#This Row],[RF]],"")</f>
        <v>-1.3624148635181655E-2</v>
      </c>
      <c r="AA76" s="6" t="str">
        <f>IFERROR((('raw-PriceList'!#REF!/'raw-PriceList'!#REF!)-1)-Table14[[#This Row],[RF]],"")</f>
        <v/>
      </c>
      <c r="AB76" s="6" t="str">
        <f>IFERROR((('raw-PriceList'!#REF!/'raw-PriceList'!#REF!)-1)-Table14[[#This Row],[RF]],"")</f>
        <v/>
      </c>
      <c r="AC76" s="6">
        <f>IFERROR((('raw-PriceList'!S75/'raw-PriceList'!S76)-1)-Table14[[#This Row],[RF]],"")</f>
        <v>2.6666953669792805E-2</v>
      </c>
      <c r="AD76" s="6">
        <f>IFERROR((('raw-PriceList'!T75/'raw-PriceList'!T76)-1)-Table14[[#This Row],[RF]],"")</f>
        <v>1.2490689101082119E-2</v>
      </c>
      <c r="AE76" s="6" t="str">
        <f>IFERROR((('raw-PriceList'!#REF!/'raw-PriceList'!#REF!)-1)-Table14[[#This Row],[RF]],"")</f>
        <v/>
      </c>
      <c r="AF76" s="6">
        <f>IFERROR((('raw-PriceList'!U75/'raw-PriceList'!U76)-1)-Table14[[#This Row],[RF]],"")</f>
        <v>-1.8209669374194624E-2</v>
      </c>
      <c r="AG76" s="6">
        <f>IFERROR((('raw-PriceList'!V75/'raw-PriceList'!V76)-1)-Table14[[#This Row],[RF]],"")</f>
        <v>3.0818758058979191E-2</v>
      </c>
      <c r="AH76" s="6">
        <f>IFERROR((('raw-PriceList'!W75/'raw-PriceList'!W76)-1)-Table14[[#This Row],[RF]],"")</f>
        <v>-4.2010232864540607E-2</v>
      </c>
      <c r="AI76" s="6">
        <f>IFERROR((('raw-PriceList'!X75/'raw-PriceList'!X76)-1)-Table14[[#This Row],[RF]],"")</f>
        <v>-1.2272362599722053E-2</v>
      </c>
      <c r="AJ76" s="6" t="str">
        <f>IFERROR((('raw-PriceList'!#REF!/'raw-PriceList'!#REF!)-1)-Table14[[#This Row],[RF]],"")</f>
        <v/>
      </c>
      <c r="AK76" s="6" t="str">
        <f>IFERROR((('raw-PriceList'!#REF!/'raw-PriceList'!#REF!)-1)-Table14[[#This Row],[RF]],"")</f>
        <v/>
      </c>
      <c r="AL76" s="6">
        <f>IFERROR((('raw-PriceList'!Y75/'raw-PriceList'!Y76)-1)-Table14[[#This Row],[RF]],"")</f>
        <v>4.7417111671814761E-2</v>
      </c>
      <c r="AM76" s="6">
        <f>IFERROR((('raw-PriceList'!Z13/'raw-PriceList'!Z14)-1)-Table14[[#This Row],[RF]],"")</f>
        <v>-1.5660333890038479E-2</v>
      </c>
      <c r="AN76" s="6" t="str">
        <f>IFERROR((('raw-PriceList'!#REF!/'raw-PriceList'!#REF!)-1)-Table14[[#This Row],[RF]],"")</f>
        <v/>
      </c>
      <c r="AO76" s="6">
        <f>IFERROR((('raw-PriceList'!AA75/'raw-PriceList'!AA76)-1)-Table14[[#This Row],[RF]],"")</f>
        <v>-1.5773110286905277E-2</v>
      </c>
      <c r="AP76" s="6" t="str">
        <f>IFERROR((('raw-PriceList'!#REF!/'raw-PriceList'!#REF!)-1)-Table14[[#This Row],[RF]],"")</f>
        <v/>
      </c>
      <c r="AQ76" s="6">
        <f>IFERROR((('raw-PriceList'!AB75/'raw-PriceList'!AB76)-1)-Table14[[#This Row],[RF]],"")</f>
        <v>4.3975910585254737E-3</v>
      </c>
      <c r="AR76" s="6">
        <f>IFERROR((('raw-PriceList'!AC75/'raw-PriceList'!AC76)-1)-Table14[[#This Row],[RF]],"")</f>
        <v>6.0838973202670878E-2</v>
      </c>
      <c r="AS76" s="6" t="str">
        <f>IFERROR((('raw-PriceList'!#REF!/'raw-PriceList'!#REF!)-1)-Table14[[#This Row],[RF]],"")</f>
        <v/>
      </c>
      <c r="AT76" s="6" t="str">
        <f>IFERROR((('raw-PriceList'!#REF!/'raw-PriceList'!#REF!)-1)-Table14[[#This Row],[RF]],"")</f>
        <v/>
      </c>
      <c r="AU76" s="6" t="str">
        <f>IFERROR((('raw-PriceList'!#REF!/'raw-PriceList'!#REF!)-1)-Table14[[#This Row],[RF]],"")</f>
        <v/>
      </c>
      <c r="AV76" s="6">
        <f>IFERROR((('raw-PriceList'!AD75/'raw-PriceList'!AD76)-1)-Table14[[#This Row],[RF]],"")</f>
        <v>4.0213492333608415E-2</v>
      </c>
      <c r="AW76" s="6">
        <f>IFERROR((('raw-PriceList'!AE75/'raw-PriceList'!AE76)-1)-Table14[[#This Row],[RF]],"")</f>
        <v>4.0213492333608415E-2</v>
      </c>
      <c r="AX76" s="6">
        <f>IFERROR((('raw-PriceList'!AF75/'raw-PriceList'!AF76)-1)-Table14[[#This Row],[RF]],"")</f>
        <v>5.4434484335456092E-2</v>
      </c>
      <c r="AY76" s="6">
        <f>IFERROR((('raw-PriceList'!AG75/'raw-PriceList'!AG76)-1)-Table14[[#This Row],[RF]],"")</f>
        <v>1.9910351205148648E-2</v>
      </c>
      <c r="AZ76" s="6">
        <f>IFERROR((('raw-PriceList'!AH75/'raw-PriceList'!AH76)-1)-Table14[[#This Row],[RF]],"")</f>
        <v>1.9068907006567971E-2</v>
      </c>
      <c r="BA76" s="6" t="str">
        <f>IFERROR((('raw-PriceList'!#REF!/'raw-PriceList'!#REF!)-1)-Table14[[#This Row],[RF]],"")</f>
        <v/>
      </c>
      <c r="BB76" s="6" t="str">
        <f>IFERROR((('raw-PriceList'!AI75/'raw-PriceList'!AI76)-1)-Table14[[#This Row],[RF]],"")</f>
        <v/>
      </c>
    </row>
    <row r="77" spans="1:54" x14ac:dyDescent="0.2">
      <c r="A77" s="5">
        <v>41182</v>
      </c>
      <c r="B77" s="9">
        <v>1</v>
      </c>
      <c r="C77" s="4">
        <v>7.8000000000000005E-3</v>
      </c>
      <c r="D77" s="4">
        <v>7.8000000000000005E-3</v>
      </c>
      <c r="E77" s="4">
        <v>7.8000000000000005E-3</v>
      </c>
      <c r="F77" s="4">
        <v>7.8000000000000005E-3</v>
      </c>
      <c r="G77" s="4">
        <v>7.8000000000000005E-3</v>
      </c>
      <c r="H77" s="6">
        <f>IFERROR((('raw-PriceList'!B76/'raw-PriceList'!B77)-1)-Table14[[#This Row],[RF]],"")</f>
        <v>-3.4016892089077405E-2</v>
      </c>
      <c r="I77" s="6">
        <f>IFERROR((('raw-PriceList'!C76/'raw-PriceList'!C77)-1)-Table14[[#This Row],[RF]],"")</f>
        <v>-3.8851235395093137E-2</v>
      </c>
      <c r="J77" s="6">
        <f>IFERROR((('raw-PriceList'!D76/'raw-PriceList'!D77)-1)-Table14[[#This Row],[RF]],"")</f>
        <v>-1.8541992604128671E-2</v>
      </c>
      <c r="K77" s="6" t="str">
        <f>IFERROR((('raw-PriceList'!E76/'raw-PriceList'!E77)-1)-Table14[[#This Row],[RF]],"")</f>
        <v/>
      </c>
      <c r="L77" s="6">
        <f>IFERROR((('raw-PriceList'!F47/'raw-PriceList'!F48)-1)-Table14[[#This Row],[RF]],"")</f>
        <v>-1.4253796345291975E-2</v>
      </c>
      <c r="M77" s="6">
        <f>IFERROR((('raw-PriceList'!G76/'raw-PriceList'!G77)-1)-Table14[[#This Row],[RF]],"")</f>
        <v>-1.3338118056479747E-2</v>
      </c>
      <c r="N77" s="6">
        <f>IFERROR((('raw-PriceList'!H76/'raw-PriceList'!H77)-1)-Table14[[#This Row],[RF]],"")</f>
        <v>-9.2437018211819683E-2</v>
      </c>
      <c r="O77" s="6" t="str">
        <f>IFERROR((('raw-PriceList'!I76/'raw-PriceList'!I77)-1)-Table14[[#This Row],[RF]],"")</f>
        <v/>
      </c>
      <c r="P77" s="6">
        <f>IFERROR((('raw-PriceList'!J76/'raw-PriceList'!J77)-1)-Table14[[#This Row],[RF]],"")</f>
        <v>-8.5207274370223407E-3</v>
      </c>
      <c r="Q77" s="6">
        <f>IFERROR((('raw-PriceList'!K76/'raw-PriceList'!K77)-1)-Table14[[#This Row],[RF]],"")</f>
        <v>-1.9435685691964716E-2</v>
      </c>
      <c r="R77" s="6">
        <f>IFERROR((('raw-PriceList'!L76/'raw-PriceList'!L77)-1)-Table14[[#This Row],[RF]],"")</f>
        <v>2.3011105232822191E-3</v>
      </c>
      <c r="S77" s="6" t="str">
        <f>IFERROR((('raw-PriceList'!#REF!/'raw-PriceList'!#REF!)-1)-Table14[[#This Row],[RF]],"")</f>
        <v/>
      </c>
      <c r="T77" s="6">
        <f>IFERROR((('raw-PriceList'!M76/'raw-PriceList'!M77)-1)-Table14[[#This Row],[RF]],"")</f>
        <v>3.7909417149362421E-3</v>
      </c>
      <c r="U77" s="6">
        <f>IFERROR((('raw-PriceList'!N76/'raw-PriceList'!N77)-1)-Table14[[#This Row],[RF]],"")</f>
        <v>8.1437256642105382E-3</v>
      </c>
      <c r="V77" s="6">
        <f>IFERROR((('raw-PriceList'!O76/'raw-PriceList'!O77)-1)-Table14[[#This Row],[RF]],"")</f>
        <v>-4.1278075592995813E-4</v>
      </c>
      <c r="W77" s="6">
        <f>IFERROR((('raw-PriceList'!P76/'raw-PriceList'!P77)-1)-Table14[[#This Row],[RF]],"")</f>
        <v>-1.6842496307327898E-2</v>
      </c>
      <c r="X77" s="6">
        <f>IFERROR((('raw-PriceList'!Q76/'raw-PriceList'!Q77)-1)-Table14[[#This Row],[RF]],"")</f>
        <v>-1.9717980214737113E-2</v>
      </c>
      <c r="Y77" s="6" t="str">
        <f>IFERROR((('raw-PriceList'!#REF!/'raw-PriceList'!#REF!)-1)-Table14[[#This Row],[RF]],"")</f>
        <v/>
      </c>
      <c r="Z77" s="6">
        <f>IFERROR((('raw-PriceList'!R76/'raw-PriceList'!R77)-1)-Table14[[#This Row],[RF]],"")</f>
        <v>-9.1797452600088369E-3</v>
      </c>
      <c r="AA77" s="6" t="str">
        <f>IFERROR((('raw-PriceList'!#REF!/'raw-PriceList'!#REF!)-1)-Table14[[#This Row],[RF]],"")</f>
        <v/>
      </c>
      <c r="AB77" s="6" t="str">
        <f>IFERROR((('raw-PriceList'!#REF!/'raw-PriceList'!#REF!)-1)-Table14[[#This Row],[RF]],"")</f>
        <v/>
      </c>
      <c r="AC77" s="6">
        <f>IFERROR((('raw-PriceList'!S76/'raw-PriceList'!S77)-1)-Table14[[#This Row],[RF]],"")</f>
        <v>2.4285136926603973E-2</v>
      </c>
      <c r="AD77" s="6">
        <f>IFERROR((('raw-PriceList'!T76/'raw-PriceList'!T77)-1)-Table14[[#This Row],[RF]],"")</f>
        <v>3.0281813360901993E-2</v>
      </c>
      <c r="AE77" s="6" t="str">
        <f>IFERROR((('raw-PriceList'!#REF!/'raw-PriceList'!#REF!)-1)-Table14[[#This Row],[RF]],"")</f>
        <v/>
      </c>
      <c r="AF77" s="6">
        <f>IFERROR((('raw-PriceList'!U76/'raw-PriceList'!U77)-1)-Table14[[#This Row],[RF]],"")</f>
        <v>-2.4735246429027219E-2</v>
      </c>
      <c r="AG77" s="6">
        <f>IFERROR((('raw-PriceList'!V76/'raw-PriceList'!V77)-1)-Table14[[#This Row],[RF]],"")</f>
        <v>2.7228089381758275E-2</v>
      </c>
      <c r="AH77" s="6">
        <f>IFERROR((('raw-PriceList'!W76/'raw-PriceList'!W77)-1)-Table14[[#This Row],[RF]],"")</f>
        <v>-3.3916449737756732E-2</v>
      </c>
      <c r="AI77" s="6">
        <f>IFERROR((('raw-PriceList'!X76/'raw-PriceList'!X77)-1)-Table14[[#This Row],[RF]],"")</f>
        <v>-9.2918886651228438E-3</v>
      </c>
      <c r="AJ77" s="6" t="str">
        <f>IFERROR((('raw-PriceList'!#REF!/'raw-PriceList'!#REF!)-1)-Table14[[#This Row],[RF]],"")</f>
        <v/>
      </c>
      <c r="AK77" s="6" t="str">
        <f>IFERROR((('raw-PriceList'!#REF!/'raw-PriceList'!#REF!)-1)-Table14[[#This Row],[RF]],"")</f>
        <v/>
      </c>
      <c r="AL77" s="6">
        <f>IFERROR((('raw-PriceList'!Y76/'raw-PriceList'!Y77)-1)-Table14[[#This Row],[RF]],"")</f>
        <v>-1.1210908684542525E-2</v>
      </c>
      <c r="AM77" s="6">
        <f>IFERROR((('raw-PriceList'!Z14/'raw-PriceList'!Z15)-1)-Table14[[#This Row],[RF]],"")</f>
        <v>-6.9202457009875457E-2</v>
      </c>
      <c r="AN77" s="6" t="str">
        <f>IFERROR((('raw-PriceList'!#REF!/'raw-PriceList'!#REF!)-1)-Table14[[#This Row],[RF]],"")</f>
        <v/>
      </c>
      <c r="AO77" s="6">
        <f>IFERROR((('raw-PriceList'!AA76/'raw-PriceList'!AA77)-1)-Table14[[#This Row],[RF]],"")</f>
        <v>-1.4442189732209537E-2</v>
      </c>
      <c r="AP77" s="6" t="str">
        <f>IFERROR((('raw-PriceList'!#REF!/'raw-PriceList'!#REF!)-1)-Table14[[#This Row],[RF]],"")</f>
        <v/>
      </c>
      <c r="AQ77" s="6">
        <f>IFERROR((('raw-PriceList'!AB76/'raw-PriceList'!AB77)-1)-Table14[[#This Row],[RF]],"")</f>
        <v>6.0125307768506284E-3</v>
      </c>
      <c r="AR77" s="6">
        <f>IFERROR((('raw-PriceList'!AC76/'raw-PriceList'!AC77)-1)-Table14[[#This Row],[RF]],"")</f>
        <v>-3.4722510186630797E-3</v>
      </c>
      <c r="AS77" s="6" t="str">
        <f>IFERROR((('raw-PriceList'!#REF!/'raw-PriceList'!#REF!)-1)-Table14[[#This Row],[RF]],"")</f>
        <v/>
      </c>
      <c r="AT77" s="6" t="str">
        <f>IFERROR((('raw-PriceList'!#REF!/'raw-PriceList'!#REF!)-1)-Table14[[#This Row],[RF]],"")</f>
        <v/>
      </c>
      <c r="AU77" s="6" t="str">
        <f>IFERROR((('raw-PriceList'!#REF!/'raw-PriceList'!#REF!)-1)-Table14[[#This Row],[RF]],"")</f>
        <v/>
      </c>
      <c r="AV77" s="6">
        <f>IFERROR((('raw-PriceList'!AD76/'raw-PriceList'!AD77)-1)-Table14[[#This Row],[RF]],"")</f>
        <v>-5.1432284789660601E-3</v>
      </c>
      <c r="AW77" s="6">
        <f>IFERROR((('raw-PriceList'!AE76/'raw-PriceList'!AE77)-1)-Table14[[#This Row],[RF]],"")</f>
        <v>-5.1432284789660601E-3</v>
      </c>
      <c r="AX77" s="6">
        <f>IFERROR((('raw-PriceList'!AF76/'raw-PriceList'!AF77)-1)-Table14[[#This Row],[RF]],"")</f>
        <v>8.7399705083835155E-3</v>
      </c>
      <c r="AY77" s="6">
        <f>IFERROR((('raw-PriceList'!AG76/'raw-PriceList'!AG77)-1)-Table14[[#This Row],[RF]],"")</f>
        <v>-2.4935044100089815E-2</v>
      </c>
      <c r="AZ77" s="6">
        <f>IFERROR((('raw-PriceList'!AH76/'raw-PriceList'!AH77)-1)-Table14[[#This Row],[RF]],"")</f>
        <v>2.2697285632930636E-2</v>
      </c>
      <c r="BA77" s="6" t="str">
        <f>IFERROR((('raw-PriceList'!#REF!/'raw-PriceList'!#REF!)-1)-Table14[[#This Row],[RF]],"")</f>
        <v/>
      </c>
      <c r="BB77" s="6" t="str">
        <f>IFERROR((('raw-PriceList'!AI76/'raw-PriceList'!AI77)-1)-Table14[[#This Row],[RF]],"")</f>
        <v/>
      </c>
    </row>
    <row r="78" spans="1:54" x14ac:dyDescent="0.2">
      <c r="A78" s="5">
        <v>41152</v>
      </c>
      <c r="B78" s="9">
        <v>1</v>
      </c>
      <c r="C78" s="4">
        <v>-1.7600000000000001E-2</v>
      </c>
      <c r="D78" s="4">
        <v>-1.7600000000000001E-2</v>
      </c>
      <c r="E78" s="4">
        <v>-1.7600000000000001E-2</v>
      </c>
      <c r="F78" s="4">
        <v>-1.7600000000000001E-2</v>
      </c>
      <c r="G78" s="4">
        <v>-1.7600000000000001E-2</v>
      </c>
      <c r="H78" s="6">
        <f>IFERROR((('raw-PriceList'!B77/'raw-PriceList'!B78)-1)-Table14[[#This Row],[RF]],"")</f>
        <v>2.1388396891002633E-2</v>
      </c>
      <c r="I78" s="6">
        <f>IFERROR((('raw-PriceList'!C77/'raw-PriceList'!C78)-1)-Table14[[#This Row],[RF]],"")</f>
        <v>1.8308872191882871E-2</v>
      </c>
      <c r="J78" s="6">
        <f>IFERROR((('raw-PriceList'!D77/'raw-PriceList'!D78)-1)-Table14[[#This Row],[RF]],"")</f>
        <v>1.814909868178621E-2</v>
      </c>
      <c r="K78" s="6" t="str">
        <f>IFERROR((('raw-PriceList'!E77/'raw-PriceList'!E78)-1)-Table14[[#This Row],[RF]],"")</f>
        <v/>
      </c>
      <c r="L78" s="6">
        <f>IFERROR((('raw-PriceList'!F48/'raw-PriceList'!F49)-1)-Table14[[#This Row],[RF]],"")</f>
        <v>6.328337591557872E-3</v>
      </c>
      <c r="M78" s="6">
        <f>IFERROR((('raw-PriceList'!G77/'raw-PriceList'!G78)-1)-Table14[[#This Row],[RF]],"")</f>
        <v>1.8565368525593925E-2</v>
      </c>
      <c r="N78" s="6">
        <f>IFERROR((('raw-PriceList'!H77/'raw-PriceList'!H78)-1)-Table14[[#This Row],[RF]],"")</f>
        <v>3.5473023968387529E-2</v>
      </c>
      <c r="O78" s="6" t="str">
        <f>IFERROR((('raw-PriceList'!I77/'raw-PriceList'!I78)-1)-Table14[[#This Row],[RF]],"")</f>
        <v/>
      </c>
      <c r="P78" s="6">
        <f>IFERROR((('raw-PriceList'!J77/'raw-PriceList'!J78)-1)-Table14[[#This Row],[RF]],"")</f>
        <v>2.24596879081384E-2</v>
      </c>
      <c r="Q78" s="6">
        <f>IFERROR((('raw-PriceList'!K77/'raw-PriceList'!K78)-1)-Table14[[#This Row],[RF]],"")</f>
        <v>3.7872485211672913E-2</v>
      </c>
      <c r="R78" s="6">
        <f>IFERROR((('raw-PriceList'!L77/'raw-PriceList'!L78)-1)-Table14[[#This Row],[RF]],"")</f>
        <v>9.0436462050145737E-3</v>
      </c>
      <c r="S78" s="6" t="str">
        <f>IFERROR((('raw-PriceList'!#REF!/'raw-PriceList'!#REF!)-1)-Table14[[#This Row],[RF]],"")</f>
        <v/>
      </c>
      <c r="T78" s="6">
        <f>IFERROR((('raw-PriceList'!M77/'raw-PriceList'!M78)-1)-Table14[[#This Row],[RF]],"")</f>
        <v>3.0107437970491254E-2</v>
      </c>
      <c r="U78" s="6">
        <f>IFERROR((('raw-PriceList'!N77/'raw-PriceList'!N78)-1)-Table14[[#This Row],[RF]],"")</f>
        <v>3.4796081035151916E-2</v>
      </c>
      <c r="V78" s="6">
        <f>IFERROR((('raw-PriceList'!O77/'raw-PriceList'!O78)-1)-Table14[[#This Row],[RF]],"")</f>
        <v>2.7673026641979067E-2</v>
      </c>
      <c r="W78" s="6">
        <f>IFERROR((('raw-PriceList'!P77/'raw-PriceList'!P78)-1)-Table14[[#This Row],[RF]],"")</f>
        <v>1.3908682199319785E-2</v>
      </c>
      <c r="X78" s="6">
        <f>IFERROR((('raw-PriceList'!Q77/'raw-PriceList'!Q78)-1)-Table14[[#This Row],[RF]],"")</f>
        <v>3.2557392281587459E-3</v>
      </c>
      <c r="Y78" s="6" t="str">
        <f>IFERROR((('raw-PriceList'!#REF!/'raw-PriceList'!#REF!)-1)-Table14[[#This Row],[RF]],"")</f>
        <v/>
      </c>
      <c r="Z78" s="6">
        <f>IFERROR((('raw-PriceList'!R77/'raw-PriceList'!R78)-1)-Table14[[#This Row],[RF]],"")</f>
        <v>1.4250358991898245E-2</v>
      </c>
      <c r="AA78" s="6" t="str">
        <f>IFERROR((('raw-PriceList'!#REF!/'raw-PriceList'!#REF!)-1)-Table14[[#This Row],[RF]],"")</f>
        <v/>
      </c>
      <c r="AB78" s="6" t="str">
        <f>IFERROR((('raw-PriceList'!#REF!/'raw-PriceList'!#REF!)-1)-Table14[[#This Row],[RF]],"")</f>
        <v/>
      </c>
      <c r="AC78" s="6">
        <f>IFERROR((('raw-PriceList'!S77/'raw-PriceList'!S78)-1)-Table14[[#This Row],[RF]],"")</f>
        <v>4.4836479343016211E-2</v>
      </c>
      <c r="AD78" s="6">
        <f>IFERROR((('raw-PriceList'!T77/'raw-PriceList'!T78)-1)-Table14[[#This Row],[RF]],"")</f>
        <v>3.557079555153625E-2</v>
      </c>
      <c r="AE78" s="6" t="str">
        <f>IFERROR((('raw-PriceList'!#REF!/'raw-PriceList'!#REF!)-1)-Table14[[#This Row],[RF]],"")</f>
        <v/>
      </c>
      <c r="AF78" s="6">
        <f>IFERROR((('raw-PriceList'!U77/'raw-PriceList'!U78)-1)-Table14[[#This Row],[RF]],"")</f>
        <v>2.1843476381427859E-2</v>
      </c>
      <c r="AG78" s="6">
        <f>IFERROR((('raw-PriceList'!V77/'raw-PriceList'!V78)-1)-Table14[[#This Row],[RF]],"")</f>
        <v>4.2368552041946506E-2</v>
      </c>
      <c r="AH78" s="6">
        <f>IFERROR((('raw-PriceList'!W77/'raw-PriceList'!W78)-1)-Table14[[#This Row],[RF]],"")</f>
        <v>2.4799923396754572E-2</v>
      </c>
      <c r="AI78" s="6">
        <f>IFERROR((('raw-PriceList'!X77/'raw-PriceList'!X78)-1)-Table14[[#This Row],[RF]],"")</f>
        <v>1.8079923999727517E-2</v>
      </c>
      <c r="AJ78" s="6" t="str">
        <f>IFERROR((('raw-PriceList'!#REF!/'raw-PriceList'!#REF!)-1)-Table14[[#This Row],[RF]],"")</f>
        <v/>
      </c>
      <c r="AK78" s="6" t="str">
        <f>IFERROR((('raw-PriceList'!#REF!/'raw-PriceList'!#REF!)-1)-Table14[[#This Row],[RF]],"")</f>
        <v/>
      </c>
      <c r="AL78" s="6">
        <f>IFERROR((('raw-PriceList'!Y77/'raw-PriceList'!Y78)-1)-Table14[[#This Row],[RF]],"")</f>
        <v>3.194210742895004E-2</v>
      </c>
      <c r="AM78" s="6">
        <f>IFERROR((('raw-PriceList'!Z15/'raw-PriceList'!Z16)-1)-Table14[[#This Row],[RF]],"")</f>
        <v>5.666471530118139E-2</v>
      </c>
      <c r="AN78" s="6" t="str">
        <f>IFERROR((('raw-PriceList'!#REF!/'raw-PriceList'!#REF!)-1)-Table14[[#This Row],[RF]],"")</f>
        <v/>
      </c>
      <c r="AO78" s="6">
        <f>IFERROR((('raw-PriceList'!AA77/'raw-PriceList'!AA78)-1)-Table14[[#This Row],[RF]],"")</f>
        <v>1.4689797498330156E-2</v>
      </c>
      <c r="AP78" s="6" t="str">
        <f>IFERROR((('raw-PriceList'!#REF!/'raw-PriceList'!#REF!)-1)-Table14[[#This Row],[RF]],"")</f>
        <v/>
      </c>
      <c r="AQ78" s="6">
        <f>IFERROR((('raw-PriceList'!AB77/'raw-PriceList'!AB78)-1)-Table14[[#This Row],[RF]],"")</f>
        <v>4.3895748279576929E-2</v>
      </c>
      <c r="AR78" s="6">
        <f>IFERROR((('raw-PriceList'!AC77/'raw-PriceList'!AC78)-1)-Table14[[#This Row],[RF]],"")</f>
        <v>2.9741265280942061E-2</v>
      </c>
      <c r="AS78" s="6" t="str">
        <f>IFERROR((('raw-PriceList'!#REF!/'raw-PriceList'!#REF!)-1)-Table14[[#This Row],[RF]],"")</f>
        <v/>
      </c>
      <c r="AT78" s="6" t="str">
        <f>IFERROR((('raw-PriceList'!#REF!/'raw-PriceList'!#REF!)-1)-Table14[[#This Row],[RF]],"")</f>
        <v/>
      </c>
      <c r="AU78" s="6" t="str">
        <f>IFERROR((('raw-PriceList'!#REF!/'raw-PriceList'!#REF!)-1)-Table14[[#This Row],[RF]],"")</f>
        <v/>
      </c>
      <c r="AV78" s="6">
        <f>IFERROR((('raw-PriceList'!AD77/'raw-PriceList'!AD78)-1)-Table14[[#This Row],[RF]],"")</f>
        <v>2.314474488449297E-2</v>
      </c>
      <c r="AW78" s="6">
        <f>IFERROR((('raw-PriceList'!AE77/'raw-PriceList'!AE78)-1)-Table14[[#This Row],[RF]],"")</f>
        <v>2.314474488449297E-2</v>
      </c>
      <c r="AX78" s="6">
        <f>IFERROR((('raw-PriceList'!AF77/'raw-PriceList'!AF78)-1)-Table14[[#This Row],[RF]],"")</f>
        <v>3.8238880782365425E-2</v>
      </c>
      <c r="AY78" s="6">
        <f>IFERROR((('raw-PriceList'!AG77/'raw-PriceList'!AG78)-1)-Table14[[#This Row],[RF]],"")</f>
        <v>9.7678379343640286E-3</v>
      </c>
      <c r="AZ78" s="6">
        <f>IFERROR((('raw-PriceList'!AH77/'raw-PriceList'!AH78)-1)-Table14[[#This Row],[RF]],"")</f>
        <v>4.3331415974135534E-2</v>
      </c>
      <c r="BA78" s="6" t="str">
        <f>IFERROR((('raw-PriceList'!#REF!/'raw-PriceList'!#REF!)-1)-Table14[[#This Row],[RF]],"")</f>
        <v/>
      </c>
      <c r="BB78" s="6" t="str">
        <f>IFERROR((('raw-PriceList'!AI77/'raw-PriceList'!AI78)-1)-Table14[[#This Row],[RF]],"")</f>
        <v/>
      </c>
    </row>
    <row r="79" spans="1:54" x14ac:dyDescent="0.2">
      <c r="A79" s="5">
        <v>41121</v>
      </c>
      <c r="B79" s="9">
        <v>1</v>
      </c>
      <c r="C79" s="4">
        <v>2.7300000000000001E-2</v>
      </c>
      <c r="D79" s="4">
        <v>2.7300000000000001E-2</v>
      </c>
      <c r="E79" s="4">
        <v>2.7300000000000001E-2</v>
      </c>
      <c r="F79" s="4">
        <v>2.7300000000000001E-2</v>
      </c>
      <c r="G79" s="4">
        <v>2.7300000000000001E-2</v>
      </c>
      <c r="H79" s="6">
        <f>IFERROR((('raw-PriceList'!B78/'raw-PriceList'!B79)-1)-Table14[[#This Row],[RF]],"")</f>
        <v>-2.7088528941293332E-2</v>
      </c>
      <c r="I79" s="6">
        <f>IFERROR((('raw-PriceList'!C78/'raw-PriceList'!C79)-1)-Table14[[#This Row],[RF]],"")</f>
        <v>-2.5697800806510195E-2</v>
      </c>
      <c r="J79" s="6">
        <f>IFERROR((('raw-PriceList'!D78/'raw-PriceList'!D79)-1)-Table14[[#This Row],[RF]],"")</f>
        <v>-3.032037590971871E-2</v>
      </c>
      <c r="K79" s="6" t="str">
        <f>IFERROR((('raw-PriceList'!E78/'raw-PriceList'!E79)-1)-Table14[[#This Row],[RF]],"")</f>
        <v/>
      </c>
      <c r="L79" s="6">
        <f>IFERROR((('raw-PriceList'!F49/'raw-PriceList'!F50)-1)-Table14[[#This Row],[RF]],"")</f>
        <v>-2.3550836899900129E-2</v>
      </c>
      <c r="M79" s="6">
        <f>IFERROR((('raw-PriceList'!G78/'raw-PriceList'!G79)-1)-Table14[[#This Row],[RF]],"")</f>
        <v>-2.8397507663218368E-2</v>
      </c>
      <c r="N79" s="6">
        <f>IFERROR((('raw-PriceList'!H78/'raw-PriceList'!H79)-1)-Table14[[#This Row],[RF]],"")</f>
        <v>-3.1305568262249076E-2</v>
      </c>
      <c r="O79" s="6" t="str">
        <f>IFERROR((('raw-PriceList'!I78/'raw-PriceList'!I79)-1)-Table14[[#This Row],[RF]],"")</f>
        <v/>
      </c>
      <c r="P79" s="6">
        <f>IFERROR((('raw-PriceList'!J78/'raw-PriceList'!J79)-1)-Table14[[#This Row],[RF]],"")</f>
        <v>-4.666069542697672E-2</v>
      </c>
      <c r="Q79" s="6">
        <f>IFERROR((('raw-PriceList'!K78/'raw-PriceList'!K79)-1)-Table14[[#This Row],[RF]],"")</f>
        <v>-5.9903398023843493E-2</v>
      </c>
      <c r="R79" s="6">
        <f>IFERROR((('raw-PriceList'!L78/'raw-PriceList'!L79)-1)-Table14[[#This Row],[RF]],"")</f>
        <v>-3.5025964732602347E-2</v>
      </c>
      <c r="S79" s="6" t="str">
        <f>IFERROR((('raw-PriceList'!#REF!/'raw-PriceList'!#REF!)-1)-Table14[[#This Row],[RF]],"")</f>
        <v/>
      </c>
      <c r="T79" s="6">
        <f>IFERROR((('raw-PriceList'!M78/'raw-PriceList'!M79)-1)-Table14[[#This Row],[RF]],"")</f>
        <v>-4.1645576655743657E-2</v>
      </c>
      <c r="U79" s="6">
        <f>IFERROR((('raw-PriceList'!N78/'raw-PriceList'!N79)-1)-Table14[[#This Row],[RF]],"")</f>
        <v>-5.1007061167105308E-2</v>
      </c>
      <c r="V79" s="6">
        <f>IFERROR((('raw-PriceList'!O78/'raw-PriceList'!O79)-1)-Table14[[#This Row],[RF]],"")</f>
        <v>-3.4247470524607651E-2</v>
      </c>
      <c r="W79" s="6">
        <f>IFERROR((('raw-PriceList'!P78/'raw-PriceList'!P79)-1)-Table14[[#This Row],[RF]],"")</f>
        <v>-1.4547793541027986E-2</v>
      </c>
      <c r="X79" s="6">
        <f>IFERROR((('raw-PriceList'!Q78/'raw-PriceList'!Q79)-1)-Table14[[#This Row],[RF]],"")</f>
        <v>-1.4193758042532766E-2</v>
      </c>
      <c r="Y79" s="6" t="str">
        <f>IFERROR((('raw-PriceList'!#REF!/'raw-PriceList'!#REF!)-1)-Table14[[#This Row],[RF]],"")</f>
        <v/>
      </c>
      <c r="Z79" s="6">
        <f>IFERROR((('raw-PriceList'!R78/'raw-PriceList'!R79)-1)-Table14[[#This Row],[RF]],"")</f>
        <v>-2.2741668216484611E-2</v>
      </c>
      <c r="AA79" s="6" t="str">
        <f>IFERROR((('raw-PriceList'!#REF!/'raw-PriceList'!#REF!)-1)-Table14[[#This Row],[RF]],"")</f>
        <v/>
      </c>
      <c r="AB79" s="6" t="str">
        <f>IFERROR((('raw-PriceList'!#REF!/'raw-PriceList'!#REF!)-1)-Table14[[#This Row],[RF]],"")</f>
        <v/>
      </c>
      <c r="AC79" s="6">
        <f>IFERROR((('raw-PriceList'!S78/'raw-PriceList'!S79)-1)-Table14[[#This Row],[RF]],"")</f>
        <v>-1.6906962626541355E-2</v>
      </c>
      <c r="AD79" s="6">
        <f>IFERROR((('raw-PriceList'!T78/'raw-PriceList'!T79)-1)-Table14[[#This Row],[RF]],"")</f>
        <v>-1.9542440890076517E-2</v>
      </c>
      <c r="AE79" s="6" t="str">
        <f>IFERROR((('raw-PriceList'!#REF!/'raw-PriceList'!#REF!)-1)-Table14[[#This Row],[RF]],"")</f>
        <v/>
      </c>
      <c r="AF79" s="6">
        <f>IFERROR((('raw-PriceList'!U78/'raw-PriceList'!U79)-1)-Table14[[#This Row],[RF]],"")</f>
        <v>-3.1027527358733497E-2</v>
      </c>
      <c r="AG79" s="6">
        <f>IFERROR((('raw-PriceList'!V78/'raw-PriceList'!V79)-1)-Table14[[#This Row],[RF]],"")</f>
        <v>-9.6338880140140019E-3</v>
      </c>
      <c r="AH79" s="6">
        <f>IFERROR((('raw-PriceList'!W78/'raw-PriceList'!W79)-1)-Table14[[#This Row],[RF]],"")</f>
        <v>-3.1415399860008977E-2</v>
      </c>
      <c r="AI79" s="6">
        <f>IFERROR((('raw-PriceList'!X78/'raw-PriceList'!X79)-1)-Table14[[#This Row],[RF]],"")</f>
        <v>-2.7941947453772441E-2</v>
      </c>
      <c r="AJ79" s="6" t="str">
        <f>IFERROR((('raw-PriceList'!#REF!/'raw-PriceList'!#REF!)-1)-Table14[[#This Row],[RF]],"")</f>
        <v/>
      </c>
      <c r="AK79" s="6" t="str">
        <f>IFERROR((('raw-PriceList'!#REF!/'raw-PriceList'!#REF!)-1)-Table14[[#This Row],[RF]],"")</f>
        <v/>
      </c>
      <c r="AL79" s="6">
        <f>IFERROR((('raw-PriceList'!Y78/'raw-PriceList'!Y79)-1)-Table14[[#This Row],[RF]],"")</f>
        <v>-3.9896498200643907E-2</v>
      </c>
      <c r="AM79" s="6">
        <f>IFERROR((('raw-PriceList'!Z16/'raw-PriceList'!Z17)-1)-Table14[[#This Row],[RF]],"")</f>
        <v>-2.0168226474709738E-2</v>
      </c>
      <c r="AN79" s="6" t="str">
        <f>IFERROR((('raw-PriceList'!#REF!/'raw-PriceList'!#REF!)-1)-Table14[[#This Row],[RF]],"")</f>
        <v/>
      </c>
      <c r="AO79" s="6">
        <f>IFERROR((('raw-PriceList'!AA78/'raw-PriceList'!AA79)-1)-Table14[[#This Row],[RF]],"")</f>
        <v>-3.0517082216698143E-2</v>
      </c>
      <c r="AP79" s="6" t="str">
        <f>IFERROR((('raw-PriceList'!#REF!/'raw-PriceList'!#REF!)-1)-Table14[[#This Row],[RF]],"")</f>
        <v/>
      </c>
      <c r="AQ79" s="6">
        <f>IFERROR((('raw-PriceList'!AB78/'raw-PriceList'!AB79)-1)-Table14[[#This Row],[RF]],"")</f>
        <v>1.0943137486701844E-3</v>
      </c>
      <c r="AR79" s="6">
        <f>IFERROR((('raw-PriceList'!AC78/'raw-PriceList'!AC79)-1)-Table14[[#This Row],[RF]],"")</f>
        <v>-2.8552485116920445E-2</v>
      </c>
      <c r="AS79" s="6" t="str">
        <f>IFERROR((('raw-PriceList'!#REF!/'raw-PriceList'!#REF!)-1)-Table14[[#This Row],[RF]],"")</f>
        <v/>
      </c>
      <c r="AT79" s="6" t="str">
        <f>IFERROR((('raw-PriceList'!#REF!/'raw-PriceList'!#REF!)-1)-Table14[[#This Row],[RF]],"")</f>
        <v/>
      </c>
      <c r="AU79" s="6" t="str">
        <f>IFERROR((('raw-PriceList'!#REF!/'raw-PriceList'!#REF!)-1)-Table14[[#This Row],[RF]],"")</f>
        <v/>
      </c>
      <c r="AV79" s="6">
        <f>IFERROR((('raw-PriceList'!AD78/'raw-PriceList'!AD79)-1)-Table14[[#This Row],[RF]],"")</f>
        <v>-4.7056735423043908E-2</v>
      </c>
      <c r="AW79" s="6">
        <f>IFERROR((('raw-PriceList'!AE78/'raw-PriceList'!AE79)-1)-Table14[[#This Row],[RF]],"")</f>
        <v>-4.7056735423043908E-2</v>
      </c>
      <c r="AX79" s="6">
        <f>IFERROR((('raw-PriceList'!AF78/'raw-PriceList'!AF79)-1)-Table14[[#This Row],[RF]],"")</f>
        <v>-5.1690161103444168E-2</v>
      </c>
      <c r="AY79" s="6">
        <f>IFERROR((('raw-PriceList'!AG78/'raw-PriceList'!AG79)-1)-Table14[[#This Row],[RF]],"")</f>
        <v>-7.0746595829473305E-2</v>
      </c>
      <c r="AZ79" s="6">
        <f>IFERROR((('raw-PriceList'!AH78/'raw-PriceList'!AH79)-1)-Table14[[#This Row],[RF]],"")</f>
        <v>-2.4038129272951358E-2</v>
      </c>
      <c r="BA79" s="6" t="str">
        <f>IFERROR((('raw-PriceList'!#REF!/'raw-PriceList'!#REF!)-1)-Table14[[#This Row],[RF]],"")</f>
        <v/>
      </c>
      <c r="BB79" s="6" t="str">
        <f>IFERROR((('raw-PriceList'!AI78/'raw-PriceList'!AI79)-1)-Table14[[#This Row],[RF]],"")</f>
        <v/>
      </c>
    </row>
    <row r="80" spans="1:54" x14ac:dyDescent="0.2">
      <c r="A80" s="5">
        <v>41090</v>
      </c>
      <c r="B80" s="9">
        <v>1</v>
      </c>
      <c r="C80" s="4">
        <v>2.5499999999999998E-2</v>
      </c>
      <c r="D80" s="4">
        <v>2.5499999999999998E-2</v>
      </c>
      <c r="E80" s="4">
        <v>2.5499999999999998E-2</v>
      </c>
      <c r="F80" s="4">
        <v>2.5499999999999998E-2</v>
      </c>
      <c r="G80" s="4">
        <v>2.5499999999999998E-2</v>
      </c>
      <c r="H80" s="6">
        <f>IFERROR((('raw-PriceList'!B79/'raw-PriceList'!B80)-1)-Table14[[#This Row],[RF]],"")</f>
        <v>-2.2985618182442078E-2</v>
      </c>
      <c r="I80" s="6">
        <f>IFERROR((('raw-PriceList'!C79/'raw-PriceList'!C80)-1)-Table14[[#This Row],[RF]],"")</f>
        <v>-3.6382039303825359E-2</v>
      </c>
      <c r="J80" s="6">
        <f>IFERROR((('raw-PriceList'!D79/'raw-PriceList'!D80)-1)-Table14[[#This Row],[RF]],"")</f>
        <v>-2.5976742066106704E-2</v>
      </c>
      <c r="K80" s="6" t="str">
        <f>IFERROR((('raw-PriceList'!E79/'raw-PriceList'!E80)-1)-Table14[[#This Row],[RF]],"")</f>
        <v/>
      </c>
      <c r="L80" s="6">
        <f>IFERROR((('raw-PriceList'!F50/'raw-PriceList'!F51)-1)-Table14[[#This Row],[RF]],"")</f>
        <v>-2.867050666694285E-2</v>
      </c>
      <c r="M80" s="6">
        <f>IFERROR((('raw-PriceList'!G79/'raw-PriceList'!G80)-1)-Table14[[#This Row],[RF]],"")</f>
        <v>-2.6091616444090669E-2</v>
      </c>
      <c r="N80" s="6">
        <f>IFERROR((('raw-PriceList'!H79/'raw-PriceList'!H80)-1)-Table14[[#This Row],[RF]],"")</f>
        <v>-7.2998920889484037E-2</v>
      </c>
      <c r="O80" s="6" t="str">
        <f>IFERROR((('raw-PriceList'!I79/'raw-PriceList'!I80)-1)-Table14[[#This Row],[RF]],"")</f>
        <v/>
      </c>
      <c r="P80" s="6">
        <f>IFERROR((('raw-PriceList'!J79/'raw-PriceList'!J80)-1)-Table14[[#This Row],[RF]],"")</f>
        <v>-6.468865247818565E-3</v>
      </c>
      <c r="Q80" s="6">
        <f>IFERROR((('raw-PriceList'!K79/'raw-PriceList'!K80)-1)-Table14[[#This Row],[RF]],"")</f>
        <v>-8.9755900125495815E-3</v>
      </c>
      <c r="R80" s="6">
        <f>IFERROR((('raw-PriceList'!L79/'raw-PriceList'!L80)-1)-Table14[[#This Row],[RF]],"")</f>
        <v>1.244922249713367E-3</v>
      </c>
      <c r="S80" s="6" t="str">
        <f>IFERROR((('raw-PriceList'!#REF!/'raw-PriceList'!#REF!)-1)-Table14[[#This Row],[RF]],"")</f>
        <v/>
      </c>
      <c r="T80" s="6">
        <f>IFERROR((('raw-PriceList'!M79/'raw-PriceList'!M80)-1)-Table14[[#This Row],[RF]],"")</f>
        <v>2.4040307190359121E-3</v>
      </c>
      <c r="U80" s="6">
        <f>IFERROR((('raw-PriceList'!N79/'raw-PriceList'!N80)-1)-Table14[[#This Row],[RF]],"")</f>
        <v>9.317646926082189E-4</v>
      </c>
      <c r="V80" s="6">
        <f>IFERROR((('raw-PriceList'!O79/'raw-PriceList'!O80)-1)-Table14[[#This Row],[RF]],"")</f>
        <v>2.4890604218955302E-3</v>
      </c>
      <c r="W80" s="6">
        <f>IFERROR((('raw-PriceList'!P79/'raw-PriceList'!P80)-1)-Table14[[#This Row],[RF]],"")</f>
        <v>-2.0722223291922113E-2</v>
      </c>
      <c r="X80" s="6">
        <f>IFERROR((('raw-PriceList'!Q79/'raw-PriceList'!Q80)-1)-Table14[[#This Row],[RF]],"")</f>
        <v>-2.9146320718009076E-2</v>
      </c>
      <c r="Y80" s="6" t="str">
        <f>IFERROR((('raw-PriceList'!#REF!/'raw-PriceList'!#REF!)-1)-Table14[[#This Row],[RF]],"")</f>
        <v/>
      </c>
      <c r="Z80" s="6">
        <f>IFERROR((('raw-PriceList'!R79/'raw-PriceList'!R80)-1)-Table14[[#This Row],[RF]],"")</f>
        <v>-2.2498312307618704E-2</v>
      </c>
      <c r="AA80" s="6" t="str">
        <f>IFERROR((('raw-PriceList'!#REF!/'raw-PriceList'!#REF!)-1)-Table14[[#This Row],[RF]],"")</f>
        <v/>
      </c>
      <c r="AB80" s="6" t="str">
        <f>IFERROR((('raw-PriceList'!#REF!/'raw-PriceList'!#REF!)-1)-Table14[[#This Row],[RF]],"")</f>
        <v/>
      </c>
      <c r="AC80" s="6">
        <f>IFERROR((('raw-PriceList'!S79/'raw-PriceList'!S80)-1)-Table14[[#This Row],[RF]],"")</f>
        <v>-1.9624365257105456E-2</v>
      </c>
      <c r="AD80" s="6">
        <f>IFERROR((('raw-PriceList'!T79/'raw-PriceList'!T80)-1)-Table14[[#This Row],[RF]],"")</f>
        <v>-9.0921904438769109E-3</v>
      </c>
      <c r="AE80" s="6" t="str">
        <f>IFERROR((('raw-PriceList'!#REF!/'raw-PriceList'!#REF!)-1)-Table14[[#This Row],[RF]],"")</f>
        <v/>
      </c>
      <c r="AF80" s="6">
        <f>IFERROR((('raw-PriceList'!U79/'raw-PriceList'!U80)-1)-Table14[[#This Row],[RF]],"")</f>
        <v>-2.7005042507991992E-2</v>
      </c>
      <c r="AG80" s="6">
        <f>IFERROR((('raw-PriceList'!V79/'raw-PriceList'!V80)-1)-Table14[[#This Row],[RF]],"")</f>
        <v>-1.9276423021810016E-2</v>
      </c>
      <c r="AH80" s="6">
        <f>IFERROR((('raw-PriceList'!W79/'raw-PriceList'!W80)-1)-Table14[[#This Row],[RF]],"")</f>
        <v>-4.6721750376615107E-2</v>
      </c>
      <c r="AI80" s="6">
        <f>IFERROR((('raw-PriceList'!X79/'raw-PriceList'!X80)-1)-Table14[[#This Row],[RF]],"")</f>
        <v>-2.6162169073181283E-2</v>
      </c>
      <c r="AJ80" s="6" t="str">
        <f>IFERROR((('raw-PriceList'!#REF!/'raw-PriceList'!#REF!)-1)-Table14[[#This Row],[RF]],"")</f>
        <v/>
      </c>
      <c r="AK80" s="6" t="str">
        <f>IFERROR((('raw-PriceList'!#REF!/'raw-PriceList'!#REF!)-1)-Table14[[#This Row],[RF]],"")</f>
        <v/>
      </c>
      <c r="AL80" s="6">
        <f>IFERROR((('raw-PriceList'!Y79/'raw-PriceList'!Y80)-1)-Table14[[#This Row],[RF]],"")</f>
        <v>-1.2334483962155893E-2</v>
      </c>
      <c r="AM80" s="6">
        <f>IFERROR((('raw-PriceList'!Z17/'raw-PriceList'!Z18)-1)-Table14[[#This Row],[RF]],"")</f>
        <v>-3.1397148978235291E-3</v>
      </c>
      <c r="AN80" s="6" t="str">
        <f>IFERROR((('raw-PriceList'!#REF!/'raw-PriceList'!#REF!)-1)-Table14[[#This Row],[RF]],"")</f>
        <v/>
      </c>
      <c r="AO80" s="6">
        <f>IFERROR((('raw-PriceList'!AA79/'raw-PriceList'!AA80)-1)-Table14[[#This Row],[RF]],"")</f>
        <v>-2.4303773387678893E-2</v>
      </c>
      <c r="AP80" s="6" t="str">
        <f>IFERROR((('raw-PriceList'!#REF!/'raw-PriceList'!#REF!)-1)-Table14[[#This Row],[RF]],"")</f>
        <v/>
      </c>
      <c r="AQ80" s="6">
        <f>IFERROR((('raw-PriceList'!AB79/'raw-PriceList'!AB80)-1)-Table14[[#This Row],[RF]],"")</f>
        <v>-1.2095184828026993E-2</v>
      </c>
      <c r="AR80" s="6">
        <f>IFERROR((('raw-PriceList'!AC79/'raw-PriceList'!AC80)-1)-Table14[[#This Row],[RF]],"")</f>
        <v>-5.3007924552427622E-3</v>
      </c>
      <c r="AS80" s="6" t="str">
        <f>IFERROR((('raw-PriceList'!#REF!/'raw-PriceList'!#REF!)-1)-Table14[[#This Row],[RF]],"")</f>
        <v/>
      </c>
      <c r="AT80" s="6" t="str">
        <f>IFERROR((('raw-PriceList'!#REF!/'raw-PriceList'!#REF!)-1)-Table14[[#This Row],[RF]],"")</f>
        <v/>
      </c>
      <c r="AU80" s="6" t="str">
        <f>IFERROR((('raw-PriceList'!#REF!/'raw-PriceList'!#REF!)-1)-Table14[[#This Row],[RF]],"")</f>
        <v/>
      </c>
      <c r="AV80" s="6">
        <f>IFERROR((('raw-PriceList'!AD79/'raw-PriceList'!AD80)-1)-Table14[[#This Row],[RF]],"")</f>
        <v>-4.6289816579153965E-3</v>
      </c>
      <c r="AW80" s="6">
        <f>IFERROR((('raw-PriceList'!AE79/'raw-PriceList'!AE80)-1)-Table14[[#This Row],[RF]],"")</f>
        <v>-4.6289816579153965E-3</v>
      </c>
      <c r="AX80" s="6">
        <f>IFERROR((('raw-PriceList'!AF79/'raw-PriceList'!AF80)-1)-Table14[[#This Row],[RF]],"")</f>
        <v>-3.4552467448029402E-3</v>
      </c>
      <c r="AY80" s="6">
        <f>IFERROR((('raw-PriceList'!AG79/'raw-PriceList'!AG80)-1)-Table14[[#This Row],[RF]],"")</f>
        <v>3.4116263488585957E-2</v>
      </c>
      <c r="AZ80" s="6">
        <f>IFERROR((('raw-PriceList'!AH79/'raw-PriceList'!AH80)-1)-Table14[[#This Row],[RF]],"")</f>
        <v>-2.2912023121755585E-2</v>
      </c>
      <c r="BA80" s="6" t="str">
        <f>IFERROR((('raw-PriceList'!#REF!/'raw-PriceList'!#REF!)-1)-Table14[[#This Row],[RF]],"")</f>
        <v/>
      </c>
      <c r="BB80" s="6" t="str">
        <f>IFERROR((('raw-PriceList'!AI79/'raw-PriceList'!AI80)-1)-Table14[[#This Row],[RF]],"")</f>
        <v/>
      </c>
    </row>
    <row r="81" spans="1:54" x14ac:dyDescent="0.2">
      <c r="A81" s="5">
        <v>41060</v>
      </c>
      <c r="B81" s="9">
        <v>1</v>
      </c>
      <c r="C81" s="4">
        <v>7.9000000000000008E-3</v>
      </c>
      <c r="D81" s="4">
        <v>7.9000000000000008E-3</v>
      </c>
      <c r="E81" s="4">
        <v>7.9000000000000008E-3</v>
      </c>
      <c r="F81" s="4">
        <v>7.9000000000000008E-3</v>
      </c>
      <c r="G81" s="4">
        <v>7.9000000000000008E-3</v>
      </c>
      <c r="H81" s="6">
        <f>IFERROR((('raw-PriceList'!B80/'raw-PriceList'!B81)-1)-Table14[[#This Row],[RF]],"")</f>
        <v>-9.4141511871367149E-3</v>
      </c>
      <c r="I81" s="6">
        <f>IFERROR((('raw-PriceList'!C80/'raw-PriceList'!C81)-1)-Table14[[#This Row],[RF]],"")</f>
        <v>-1.8078844614282646E-2</v>
      </c>
      <c r="J81" s="6">
        <f>IFERROR((('raw-PriceList'!D80/'raw-PriceList'!D81)-1)-Table14[[#This Row],[RF]],"")</f>
        <v>-8.4961296275135427E-3</v>
      </c>
      <c r="K81" s="6" t="str">
        <f>IFERROR((('raw-PriceList'!E80/'raw-PriceList'!E81)-1)-Table14[[#This Row],[RF]],"")</f>
        <v/>
      </c>
      <c r="L81" s="6">
        <f>IFERROR((('raw-PriceList'!F51/'raw-PriceList'!F52)-1)-Table14[[#This Row],[RF]],"")</f>
        <v>1.0060172821071429E-2</v>
      </c>
      <c r="M81" s="6">
        <f>IFERROR((('raw-PriceList'!G80/'raw-PriceList'!G81)-1)-Table14[[#This Row],[RF]],"")</f>
        <v>-6.9368069197619335E-3</v>
      </c>
      <c r="N81" s="6">
        <f>IFERROR((('raw-PriceList'!H80/'raw-PriceList'!H81)-1)-Table14[[#This Row],[RF]],"")</f>
        <v>-3.3477682356782931E-2</v>
      </c>
      <c r="O81" s="6" t="str">
        <f>IFERROR((('raw-PriceList'!I80/'raw-PriceList'!I81)-1)-Table14[[#This Row],[RF]],"")</f>
        <v/>
      </c>
      <c r="P81" s="6">
        <f>IFERROR((('raw-PriceList'!J80/'raw-PriceList'!J81)-1)-Table14[[#This Row],[RF]],"")</f>
        <v>1.6543080584527043E-2</v>
      </c>
      <c r="Q81" s="6">
        <f>IFERROR((('raw-PriceList'!K80/'raw-PriceList'!K81)-1)-Table14[[#This Row],[RF]],"")</f>
        <v>2.4511052163988651E-2</v>
      </c>
      <c r="R81" s="6">
        <f>IFERROR((('raw-PriceList'!L80/'raw-PriceList'!L81)-1)-Table14[[#This Row],[RF]],"")</f>
        <v>3.7799924916750612E-3</v>
      </c>
      <c r="S81" s="6" t="str">
        <f>IFERROR((('raw-PriceList'!#REF!/'raw-PriceList'!#REF!)-1)-Table14[[#This Row],[RF]],"")</f>
        <v/>
      </c>
      <c r="T81" s="6">
        <f>IFERROR((('raw-PriceList'!M80/'raw-PriceList'!M81)-1)-Table14[[#This Row],[RF]],"")</f>
        <v>2.7707484779538234E-2</v>
      </c>
      <c r="U81" s="6">
        <f>IFERROR((('raw-PriceList'!N80/'raw-PriceList'!N81)-1)-Table14[[#This Row],[RF]],"")</f>
        <v>3.2234806664593676E-2</v>
      </c>
      <c r="V81" s="6">
        <f>IFERROR((('raw-PriceList'!O80/'raw-PriceList'!O81)-1)-Table14[[#This Row],[RF]],"")</f>
        <v>2.1998484953570391E-2</v>
      </c>
      <c r="W81" s="6">
        <f>IFERROR((('raw-PriceList'!P80/'raw-PriceList'!P81)-1)-Table14[[#This Row],[RF]],"")</f>
        <v>-4.7744546161290029E-3</v>
      </c>
      <c r="X81" s="6">
        <f>IFERROR((('raw-PriceList'!Q80/'raw-PriceList'!Q81)-1)-Table14[[#This Row],[RF]],"")</f>
        <v>-1.3067957278589431E-2</v>
      </c>
      <c r="Y81" s="6" t="str">
        <f>IFERROR((('raw-PriceList'!#REF!/'raw-PriceList'!#REF!)-1)-Table14[[#This Row],[RF]],"")</f>
        <v/>
      </c>
      <c r="Z81" s="6">
        <f>IFERROR((('raw-PriceList'!R80/'raw-PriceList'!R81)-1)-Table14[[#This Row],[RF]],"")</f>
        <v>-3.2481376745529915E-3</v>
      </c>
      <c r="AA81" s="6" t="str">
        <f>IFERROR((('raw-PriceList'!#REF!/'raw-PriceList'!#REF!)-1)-Table14[[#This Row],[RF]],"")</f>
        <v/>
      </c>
      <c r="AB81" s="6" t="str">
        <f>IFERROR((('raw-PriceList'!#REF!/'raw-PriceList'!#REF!)-1)-Table14[[#This Row],[RF]],"")</f>
        <v/>
      </c>
      <c r="AC81" s="6">
        <f>IFERROR((('raw-PriceList'!S80/'raw-PriceList'!S81)-1)-Table14[[#This Row],[RF]],"")</f>
        <v>2.50387582432199E-2</v>
      </c>
      <c r="AD81" s="6">
        <f>IFERROR((('raw-PriceList'!T80/'raw-PriceList'!T81)-1)-Table14[[#This Row],[RF]],"")</f>
        <v>1.8541450674520971E-2</v>
      </c>
      <c r="AE81" s="6" t="str">
        <f>IFERROR((('raw-PriceList'!#REF!/'raw-PriceList'!#REF!)-1)-Table14[[#This Row],[RF]],"")</f>
        <v/>
      </c>
      <c r="AF81" s="6">
        <f>IFERROR((('raw-PriceList'!U80/'raw-PriceList'!U81)-1)-Table14[[#This Row],[RF]],"")</f>
        <v>-8.3286271938440674E-3</v>
      </c>
      <c r="AG81" s="6">
        <f>IFERROR((('raw-PriceList'!V80/'raw-PriceList'!V81)-1)-Table14[[#This Row],[RF]],"")</f>
        <v>3.8727707854987262E-2</v>
      </c>
      <c r="AH81" s="6">
        <f>IFERROR((('raw-PriceList'!W80/'raw-PriceList'!W81)-1)-Table14[[#This Row],[RF]],"")</f>
        <v>-1.8714432592126112E-2</v>
      </c>
      <c r="AI81" s="6">
        <f>IFERROR((('raw-PriceList'!X80/'raw-PriceList'!X81)-1)-Table14[[#This Row],[RF]],"")</f>
        <v>-7.0831332848997168E-3</v>
      </c>
      <c r="AJ81" s="6" t="str">
        <f>IFERROR((('raw-PriceList'!#REF!/'raw-PriceList'!#REF!)-1)-Table14[[#This Row],[RF]],"")</f>
        <v/>
      </c>
      <c r="AK81" s="6" t="str">
        <f>IFERROR((('raw-PriceList'!#REF!/'raw-PriceList'!#REF!)-1)-Table14[[#This Row],[RF]],"")</f>
        <v/>
      </c>
      <c r="AL81" s="6">
        <f>IFERROR((('raw-PriceList'!Y80/'raw-PriceList'!Y81)-1)-Table14[[#This Row],[RF]],"")</f>
        <v>1.1299532711250632E-2</v>
      </c>
      <c r="AM81" s="6">
        <f>IFERROR((('raw-PriceList'!Z18/'raw-PriceList'!Z19)-1)-Table14[[#This Row],[RF]],"")</f>
        <v>-2.131166689826984E-4</v>
      </c>
      <c r="AN81" s="6" t="str">
        <f>IFERROR((('raw-PriceList'!#REF!/'raw-PriceList'!#REF!)-1)-Table14[[#This Row],[RF]],"")</f>
        <v/>
      </c>
      <c r="AO81" s="6">
        <f>IFERROR((('raw-PriceList'!AA80/'raw-PriceList'!AA81)-1)-Table14[[#This Row],[RF]],"")</f>
        <v>-4.1062905094153383E-3</v>
      </c>
      <c r="AP81" s="6" t="str">
        <f>IFERROR((('raw-PriceList'!#REF!/'raw-PriceList'!#REF!)-1)-Table14[[#This Row],[RF]],"")</f>
        <v/>
      </c>
      <c r="AQ81" s="6">
        <f>IFERROR((('raw-PriceList'!AB80/'raw-PriceList'!AB81)-1)-Table14[[#This Row],[RF]],"")</f>
        <v>2.3614069227334129E-2</v>
      </c>
      <c r="AR81" s="6">
        <f>IFERROR((('raw-PriceList'!AC80/'raw-PriceList'!AC81)-1)-Table14[[#This Row],[RF]],"")</f>
        <v>1.7128524180561894E-2</v>
      </c>
      <c r="AS81" s="6" t="str">
        <f>IFERROR((('raw-PriceList'!#REF!/'raw-PriceList'!#REF!)-1)-Table14[[#This Row],[RF]],"")</f>
        <v/>
      </c>
      <c r="AT81" s="6" t="str">
        <f>IFERROR((('raw-PriceList'!#REF!/'raw-PriceList'!#REF!)-1)-Table14[[#This Row],[RF]],"")</f>
        <v/>
      </c>
      <c r="AU81" s="6" t="str">
        <f>IFERROR((('raw-PriceList'!#REF!/'raw-PriceList'!#REF!)-1)-Table14[[#This Row],[RF]],"")</f>
        <v/>
      </c>
      <c r="AV81" s="6">
        <f>IFERROR((('raw-PriceList'!AD80/'raw-PriceList'!AD81)-1)-Table14[[#This Row],[RF]],"")</f>
        <v>1.6773406612931047E-2</v>
      </c>
      <c r="AW81" s="6">
        <f>IFERROR((('raw-PriceList'!AE80/'raw-PriceList'!AE81)-1)-Table14[[#This Row],[RF]],"")</f>
        <v>1.6773406612931047E-2</v>
      </c>
      <c r="AX81" s="6">
        <f>IFERROR((('raw-PriceList'!AF80/'raw-PriceList'!AF81)-1)-Table14[[#This Row],[RF]],"")</f>
        <v>2.9476777554152917E-2</v>
      </c>
      <c r="AY81" s="6">
        <f>IFERROR((('raw-PriceList'!AG80/'raw-PriceList'!AG81)-1)-Table14[[#This Row],[RF]],"")</f>
        <v>-8.3113833658300211E-3</v>
      </c>
      <c r="AZ81" s="6">
        <f>IFERROR((('raw-PriceList'!AH80/'raw-PriceList'!AH81)-1)-Table14[[#This Row],[RF]],"")</f>
        <v>3.3188389354375132E-3</v>
      </c>
      <c r="BA81" s="6" t="str">
        <f>IFERROR((('raw-PriceList'!#REF!/'raw-PriceList'!#REF!)-1)-Table14[[#This Row],[RF]],"")</f>
        <v/>
      </c>
      <c r="BB81" s="6" t="str">
        <f>IFERROR((('raw-PriceList'!AI80/'raw-PriceList'!AI81)-1)-Table14[[#This Row],[RF]],"")</f>
        <v/>
      </c>
    </row>
    <row r="82" spans="1:54" x14ac:dyDescent="0.2">
      <c r="A82" s="5">
        <v>41029</v>
      </c>
      <c r="B82" s="9">
        <v>1</v>
      </c>
      <c r="C82" s="4">
        <v>3.8900000000000004E-2</v>
      </c>
      <c r="D82" s="4">
        <v>3.8900000000000004E-2</v>
      </c>
      <c r="E82" s="4">
        <v>3.8900000000000004E-2</v>
      </c>
      <c r="F82" s="4">
        <v>3.8900000000000004E-2</v>
      </c>
      <c r="G82" s="4">
        <v>3.8900000000000004E-2</v>
      </c>
      <c r="H82" s="6">
        <f>IFERROR((('raw-PriceList'!B81/'raw-PriceList'!B82)-1)-Table14[[#This Row],[RF]],"")</f>
        <v>-2.345469901587445E-2</v>
      </c>
      <c r="I82" s="6">
        <f>IFERROR((('raw-PriceList'!C81/'raw-PriceList'!C82)-1)-Table14[[#This Row],[RF]],"")</f>
        <v>8.7798529724462948E-4</v>
      </c>
      <c r="J82" s="6">
        <f>IFERROR((('raw-PriceList'!D81/'raw-PriceList'!D82)-1)-Table14[[#This Row],[RF]],"")</f>
        <v>-2.8908287717706552E-2</v>
      </c>
      <c r="K82" s="6" t="str">
        <f>IFERROR((('raw-PriceList'!E81/'raw-PriceList'!E82)-1)-Table14[[#This Row],[RF]],"")</f>
        <v/>
      </c>
      <c r="L82" s="6">
        <f>IFERROR((('raw-PriceList'!F52/'raw-PriceList'!F53)-1)-Table14[[#This Row],[RF]],"")</f>
        <v>-3.2600365460661099E-2</v>
      </c>
      <c r="M82" s="6">
        <f>IFERROR((('raw-PriceList'!G81/'raw-PriceList'!G82)-1)-Table14[[#This Row],[RF]],"")</f>
        <v>-3.5279169049062434E-2</v>
      </c>
      <c r="N82" s="6">
        <f>IFERROR((('raw-PriceList'!H81/'raw-PriceList'!H82)-1)-Table14[[#This Row],[RF]],"")</f>
        <v>1.9286727566964743E-2</v>
      </c>
      <c r="O82" s="6" t="str">
        <f>IFERROR((('raw-PriceList'!I81/'raw-PriceList'!I82)-1)-Table14[[#This Row],[RF]],"")</f>
        <v/>
      </c>
      <c r="P82" s="6">
        <f>IFERROR((('raw-PriceList'!J81/'raw-PriceList'!J82)-1)-Table14[[#This Row],[RF]],"")</f>
        <v>-2.455072159925116E-2</v>
      </c>
      <c r="Q82" s="6">
        <f>IFERROR((('raw-PriceList'!K81/'raw-PriceList'!K82)-1)-Table14[[#This Row],[RF]],"")</f>
        <v>-2.1378062831424252E-2</v>
      </c>
      <c r="R82" s="6">
        <f>IFERROR((('raw-PriceList'!L81/'raw-PriceList'!L82)-1)-Table14[[#This Row],[RF]],"")</f>
        <v>-2.456138953916194E-2</v>
      </c>
      <c r="S82" s="6" t="str">
        <f>IFERROR((('raw-PriceList'!#REF!/'raw-PriceList'!#REF!)-1)-Table14[[#This Row],[RF]],"")</f>
        <v/>
      </c>
      <c r="T82" s="6">
        <f>IFERROR((('raw-PriceList'!M81/'raw-PriceList'!M82)-1)-Table14[[#This Row],[RF]],"")</f>
        <v>-4.8886115125833032E-2</v>
      </c>
      <c r="U82" s="6">
        <f>IFERROR((('raw-PriceList'!N81/'raw-PriceList'!N82)-1)-Table14[[#This Row],[RF]],"")</f>
        <v>-5.2252474578083977E-2</v>
      </c>
      <c r="V82" s="6">
        <f>IFERROR((('raw-PriceList'!O81/'raw-PriceList'!O82)-1)-Table14[[#This Row],[RF]],"")</f>
        <v>-4.3172339424743036E-2</v>
      </c>
      <c r="W82" s="6">
        <f>IFERROR((('raw-PriceList'!P81/'raw-PriceList'!P82)-1)-Table14[[#This Row],[RF]],"")</f>
        <v>-1.8160737563161236E-2</v>
      </c>
      <c r="X82" s="6">
        <f>IFERROR((('raw-PriceList'!Q81/'raw-PriceList'!Q82)-1)-Table14[[#This Row],[RF]],"")</f>
        <v>1.1577535462436714E-2</v>
      </c>
      <c r="Y82" s="6" t="str">
        <f>IFERROR((('raw-PriceList'!#REF!/'raw-PriceList'!#REF!)-1)-Table14[[#This Row],[RF]],"")</f>
        <v/>
      </c>
      <c r="Z82" s="6">
        <f>IFERROR((('raw-PriceList'!R81/'raw-PriceList'!R82)-1)-Table14[[#This Row],[RF]],"")</f>
        <v>-3.1710514493055911E-2</v>
      </c>
      <c r="AA82" s="6" t="str">
        <f>IFERROR((('raw-PriceList'!#REF!/'raw-PriceList'!#REF!)-1)-Table14[[#This Row],[RF]],"")</f>
        <v/>
      </c>
      <c r="AB82" s="6" t="str">
        <f>IFERROR((('raw-PriceList'!#REF!/'raw-PriceList'!#REF!)-1)-Table14[[#This Row],[RF]],"")</f>
        <v/>
      </c>
      <c r="AC82" s="6">
        <f>IFERROR((('raw-PriceList'!S81/'raw-PriceList'!S82)-1)-Table14[[#This Row],[RF]],"")</f>
        <v>-3.6332747811896729E-2</v>
      </c>
      <c r="AD82" s="6">
        <f>IFERROR((('raw-PriceList'!T81/'raw-PriceList'!T82)-1)-Table14[[#This Row],[RF]],"")</f>
        <v>-3.4164484413938892E-2</v>
      </c>
      <c r="AE82" s="6" t="str">
        <f>IFERROR((('raw-PriceList'!#REF!/'raw-PriceList'!#REF!)-1)-Table14[[#This Row],[RF]],"")</f>
        <v/>
      </c>
      <c r="AF82" s="6">
        <f>IFERROR((('raw-PriceList'!U81/'raw-PriceList'!U82)-1)-Table14[[#This Row],[RF]],"")</f>
        <v>-3.2101868439812734E-2</v>
      </c>
      <c r="AG82" s="6">
        <f>IFERROR((('raw-PriceList'!V81/'raw-PriceList'!V82)-1)-Table14[[#This Row],[RF]],"")</f>
        <v>-3.5634347783556411E-2</v>
      </c>
      <c r="AH82" s="6">
        <f>IFERROR((('raw-PriceList'!W81/'raw-PriceList'!W82)-1)-Table14[[#This Row],[RF]],"")</f>
        <v>-9.8461380957797912E-3</v>
      </c>
      <c r="AI82" s="6">
        <f>IFERROR((('raw-PriceList'!X81/'raw-PriceList'!X82)-1)-Table14[[#This Row],[RF]],"")</f>
        <v>-3.7767470765706593E-2</v>
      </c>
      <c r="AJ82" s="6" t="str">
        <f>IFERROR((('raw-PriceList'!#REF!/'raw-PriceList'!#REF!)-1)-Table14[[#This Row],[RF]],"")</f>
        <v/>
      </c>
      <c r="AK82" s="6" t="str">
        <f>IFERROR((('raw-PriceList'!#REF!/'raw-PriceList'!#REF!)-1)-Table14[[#This Row],[RF]],"")</f>
        <v/>
      </c>
      <c r="AL82" s="6">
        <f>IFERROR((('raw-PriceList'!Y81/'raw-PriceList'!Y82)-1)-Table14[[#This Row],[RF]],"")</f>
        <v>-1.944817730771782E-2</v>
      </c>
      <c r="AM82" s="6">
        <f>IFERROR((('raw-PriceList'!Z19/'raw-PriceList'!Z20)-1)-Table14[[#This Row],[RF]],"")</f>
        <v>-3.5113085754670717E-2</v>
      </c>
      <c r="AN82" s="6" t="str">
        <f>IFERROR((('raw-PriceList'!#REF!/'raw-PriceList'!#REF!)-1)-Table14[[#This Row],[RF]],"")</f>
        <v/>
      </c>
      <c r="AO82" s="6">
        <f>IFERROR((('raw-PriceList'!AA81/'raw-PriceList'!AA82)-1)-Table14[[#This Row],[RF]],"")</f>
        <v>-3.3729138795483518E-2</v>
      </c>
      <c r="AP82" s="6" t="str">
        <f>IFERROR((('raw-PriceList'!#REF!/'raw-PriceList'!#REF!)-1)-Table14[[#This Row],[RF]],"")</f>
        <v/>
      </c>
      <c r="AQ82" s="6">
        <f>IFERROR((('raw-PriceList'!AB81/'raw-PriceList'!AB82)-1)-Table14[[#This Row],[RF]],"")</f>
        <v>-9.6019947907404896E-3</v>
      </c>
      <c r="AR82" s="6">
        <f>IFERROR((('raw-PriceList'!AC81/'raw-PriceList'!AC82)-1)-Table14[[#This Row],[RF]],"")</f>
        <v>-3.1064436750092586E-2</v>
      </c>
      <c r="AS82" s="6" t="str">
        <f>IFERROR((('raw-PriceList'!#REF!/'raw-PriceList'!#REF!)-1)-Table14[[#This Row],[RF]],"")</f>
        <v/>
      </c>
      <c r="AT82" s="6" t="str">
        <f>IFERROR((('raw-PriceList'!#REF!/'raw-PriceList'!#REF!)-1)-Table14[[#This Row],[RF]],"")</f>
        <v/>
      </c>
      <c r="AU82" s="6" t="str">
        <f>IFERROR((('raw-PriceList'!#REF!/'raw-PriceList'!#REF!)-1)-Table14[[#This Row],[RF]],"")</f>
        <v/>
      </c>
      <c r="AV82" s="6">
        <f>IFERROR((('raw-PriceList'!AD81/'raw-PriceList'!AD82)-1)-Table14[[#This Row],[RF]],"")</f>
        <v>-2.668802561091195E-2</v>
      </c>
      <c r="AW82" s="6">
        <f>IFERROR((('raw-PriceList'!AE81/'raw-PriceList'!AE82)-1)-Table14[[#This Row],[RF]],"")</f>
        <v>-2.668802561091195E-2</v>
      </c>
      <c r="AX82" s="6">
        <f>IFERROR((('raw-PriceList'!AF81/'raw-PriceList'!AF82)-1)-Table14[[#This Row],[RF]],"")</f>
        <v>-4.6166798996480865E-2</v>
      </c>
      <c r="AY82" s="6">
        <f>IFERROR((('raw-PriceList'!AG81/'raw-PriceList'!AG82)-1)-Table14[[#This Row],[RF]],"")</f>
        <v>6.0523486493561512E-3</v>
      </c>
      <c r="AZ82" s="6">
        <f>IFERROR((('raw-PriceList'!AH81/'raw-PriceList'!AH82)-1)-Table14[[#This Row],[RF]],"")</f>
        <v>-4.797403032910004E-2</v>
      </c>
      <c r="BA82" s="6" t="str">
        <f>IFERROR((('raw-PriceList'!#REF!/'raw-PriceList'!#REF!)-1)-Table14[[#This Row],[RF]],"")</f>
        <v/>
      </c>
      <c r="BB82" s="6" t="str">
        <f>IFERROR((('raw-PriceList'!AI81/'raw-PriceList'!AI82)-1)-Table14[[#This Row],[RF]],"")</f>
        <v/>
      </c>
    </row>
    <row r="83" spans="1:54" x14ac:dyDescent="0.2">
      <c r="A83" s="5">
        <v>40999</v>
      </c>
      <c r="B83" s="9">
        <v>1</v>
      </c>
      <c r="C83" s="4">
        <v>-6.1900000000000004E-2</v>
      </c>
      <c r="D83" s="4">
        <v>-6.1900000000000004E-2</v>
      </c>
      <c r="E83" s="4">
        <v>-6.1900000000000004E-2</v>
      </c>
      <c r="F83" s="4">
        <v>-6.1900000000000004E-2</v>
      </c>
      <c r="G83" s="4">
        <v>-6.1900000000000004E-2</v>
      </c>
      <c r="H83" s="6">
        <f>IFERROR((('raw-PriceList'!B82/'raw-PriceList'!B83)-1)-Table14[[#This Row],[RF]],"")</f>
        <v>6.007282468692892E-2</v>
      </c>
      <c r="I83" s="6">
        <f>IFERROR((('raw-PriceList'!C82/'raw-PriceList'!C83)-1)-Table14[[#This Row],[RF]],"")</f>
        <v>5.4292051856078931E-2</v>
      </c>
      <c r="J83" s="6">
        <f>IFERROR((('raw-PriceList'!D82/'raw-PriceList'!D83)-1)-Table14[[#This Row],[RF]],"")</f>
        <v>6.0432077525617016E-2</v>
      </c>
      <c r="K83" s="6" t="str">
        <f>IFERROR((('raw-PriceList'!E82/'raw-PriceList'!E83)-1)-Table14[[#This Row],[RF]],"")</f>
        <v/>
      </c>
      <c r="L83" s="6">
        <f>IFERROR((('raw-PriceList'!F53/'raw-PriceList'!F54)-1)-Table14[[#This Row],[RF]],"")</f>
        <v>6.9666416678346887E-2</v>
      </c>
      <c r="M83" s="6">
        <f>IFERROR((('raw-PriceList'!G82/'raw-PriceList'!G83)-1)-Table14[[#This Row],[RF]],"")</f>
        <v>6.1202376710417998E-2</v>
      </c>
      <c r="N83" s="6">
        <f>IFERROR((('raw-PriceList'!H82/'raw-PriceList'!H83)-1)-Table14[[#This Row],[RF]],"")</f>
        <v>3.3166722860391844E-2</v>
      </c>
      <c r="O83" s="6" t="str">
        <f>IFERROR((('raw-PriceList'!I82/'raw-PriceList'!I83)-1)-Table14[[#This Row],[RF]],"")</f>
        <v/>
      </c>
      <c r="P83" s="6">
        <f>IFERROR((('raw-PriceList'!J82/'raw-PriceList'!J83)-1)-Table14[[#This Row],[RF]],"")</f>
        <v>9.8996814231786023E-2</v>
      </c>
      <c r="Q83" s="6">
        <f>IFERROR((('raw-PriceList'!K82/'raw-PriceList'!K83)-1)-Table14[[#This Row],[RF]],"")</f>
        <v>9.1480669146419114E-2</v>
      </c>
      <c r="R83" s="6">
        <f>IFERROR((('raw-PriceList'!L82/'raw-PriceList'!L83)-1)-Table14[[#This Row],[RF]],"")</f>
        <v>0.10373773345968068</v>
      </c>
      <c r="S83" s="6" t="str">
        <f>IFERROR((('raw-PriceList'!#REF!/'raw-PriceList'!#REF!)-1)-Table14[[#This Row],[RF]],"")</f>
        <v/>
      </c>
      <c r="T83" s="6">
        <f>IFERROR((('raw-PriceList'!M82/'raw-PriceList'!M83)-1)-Table14[[#This Row],[RF]],"")</f>
        <v>0.10810843658117458</v>
      </c>
      <c r="U83" s="6">
        <f>IFERROR((('raw-PriceList'!N82/'raw-PriceList'!N83)-1)-Table14[[#This Row],[RF]],"")</f>
        <v>0.11047647733137372</v>
      </c>
      <c r="V83" s="6">
        <f>IFERROR((('raw-PriceList'!O82/'raw-PriceList'!O83)-1)-Table14[[#This Row],[RF]],"")</f>
        <v>0.10664120020336759</v>
      </c>
      <c r="W83" s="6">
        <f>IFERROR((('raw-PriceList'!P82/'raw-PriceList'!P83)-1)-Table14[[#This Row],[RF]],"")</f>
        <v>6.6424752991137204E-2</v>
      </c>
      <c r="X83" s="6">
        <f>IFERROR((('raw-PriceList'!Q82/'raw-PriceList'!Q83)-1)-Table14[[#This Row],[RF]],"")</f>
        <v>6.7932715572860791E-2</v>
      </c>
      <c r="Y83" s="6" t="str">
        <f>IFERROR((('raw-PriceList'!#REF!/'raw-PriceList'!#REF!)-1)-Table14[[#This Row],[RF]],"")</f>
        <v/>
      </c>
      <c r="Z83" s="6">
        <f>IFERROR((('raw-PriceList'!R82/'raw-PriceList'!R83)-1)-Table14[[#This Row],[RF]],"")</f>
        <v>6.4519294566388996E-2</v>
      </c>
      <c r="AA83" s="6" t="str">
        <f>IFERROR((('raw-PriceList'!#REF!/'raw-PriceList'!#REF!)-1)-Table14[[#This Row],[RF]],"")</f>
        <v/>
      </c>
      <c r="AB83" s="6" t="str">
        <f>IFERROR((('raw-PriceList'!#REF!/'raw-PriceList'!#REF!)-1)-Table14[[#This Row],[RF]],"")</f>
        <v/>
      </c>
      <c r="AC83" s="6">
        <f>IFERROR((('raw-PriceList'!S82/'raw-PriceList'!S83)-1)-Table14[[#This Row],[RF]],"")</f>
        <v>0.1317707610684366</v>
      </c>
      <c r="AD83" s="6">
        <f>IFERROR((('raw-PriceList'!T82/'raw-PriceList'!T83)-1)-Table14[[#This Row],[RF]],"")</f>
        <v>0.1271960185994862</v>
      </c>
      <c r="AE83" s="6" t="str">
        <f>IFERROR((('raw-PriceList'!#REF!/'raw-PriceList'!#REF!)-1)-Table14[[#This Row],[RF]],"")</f>
        <v/>
      </c>
      <c r="AF83" s="6">
        <f>IFERROR((('raw-PriceList'!U82/'raw-PriceList'!U83)-1)-Table14[[#This Row],[RF]],"")</f>
        <v>5.9255662690038617E-2</v>
      </c>
      <c r="AG83" s="6">
        <f>IFERROR((('raw-PriceList'!V82/'raw-PriceList'!V83)-1)-Table14[[#This Row],[RF]],"")</f>
        <v>0.14473159066393343</v>
      </c>
      <c r="AH83" s="6">
        <f>IFERROR((('raw-PriceList'!W82/'raw-PriceList'!W83)-1)-Table14[[#This Row],[RF]],"")</f>
        <v>4.4480086879198626E-2</v>
      </c>
      <c r="AI83" s="6">
        <f>IFERROR((('raw-PriceList'!X82/'raw-PriceList'!X83)-1)-Table14[[#This Row],[RF]],"")</f>
        <v>6.113631523660195E-2</v>
      </c>
      <c r="AJ83" s="6" t="str">
        <f>IFERROR((('raw-PriceList'!#REF!/'raw-PriceList'!#REF!)-1)-Table14[[#This Row],[RF]],"")</f>
        <v/>
      </c>
      <c r="AK83" s="6" t="str">
        <f>IFERROR((('raw-PriceList'!#REF!/'raw-PriceList'!#REF!)-1)-Table14[[#This Row],[RF]],"")</f>
        <v/>
      </c>
      <c r="AL83" s="6">
        <f>IFERROR((('raw-PriceList'!Y82/'raw-PriceList'!Y83)-1)-Table14[[#This Row],[RF]],"")</f>
        <v>7.8045576527491167E-2</v>
      </c>
      <c r="AM83" s="6">
        <f>IFERROR((('raw-PriceList'!Z20/'raw-PriceList'!Z21)-1)-Table14[[#This Row],[RF]],"")</f>
        <v>6.9791353219357644E-2</v>
      </c>
      <c r="AN83" s="6" t="str">
        <f>IFERROR((('raw-PriceList'!#REF!/'raw-PriceList'!#REF!)-1)-Table14[[#This Row],[RF]],"")</f>
        <v/>
      </c>
      <c r="AO83" s="6">
        <f>IFERROR((('raw-PriceList'!AA82/'raw-PriceList'!AA83)-1)-Table14[[#This Row],[RF]],"")</f>
        <v>6.405222141226713E-2</v>
      </c>
      <c r="AP83" s="6" t="str">
        <f>IFERROR((('raw-PriceList'!#REF!/'raw-PriceList'!#REF!)-1)-Table14[[#This Row],[RF]],"")</f>
        <v/>
      </c>
      <c r="AQ83" s="6">
        <f>IFERROR((('raw-PriceList'!AB82/'raw-PriceList'!AB83)-1)-Table14[[#This Row],[RF]],"")</f>
        <v>0.14037231670234934</v>
      </c>
      <c r="AR83" s="6">
        <f>IFERROR((('raw-PriceList'!AC82/'raw-PriceList'!AC83)-1)-Table14[[#This Row],[RF]],"")</f>
        <v>9.557569173826036E-2</v>
      </c>
      <c r="AS83" s="6" t="str">
        <f>IFERROR((('raw-PriceList'!#REF!/'raw-PriceList'!#REF!)-1)-Table14[[#This Row],[RF]],"")</f>
        <v/>
      </c>
      <c r="AT83" s="6" t="str">
        <f>IFERROR((('raw-PriceList'!#REF!/'raw-PriceList'!#REF!)-1)-Table14[[#This Row],[RF]],"")</f>
        <v/>
      </c>
      <c r="AU83" s="6" t="str">
        <f>IFERROR((('raw-PriceList'!#REF!/'raw-PriceList'!#REF!)-1)-Table14[[#This Row],[RF]],"")</f>
        <v/>
      </c>
      <c r="AV83" s="6">
        <f>IFERROR((('raw-PriceList'!AD82/'raw-PriceList'!AD83)-1)-Table14[[#This Row],[RF]],"")</f>
        <v>9.7774531206935078E-2</v>
      </c>
      <c r="AW83" s="6">
        <f>IFERROR((('raw-PriceList'!AE82/'raw-PriceList'!AE83)-1)-Table14[[#This Row],[RF]],"")</f>
        <v>9.7774531206935078E-2</v>
      </c>
      <c r="AX83" s="6">
        <f>IFERROR((('raw-PriceList'!AF82/'raw-PriceList'!AF83)-1)-Table14[[#This Row],[RF]],"")</f>
        <v>7.7205737778612116E-2</v>
      </c>
      <c r="AY83" s="6">
        <f>IFERROR((('raw-PriceList'!AG82/'raw-PriceList'!AG83)-1)-Table14[[#This Row],[RF]],"")</f>
        <v>0.11879835998221305</v>
      </c>
      <c r="AZ83" s="6">
        <f>IFERROR((('raw-PriceList'!AH82/'raw-PriceList'!AH83)-1)-Table14[[#This Row],[RF]],"")</f>
        <v>0.12867143789357066</v>
      </c>
      <c r="BA83" s="6" t="str">
        <f>IFERROR((('raw-PriceList'!#REF!/'raw-PriceList'!#REF!)-1)-Table14[[#This Row],[RF]],"")</f>
        <v/>
      </c>
      <c r="BB83" s="6" t="str">
        <f>IFERROR((('raw-PriceList'!AI82/'raw-PriceList'!AI83)-1)-Table14[[#This Row],[RF]],"")</f>
        <v/>
      </c>
    </row>
    <row r="84" spans="1:54" x14ac:dyDescent="0.2">
      <c r="A84" s="5">
        <v>40968</v>
      </c>
      <c r="B84" s="9">
        <v>1</v>
      </c>
      <c r="C84" s="4">
        <v>-8.5000000000000006E-3</v>
      </c>
      <c r="D84" s="4">
        <v>-8.5000000000000006E-3</v>
      </c>
      <c r="E84" s="4">
        <v>-8.5000000000000006E-3</v>
      </c>
      <c r="F84" s="4">
        <v>-8.5000000000000006E-3</v>
      </c>
      <c r="G84" s="4">
        <v>-8.5000000000000006E-3</v>
      </c>
      <c r="H84" s="6">
        <f>IFERROR((('raw-PriceList'!B83/'raw-PriceList'!B84)-1)-Table14[[#This Row],[RF]],"")</f>
        <v>2.0734750760512281E-2</v>
      </c>
      <c r="I84" s="6">
        <f>IFERROR((('raw-PriceList'!C83/'raw-PriceList'!C84)-1)-Table14[[#This Row],[RF]],"")</f>
        <v>5.4362070887831897E-2</v>
      </c>
      <c r="J84" s="6">
        <f>IFERROR((('raw-PriceList'!D83/'raw-PriceList'!D84)-1)-Table14[[#This Row],[RF]],"")</f>
        <v>1.5595930671799256E-2</v>
      </c>
      <c r="K84" s="6" t="str">
        <f>IFERROR((('raw-PriceList'!E83/'raw-PriceList'!E84)-1)-Table14[[#This Row],[RF]],"")</f>
        <v/>
      </c>
      <c r="L84" s="6">
        <f>IFERROR((('raw-PriceList'!F54/'raw-PriceList'!F55)-1)-Table14[[#This Row],[RF]],"")</f>
        <v>1.3477507469523746E-2</v>
      </c>
      <c r="M84" s="6">
        <f>IFERROR((('raw-PriceList'!G83/'raw-PriceList'!G84)-1)-Table14[[#This Row],[RF]],"")</f>
        <v>8.5150267161462831E-3</v>
      </c>
      <c r="N84" s="6">
        <f>IFERROR((('raw-PriceList'!H83/'raw-PriceList'!H84)-1)-Table14[[#This Row],[RF]],"")</f>
        <v>0.1490132466526975</v>
      </c>
      <c r="O84" s="6" t="str">
        <f>IFERROR((('raw-PriceList'!I83/'raw-PriceList'!I84)-1)-Table14[[#This Row],[RF]],"")</f>
        <v/>
      </c>
      <c r="P84" s="6">
        <f>IFERROR((('raw-PriceList'!J83/'raw-PriceList'!J84)-1)-Table14[[#This Row],[RF]],"")</f>
        <v>-5.10310679030836E-2</v>
      </c>
      <c r="Q84" s="6">
        <f>IFERROR((('raw-PriceList'!K83/'raw-PriceList'!K84)-1)-Table14[[#This Row],[RF]],"")</f>
        <v>-5.3106910031424155E-2</v>
      </c>
      <c r="R84" s="6">
        <f>IFERROR((('raw-PriceList'!L83/'raw-PriceList'!L84)-1)-Table14[[#This Row],[RF]],"")</f>
        <v>-4.642378213029303E-2</v>
      </c>
      <c r="S84" s="6" t="str">
        <f>IFERROR((('raw-PriceList'!#REF!/'raw-PriceList'!#REF!)-1)-Table14[[#This Row],[RF]],"")</f>
        <v/>
      </c>
      <c r="T84" s="6">
        <f>IFERROR((('raw-PriceList'!M83/'raw-PriceList'!M84)-1)-Table14[[#This Row],[RF]],"")</f>
        <v>-5.8755291366017821E-2</v>
      </c>
      <c r="U84" s="6">
        <f>IFERROR((('raw-PriceList'!N83/'raw-PriceList'!N84)-1)-Table14[[#This Row],[RF]],"")</f>
        <v>-6.352983183526012E-2</v>
      </c>
      <c r="V84" s="6">
        <f>IFERROR((('raw-PriceList'!O83/'raw-PriceList'!O84)-1)-Table14[[#This Row],[RF]],"")</f>
        <v>-5.4670925232650887E-2</v>
      </c>
      <c r="W84" s="6">
        <f>IFERROR((('raw-PriceList'!P83/'raw-PriceList'!P84)-1)-Table14[[#This Row],[RF]],"")</f>
        <v>9.7198203635998001E-3</v>
      </c>
      <c r="X84" s="6">
        <f>IFERROR((('raw-PriceList'!Q83/'raw-PriceList'!Q84)-1)-Table14[[#This Row],[RF]],"")</f>
        <v>3.3949693455436462E-2</v>
      </c>
      <c r="Y84" s="6" t="str">
        <f>IFERROR((('raw-PriceList'!#REF!/'raw-PriceList'!#REF!)-1)-Table14[[#This Row],[RF]],"")</f>
        <v/>
      </c>
      <c r="Z84" s="6">
        <f>IFERROR((('raw-PriceList'!R83/'raw-PriceList'!R84)-1)-Table14[[#This Row],[RF]],"")</f>
        <v>5.0287766673807119E-3</v>
      </c>
      <c r="AA84" s="6" t="str">
        <f>IFERROR((('raw-PriceList'!#REF!/'raw-PriceList'!#REF!)-1)-Table14[[#This Row],[RF]],"")</f>
        <v/>
      </c>
      <c r="AB84" s="6" t="str">
        <f>IFERROR((('raw-PriceList'!#REF!/'raw-PriceList'!#REF!)-1)-Table14[[#This Row],[RF]],"")</f>
        <v/>
      </c>
      <c r="AC84" s="6">
        <f>IFERROR((('raw-PriceList'!S83/'raw-PriceList'!S84)-1)-Table14[[#This Row],[RF]],"")</f>
        <v>-0.10327642547691468</v>
      </c>
      <c r="AD84" s="6">
        <f>IFERROR((('raw-PriceList'!T83/'raw-PriceList'!T84)-1)-Table14[[#This Row],[RF]],"")</f>
        <v>-0.10541634763793589</v>
      </c>
      <c r="AE84" s="6" t="str">
        <f>IFERROR((('raw-PriceList'!#REF!/'raw-PriceList'!#REF!)-1)-Table14[[#This Row],[RF]],"")</f>
        <v/>
      </c>
      <c r="AF84" s="6">
        <f>IFERROR((('raw-PriceList'!U83/'raw-PriceList'!U84)-1)-Table14[[#This Row],[RF]],"")</f>
        <v>1.8977572011322379E-2</v>
      </c>
      <c r="AG84" s="6">
        <f>IFERROR((('raw-PriceList'!V83/'raw-PriceList'!V84)-1)-Table14[[#This Row],[RF]],"")</f>
        <v>-0.11124534850911066</v>
      </c>
      <c r="AH84" s="6">
        <f>IFERROR((('raw-PriceList'!W83/'raw-PriceList'!W84)-1)-Table14[[#This Row],[RF]],"")</f>
        <v>8.4880143946069186E-2</v>
      </c>
      <c r="AI84" s="6">
        <f>IFERROR((('raw-PriceList'!X83/'raw-PriceList'!X84)-1)-Table14[[#This Row],[RF]],"")</f>
        <v>8.4345455905546138E-3</v>
      </c>
      <c r="AJ84" s="6" t="str">
        <f>IFERROR((('raw-PriceList'!#REF!/'raw-PriceList'!#REF!)-1)-Table14[[#This Row],[RF]],"")</f>
        <v/>
      </c>
      <c r="AK84" s="6" t="str">
        <f>IFERROR((('raw-PriceList'!#REF!/'raw-PriceList'!#REF!)-1)-Table14[[#This Row],[RF]],"")</f>
        <v/>
      </c>
      <c r="AL84" s="6">
        <f>IFERROR((('raw-PriceList'!Y83/'raw-PriceList'!Y84)-1)-Table14[[#This Row],[RF]],"")</f>
        <v>-3.5299184428388593E-2</v>
      </c>
      <c r="AM84" s="6">
        <f>IFERROR((('raw-PriceList'!Z21/'raw-PriceList'!Z22)-1)-Table14[[#This Row],[RF]],"")</f>
        <v>3.2305151066537356E-2</v>
      </c>
      <c r="AN84" s="6" t="str">
        <f>IFERROR((('raw-PriceList'!#REF!/'raw-PriceList'!#REF!)-1)-Table14[[#This Row],[RF]],"")</f>
        <v/>
      </c>
      <c r="AO84" s="6">
        <f>IFERROR((('raw-PriceList'!AA83/'raw-PriceList'!AA84)-1)-Table14[[#This Row],[RF]],"")</f>
        <v>1.0075668426891941E-2</v>
      </c>
      <c r="AP84" s="6" t="str">
        <f>IFERROR((('raw-PriceList'!#REF!/'raw-PriceList'!#REF!)-1)-Table14[[#This Row],[RF]],"")</f>
        <v/>
      </c>
      <c r="AQ84" s="6">
        <f>IFERROR((('raw-PriceList'!AB83/'raw-PriceList'!AB84)-1)-Table14[[#This Row],[RF]],"")</f>
        <v>-6.5975875892890945E-2</v>
      </c>
      <c r="AR84" s="6">
        <f>IFERROR((('raw-PriceList'!AC83/'raw-PriceList'!AC84)-1)-Table14[[#This Row],[RF]],"")</f>
        <v>-5.9009555456018888E-2</v>
      </c>
      <c r="AS84" s="6" t="str">
        <f>IFERROR((('raw-PriceList'!#REF!/'raw-PriceList'!#REF!)-1)-Table14[[#This Row],[RF]],"")</f>
        <v/>
      </c>
      <c r="AT84" s="6" t="str">
        <f>IFERROR((('raw-PriceList'!#REF!/'raw-PriceList'!#REF!)-1)-Table14[[#This Row],[RF]],"")</f>
        <v/>
      </c>
      <c r="AU84" s="6" t="str">
        <f>IFERROR((('raw-PriceList'!#REF!/'raw-PriceList'!#REF!)-1)-Table14[[#This Row],[RF]],"")</f>
        <v/>
      </c>
      <c r="AV84" s="6">
        <f>IFERROR((('raw-PriceList'!AD83/'raw-PriceList'!AD84)-1)-Table14[[#This Row],[RF]],"")</f>
        <v>-5.1280743053936213E-2</v>
      </c>
      <c r="AW84" s="6">
        <f>IFERROR((('raw-PriceList'!AE83/'raw-PriceList'!AE84)-1)-Table14[[#This Row],[RF]],"")</f>
        <v>-5.1280743053936213E-2</v>
      </c>
      <c r="AX84" s="6">
        <f>IFERROR((('raw-PriceList'!AF83/'raw-PriceList'!AF84)-1)-Table14[[#This Row],[RF]],"")</f>
        <v>-6.6794283749831151E-2</v>
      </c>
      <c r="AY84" s="6">
        <f>IFERROR((('raw-PriceList'!AG83/'raw-PriceList'!AG84)-1)-Table14[[#This Row],[RF]],"")</f>
        <v>-9.1248254767568177E-4</v>
      </c>
      <c r="AZ84" s="6">
        <f>IFERROR((('raw-PriceList'!AH83/'raw-PriceList'!AH84)-1)-Table14[[#This Row],[RF]],"")</f>
        <v>-8.7028434938753396E-2</v>
      </c>
      <c r="BA84" s="6" t="str">
        <f>IFERROR((('raw-PriceList'!#REF!/'raw-PriceList'!#REF!)-1)-Table14[[#This Row],[RF]],"")</f>
        <v/>
      </c>
      <c r="BB84" s="6" t="str">
        <f>IFERROR((('raw-PriceList'!AI83/'raw-PriceList'!AI84)-1)-Table14[[#This Row],[RF]],"")</f>
        <v/>
      </c>
    </row>
    <row r="85" spans="1:54" x14ac:dyDescent="0.2">
      <c r="A85" s="5">
        <v>40939</v>
      </c>
      <c r="B85" s="9">
        <v>1</v>
      </c>
      <c r="C85" s="4">
        <v>3.1099999999999999E-2</v>
      </c>
      <c r="D85" s="4">
        <v>3.1099999999999999E-2</v>
      </c>
      <c r="E85" s="4">
        <v>3.1099999999999999E-2</v>
      </c>
      <c r="F85" s="4">
        <v>3.1099999999999999E-2</v>
      </c>
      <c r="G85" s="4">
        <v>3.1099999999999999E-2</v>
      </c>
      <c r="H85" s="6">
        <f>IFERROR((('raw-PriceList'!B84/'raw-PriceList'!B85)-1)-Table14[[#This Row],[RF]],"")</f>
        <v>-2.0328191955820345E-2</v>
      </c>
      <c r="I85" s="6">
        <f>IFERROR((('raw-PriceList'!C84/'raw-PriceList'!C85)-1)-Table14[[#This Row],[RF]],"")</f>
        <v>-2.1542932062127255E-3</v>
      </c>
      <c r="J85" s="6">
        <f>IFERROR((('raw-PriceList'!D84/'raw-PriceList'!D85)-1)-Table14[[#This Row],[RF]],"")</f>
        <v>-2.3448824442263799E-2</v>
      </c>
      <c r="K85" s="6" t="str">
        <f>IFERROR((('raw-PriceList'!E84/'raw-PriceList'!E85)-1)-Table14[[#This Row],[RF]],"")</f>
        <v/>
      </c>
      <c r="L85" s="6">
        <f>IFERROR((('raw-PriceList'!F55/'raw-PriceList'!F56)-1)-Table14[[#This Row],[RF]],"")</f>
        <v>-3.3629643633222947E-2</v>
      </c>
      <c r="M85" s="6">
        <f>IFERROR((('raw-PriceList'!G84/'raw-PriceList'!G85)-1)-Table14[[#This Row],[RF]],"")</f>
        <v>-2.8098979934847539E-2</v>
      </c>
      <c r="N85" s="6">
        <f>IFERROR((('raw-PriceList'!H84/'raw-PriceList'!H85)-1)-Table14[[#This Row],[RF]],"")</f>
        <v>3.6214242804639155E-2</v>
      </c>
      <c r="O85" s="6" t="str">
        <f>IFERROR((('raw-PriceList'!I84/'raw-PriceList'!I85)-1)-Table14[[#This Row],[RF]],"")</f>
        <v/>
      </c>
      <c r="P85" s="6">
        <f>IFERROR((('raw-PriceList'!J84/'raw-PriceList'!J85)-1)-Table14[[#This Row],[RF]],"")</f>
        <v>-3.6807623913201012E-2</v>
      </c>
      <c r="Q85" s="6">
        <f>IFERROR((('raw-PriceList'!K84/'raw-PriceList'!K85)-1)-Table14[[#This Row],[RF]],"")</f>
        <v>-3.4202284391325208E-2</v>
      </c>
      <c r="R85" s="6">
        <f>IFERROR((('raw-PriceList'!L84/'raw-PriceList'!L85)-1)-Table14[[#This Row],[RF]],"")</f>
        <v>-4.3609557452665912E-2</v>
      </c>
      <c r="S85" s="6" t="str">
        <f>IFERROR((('raw-PriceList'!#REF!/'raw-PriceList'!#REF!)-1)-Table14[[#This Row],[RF]],"")</f>
        <v/>
      </c>
      <c r="T85" s="6">
        <f>IFERROR((('raw-PriceList'!M84/'raw-PriceList'!M85)-1)-Table14[[#This Row],[RF]],"")</f>
        <v>-4.1255837250002356E-2</v>
      </c>
      <c r="U85" s="6">
        <f>IFERROR((('raw-PriceList'!N84/'raw-PriceList'!N85)-1)-Table14[[#This Row],[RF]],"")</f>
        <v>-4.0993636450205581E-2</v>
      </c>
      <c r="V85" s="6">
        <f>IFERROR((('raw-PriceList'!O84/'raw-PriceList'!O85)-1)-Table14[[#This Row],[RF]],"")</f>
        <v>-4.1006660877136655E-2</v>
      </c>
      <c r="W85" s="6">
        <f>IFERROR((('raw-PriceList'!P84/'raw-PriceList'!P85)-1)-Table14[[#This Row],[RF]],"")</f>
        <v>-1.9427488022406441E-2</v>
      </c>
      <c r="X85" s="6">
        <f>IFERROR((('raw-PriceList'!Q84/'raw-PriceList'!Q85)-1)-Table14[[#This Row],[RF]],"")</f>
        <v>-1.279679700125667E-2</v>
      </c>
      <c r="Y85" s="6" t="str">
        <f>IFERROR((('raw-PriceList'!#REF!/'raw-PriceList'!#REF!)-1)-Table14[[#This Row],[RF]],"")</f>
        <v/>
      </c>
      <c r="Z85" s="6">
        <f>IFERROR((('raw-PriceList'!R84/'raw-PriceList'!R85)-1)-Table14[[#This Row],[RF]],"")</f>
        <v>-2.8753301522728685E-2</v>
      </c>
      <c r="AA85" s="6" t="str">
        <f>IFERROR((('raw-PriceList'!#REF!/'raw-PriceList'!#REF!)-1)-Table14[[#This Row],[RF]],"")</f>
        <v/>
      </c>
      <c r="AB85" s="6" t="str">
        <f>IFERROR((('raw-PriceList'!#REF!/'raw-PriceList'!#REF!)-1)-Table14[[#This Row],[RF]],"")</f>
        <v/>
      </c>
      <c r="AC85" s="6">
        <f>IFERROR((('raw-PriceList'!S84/'raw-PriceList'!S85)-1)-Table14[[#This Row],[RF]],"")</f>
        <v>-5.4844057153587186E-2</v>
      </c>
      <c r="AD85" s="6">
        <f>IFERROR((('raw-PriceList'!T84/'raw-PriceList'!T85)-1)-Table14[[#This Row],[RF]],"")</f>
        <v>-4.9316828127685439E-2</v>
      </c>
      <c r="AE85" s="6" t="str">
        <f>IFERROR((('raw-PriceList'!#REF!/'raw-PriceList'!#REF!)-1)-Table14[[#This Row],[RF]],"")</f>
        <v/>
      </c>
      <c r="AF85" s="6">
        <f>IFERROR((('raw-PriceList'!U84/'raw-PriceList'!U85)-1)-Table14[[#This Row],[RF]],"")</f>
        <v>-1.5516934910909535E-2</v>
      </c>
      <c r="AG85" s="6">
        <f>IFERROR((('raw-PriceList'!V84/'raw-PriceList'!V85)-1)-Table14[[#This Row],[RF]],"")</f>
        <v>-5.6224293817177182E-2</v>
      </c>
      <c r="AH85" s="6">
        <f>IFERROR((('raw-PriceList'!W84/'raw-PriceList'!W85)-1)-Table14[[#This Row],[RF]],"")</f>
        <v>1.3264329491384914E-2</v>
      </c>
      <c r="AI85" s="6">
        <f>IFERROR((('raw-PriceList'!X84/'raw-PriceList'!X85)-1)-Table14[[#This Row],[RF]],"")</f>
        <v>-2.9475440912434574E-2</v>
      </c>
      <c r="AJ85" s="6" t="str">
        <f>IFERROR((('raw-PriceList'!#REF!/'raw-PriceList'!#REF!)-1)-Table14[[#This Row],[RF]],"")</f>
        <v/>
      </c>
      <c r="AK85" s="6" t="str">
        <f>IFERROR((('raw-PriceList'!#REF!/'raw-PriceList'!#REF!)-1)-Table14[[#This Row],[RF]],"")</f>
        <v/>
      </c>
      <c r="AL85" s="6">
        <f>IFERROR((('raw-PriceList'!Y84/'raw-PriceList'!Y85)-1)-Table14[[#This Row],[RF]],"")</f>
        <v>-3.4542309337821195E-2</v>
      </c>
      <c r="AM85" s="6">
        <f>IFERROR((('raw-PriceList'!Z22/'raw-PriceList'!Z23)-1)-Table14[[#This Row],[RF]],"")</f>
        <v>-3.7840903330635486E-2</v>
      </c>
      <c r="AN85" s="6" t="str">
        <f>IFERROR((('raw-PriceList'!#REF!/'raw-PriceList'!#REF!)-1)-Table14[[#This Row],[RF]],"")</f>
        <v/>
      </c>
      <c r="AO85" s="6">
        <f>IFERROR((('raw-PriceList'!AA84/'raw-PriceList'!AA85)-1)-Table14[[#This Row],[RF]],"")</f>
        <v>-2.5864937904124568E-2</v>
      </c>
      <c r="AP85" s="6" t="str">
        <f>IFERROR((('raw-PriceList'!#REF!/'raw-PriceList'!#REF!)-1)-Table14[[#This Row],[RF]],"")</f>
        <v/>
      </c>
      <c r="AQ85" s="6">
        <f>IFERROR((('raw-PriceList'!AB84/'raw-PriceList'!AB85)-1)-Table14[[#This Row],[RF]],"")</f>
        <v>-1.2440453968120973E-2</v>
      </c>
      <c r="AR85" s="6">
        <f>IFERROR((('raw-PriceList'!AC84/'raw-PriceList'!AC85)-1)-Table14[[#This Row],[RF]],"")</f>
        <v>-3.8794832440394486E-2</v>
      </c>
      <c r="AS85" s="6" t="str">
        <f>IFERROR((('raw-PriceList'!#REF!/'raw-PriceList'!#REF!)-1)-Table14[[#This Row],[RF]],"")</f>
        <v/>
      </c>
      <c r="AT85" s="6" t="str">
        <f>IFERROR((('raw-PriceList'!#REF!/'raw-PriceList'!#REF!)-1)-Table14[[#This Row],[RF]],"")</f>
        <v/>
      </c>
      <c r="AU85" s="6" t="str">
        <f>IFERROR((('raw-PriceList'!#REF!/'raw-PriceList'!#REF!)-1)-Table14[[#This Row],[RF]],"")</f>
        <v/>
      </c>
      <c r="AV85" s="6">
        <f>IFERROR((('raw-PriceList'!AD84/'raw-PriceList'!AD85)-1)-Table14[[#This Row],[RF]],"")</f>
        <v>-3.7708284373728515E-2</v>
      </c>
      <c r="AW85" s="6">
        <f>IFERROR((('raw-PriceList'!AE84/'raw-PriceList'!AE85)-1)-Table14[[#This Row],[RF]],"")</f>
        <v>-3.7708284373728515E-2</v>
      </c>
      <c r="AX85" s="6">
        <f>IFERROR((('raw-PriceList'!AF84/'raw-PriceList'!AF85)-1)-Table14[[#This Row],[RF]],"")</f>
        <v>-3.6293608990918699E-2</v>
      </c>
      <c r="AY85" s="6">
        <f>IFERROR((('raw-PriceList'!AG84/'raw-PriceList'!AG85)-1)-Table14[[#This Row],[RF]],"")</f>
        <v>-3.4798828652985545E-2</v>
      </c>
      <c r="AZ85" s="6">
        <f>IFERROR((('raw-PriceList'!AH84/'raw-PriceList'!AH85)-1)-Table14[[#This Row],[RF]],"")</f>
        <v>-5.3462224640772757E-2</v>
      </c>
      <c r="BA85" s="6" t="str">
        <f>IFERROR((('raw-PriceList'!#REF!/'raw-PriceList'!#REF!)-1)-Table14[[#This Row],[RF]],"")</f>
        <v/>
      </c>
      <c r="BB85" s="6" t="str">
        <f>IFERROR((('raw-PriceList'!AI84/'raw-PriceList'!AI85)-1)-Table14[[#This Row],[RF]],"")</f>
        <v/>
      </c>
    </row>
    <row r="86" spans="1:54" x14ac:dyDescent="0.2">
      <c r="A86" s="5">
        <v>40908</v>
      </c>
      <c r="B86" s="9">
        <v>1</v>
      </c>
      <c r="C86" s="4">
        <v>4.4199999999999996E-2</v>
      </c>
      <c r="D86" s="4">
        <v>4.4199999999999996E-2</v>
      </c>
      <c r="E86" s="4">
        <v>4.4199999999999996E-2</v>
      </c>
      <c r="F86" s="4">
        <v>4.4199999999999996E-2</v>
      </c>
      <c r="G86" s="4">
        <v>4.4199999999999996E-2</v>
      </c>
      <c r="H86" s="6">
        <f>IFERROR((('raw-PriceList'!B85/'raw-PriceList'!B86)-1)-Table14[[#This Row],[RF]],"")</f>
        <v>-5.660898758397135E-2</v>
      </c>
      <c r="I86" s="6">
        <f>IFERROR((('raw-PriceList'!C85/'raw-PriceList'!C86)-1)-Table14[[#This Row],[RF]],"")</f>
        <v>-7.6300376585284851E-2</v>
      </c>
      <c r="J86" s="6">
        <f>IFERROR((('raw-PriceList'!D85/'raw-PriceList'!D86)-1)-Table14[[#This Row],[RF]],"")</f>
        <v>-5.1651385791858552E-2</v>
      </c>
      <c r="K86" s="6" t="str">
        <f>IFERROR((('raw-PriceList'!E85/'raw-PriceList'!E86)-1)-Table14[[#This Row],[RF]],"")</f>
        <v/>
      </c>
      <c r="L86" s="6">
        <f>IFERROR((('raw-PriceList'!F56/'raw-PriceList'!F57)-1)-Table14[[#This Row],[RF]],"")</f>
        <v>-3.1962991818096788E-2</v>
      </c>
      <c r="M86" s="6">
        <f>IFERROR((('raw-PriceList'!G85/'raw-PriceList'!G86)-1)-Table14[[#This Row],[RF]],"")</f>
        <v>-4.7281800541011589E-2</v>
      </c>
      <c r="N86" s="6">
        <f>IFERROR((('raw-PriceList'!H85/'raw-PriceList'!H86)-1)-Table14[[#This Row],[RF]],"")</f>
        <v>-0.1172980217526873</v>
      </c>
      <c r="O86" s="6" t="str">
        <f>IFERROR((('raw-PriceList'!I85/'raw-PriceList'!I86)-1)-Table14[[#This Row],[RF]],"")</f>
        <v/>
      </c>
      <c r="P86" s="6">
        <f>IFERROR((('raw-PriceList'!J85/'raw-PriceList'!J86)-1)-Table14[[#This Row],[RF]],"")</f>
        <v>-1.482067629535664E-2</v>
      </c>
      <c r="Q86" s="6">
        <f>IFERROR((('raw-PriceList'!K85/'raw-PriceList'!K86)-1)-Table14[[#This Row],[RF]],"")</f>
        <v>-9.2592044723740288E-3</v>
      </c>
      <c r="R86" s="6">
        <f>IFERROR((('raw-PriceList'!L85/'raw-PriceList'!L86)-1)-Table14[[#This Row],[RF]],"")</f>
        <v>-1.9128042687743131E-2</v>
      </c>
      <c r="S86" s="6" t="str">
        <f>IFERROR((('raw-PriceList'!#REF!/'raw-PriceList'!#REF!)-1)-Table14[[#This Row],[RF]],"")</f>
        <v/>
      </c>
      <c r="T86" s="6">
        <f>IFERROR((('raw-PriceList'!M85/'raw-PriceList'!M86)-1)-Table14[[#This Row],[RF]],"")</f>
        <v>-2.1155210520146218E-2</v>
      </c>
      <c r="U86" s="6">
        <f>IFERROR((('raw-PriceList'!N85/'raw-PriceList'!N86)-1)-Table14[[#This Row],[RF]],"")</f>
        <v>-2.1715194247893456E-2</v>
      </c>
      <c r="V86" s="6">
        <f>IFERROR((('raw-PriceList'!O85/'raw-PriceList'!O86)-1)-Table14[[#This Row],[RF]],"")</f>
        <v>-2.0477331120840804E-2</v>
      </c>
      <c r="W86" s="6">
        <f>IFERROR((('raw-PriceList'!P85/'raw-PriceList'!P86)-1)-Table14[[#This Row],[RF]],"")</f>
        <v>-5.4264481476188543E-2</v>
      </c>
      <c r="X86" s="6">
        <f>IFERROR((('raw-PriceList'!Q85/'raw-PriceList'!Q86)-1)-Table14[[#This Row],[RF]],"")</f>
        <v>-8.5445640432237985E-2</v>
      </c>
      <c r="Y86" s="6" t="str">
        <f>IFERROR((('raw-PriceList'!#REF!/'raw-PriceList'!#REF!)-1)-Table14[[#This Row],[RF]],"")</f>
        <v/>
      </c>
      <c r="Z86" s="6">
        <f>IFERROR((('raw-PriceList'!R85/'raw-PriceList'!R86)-1)-Table14[[#This Row],[RF]],"")</f>
        <v>-4.7082935848337761E-2</v>
      </c>
      <c r="AA86" s="6" t="str">
        <f>IFERROR((('raw-PriceList'!#REF!/'raw-PriceList'!#REF!)-1)-Table14[[#This Row],[RF]],"")</f>
        <v/>
      </c>
      <c r="AB86" s="6" t="str">
        <f>IFERROR((('raw-PriceList'!#REF!/'raw-PriceList'!#REF!)-1)-Table14[[#This Row],[RF]],"")</f>
        <v/>
      </c>
      <c r="AC86" s="6">
        <f>IFERROR((('raw-PriceList'!S85/'raw-PriceList'!S86)-1)-Table14[[#This Row],[RF]],"")</f>
        <v>-4.1230325983321305E-2</v>
      </c>
      <c r="AD86" s="6">
        <f>IFERROR((('raw-PriceList'!T85/'raw-PriceList'!T86)-1)-Table14[[#This Row],[RF]],"")</f>
        <v>-5.3117927766824426E-2</v>
      </c>
      <c r="AE86" s="6" t="str">
        <f>IFERROR((('raw-PriceList'!#REF!/'raw-PriceList'!#REF!)-1)-Table14[[#This Row],[RF]],"")</f>
        <v/>
      </c>
      <c r="AF86" s="6">
        <f>IFERROR((('raw-PriceList'!U85/'raw-PriceList'!U86)-1)-Table14[[#This Row],[RF]],"")</f>
        <v>-5.5496330275229468E-2</v>
      </c>
      <c r="AG86" s="6">
        <f>IFERROR((('raw-PriceList'!V85/'raw-PriceList'!V86)-1)-Table14[[#This Row],[RF]],"")</f>
        <v>-4.3434061510418488E-2</v>
      </c>
      <c r="AH86" s="6">
        <f>IFERROR((('raw-PriceList'!W85/'raw-PriceList'!W86)-1)-Table14[[#This Row],[RF]],"")</f>
        <v>-8.9748272220686015E-2</v>
      </c>
      <c r="AI86" s="6">
        <f>IFERROR((('raw-PriceList'!X85/'raw-PriceList'!X86)-1)-Table14[[#This Row],[RF]],"")</f>
        <v>-4.5067146776822754E-2</v>
      </c>
      <c r="AJ86" s="6" t="str">
        <f>IFERROR((('raw-PriceList'!#REF!/'raw-PriceList'!#REF!)-1)-Table14[[#This Row],[RF]],"")</f>
        <v/>
      </c>
      <c r="AK86" s="6" t="str">
        <f>IFERROR((('raw-PriceList'!#REF!/'raw-PriceList'!#REF!)-1)-Table14[[#This Row],[RF]],"")</f>
        <v/>
      </c>
      <c r="AL86" s="6">
        <f>IFERROR((('raw-PriceList'!Y85/'raw-PriceList'!Y86)-1)-Table14[[#This Row],[RF]],"")</f>
        <v>-2.7949767419902273E-2</v>
      </c>
      <c r="AM86" s="6">
        <f>IFERROR((('raw-PriceList'!Z23/'raw-PriceList'!Z24)-1)-Table14[[#This Row],[RF]],"")</f>
        <v>3.0089291606412369E-3</v>
      </c>
      <c r="AN86" s="6" t="str">
        <f>IFERROR((('raw-PriceList'!#REF!/'raw-PriceList'!#REF!)-1)-Table14[[#This Row],[RF]],"")</f>
        <v/>
      </c>
      <c r="AO86" s="6">
        <f>IFERROR((('raw-PriceList'!AA85/'raw-PriceList'!AA86)-1)-Table14[[#This Row],[RF]],"")</f>
        <v>-4.4690395852542066E-2</v>
      </c>
      <c r="AP86" s="6" t="str">
        <f>IFERROR((('raw-PriceList'!#REF!/'raw-PriceList'!#REF!)-1)-Table14[[#This Row],[RF]],"")</f>
        <v/>
      </c>
      <c r="AQ86" s="6">
        <f>IFERROR((('raw-PriceList'!AB85/'raw-PriceList'!AB86)-1)-Table14[[#This Row],[RF]],"")</f>
        <v>-5.744405311642551E-2</v>
      </c>
      <c r="AR86" s="6">
        <f>IFERROR((('raw-PriceList'!AC85/'raw-PriceList'!AC86)-1)-Table14[[#This Row],[RF]],"")</f>
        <v>-2.4212578118440554E-2</v>
      </c>
      <c r="AS86" s="6" t="str">
        <f>IFERROR((('raw-PriceList'!#REF!/'raw-PriceList'!#REF!)-1)-Table14[[#This Row],[RF]],"")</f>
        <v/>
      </c>
      <c r="AT86" s="6" t="str">
        <f>IFERROR((('raw-PriceList'!#REF!/'raw-PriceList'!#REF!)-1)-Table14[[#This Row],[RF]],"")</f>
        <v/>
      </c>
      <c r="AU86" s="6" t="str">
        <f>IFERROR((('raw-PriceList'!#REF!/'raw-PriceList'!#REF!)-1)-Table14[[#This Row],[RF]],"")</f>
        <v/>
      </c>
      <c r="AV86" s="6">
        <f>IFERROR((('raw-PriceList'!AD85/'raw-PriceList'!AD86)-1)-Table14[[#This Row],[RF]],"")</f>
        <v>-1.5761545790321053E-2</v>
      </c>
      <c r="AW86" s="6">
        <f>IFERROR((('raw-PriceList'!AE85/'raw-PriceList'!AE86)-1)-Table14[[#This Row],[RF]],"")</f>
        <v>-1.5761545790321053E-2</v>
      </c>
      <c r="AX86" s="6">
        <f>IFERROR((('raw-PriceList'!AF85/'raw-PriceList'!AF86)-1)-Table14[[#This Row],[RF]],"")</f>
        <v>-2.5429726389780673E-2</v>
      </c>
      <c r="AY86" s="6">
        <f>IFERROR((('raw-PriceList'!AG85/'raw-PriceList'!AG86)-1)-Table14[[#This Row],[RF]],"")</f>
        <v>-3.3780723475817155E-2</v>
      </c>
      <c r="AZ86" s="6">
        <f>IFERROR((('raw-PriceList'!AH85/'raw-PriceList'!AH86)-1)-Table14[[#This Row],[RF]],"")</f>
        <v>-3.9359192739885952E-2</v>
      </c>
      <c r="BA86" s="6" t="str">
        <f>IFERROR((('raw-PriceList'!#REF!/'raw-PriceList'!#REF!)-1)-Table14[[#This Row],[RF]],"")</f>
        <v/>
      </c>
      <c r="BB86" s="6" t="str">
        <f>IFERROR((('raw-PriceList'!AI85/'raw-PriceList'!AI86)-1)-Table14[[#This Row],[RF]],"")</f>
        <v/>
      </c>
    </row>
    <row r="87" spans="1:54" x14ac:dyDescent="0.2">
      <c r="A87" s="5">
        <v>40877</v>
      </c>
      <c r="B87" s="9">
        <v>1</v>
      </c>
      <c r="C87" s="4">
        <v>5.0499999999999996E-2</v>
      </c>
      <c r="D87" s="4">
        <v>5.0499999999999996E-2</v>
      </c>
      <c r="E87" s="4">
        <v>5.0499999999999996E-2</v>
      </c>
      <c r="F87" s="4">
        <v>5.0499999999999996E-2</v>
      </c>
      <c r="G87" s="4">
        <v>5.0499999999999996E-2</v>
      </c>
      <c r="H87" s="6">
        <f>IFERROR((('raw-PriceList'!B86/'raw-PriceList'!B87)-1)-Table14[[#This Row],[RF]],"")</f>
        <v>-5.3167815614683762E-2</v>
      </c>
      <c r="I87" s="6">
        <f>IFERROR((('raw-PriceList'!C86/'raw-PriceList'!C87)-1)-Table14[[#This Row],[RF]],"")</f>
        <v>-6.1207785874006777E-2</v>
      </c>
      <c r="J87" s="6">
        <f>IFERROR((('raw-PriceList'!D86/'raw-PriceList'!D87)-1)-Table14[[#This Row],[RF]],"")</f>
        <v>-5.2370603264496947E-2</v>
      </c>
      <c r="K87" s="6" t="str">
        <f>IFERROR((('raw-PriceList'!E86/'raw-PriceList'!E87)-1)-Table14[[#This Row],[RF]],"")</f>
        <v/>
      </c>
      <c r="L87" s="6">
        <f>IFERROR((('raw-PriceList'!F57/'raw-PriceList'!F58)-1)-Table14[[#This Row],[RF]],"")</f>
        <v>-4.6566669753157271E-2</v>
      </c>
      <c r="M87" s="6">
        <f>IFERROR((('raw-PriceList'!G86/'raw-PriceList'!G87)-1)-Table14[[#This Row],[RF]],"")</f>
        <v>-5.1888408382695601E-2</v>
      </c>
      <c r="N87" s="6">
        <f>IFERROR((('raw-PriceList'!H86/'raw-PriceList'!H87)-1)-Table14[[#This Row],[RF]],"")</f>
        <v>-8.3318059700858704E-2</v>
      </c>
      <c r="O87" s="6" t="str">
        <f>IFERROR((('raw-PriceList'!I86/'raw-PriceList'!I87)-1)-Table14[[#This Row],[RF]],"")</f>
        <v/>
      </c>
      <c r="P87" s="6">
        <f>IFERROR((('raw-PriceList'!J86/'raw-PriceList'!J87)-1)-Table14[[#This Row],[RF]],"")</f>
        <v>-6.4199091360868168E-3</v>
      </c>
      <c r="Q87" s="6">
        <f>IFERROR((('raw-PriceList'!K86/'raw-PriceList'!K87)-1)-Table14[[#This Row],[RF]],"")</f>
        <v>-2.1562258890066646E-3</v>
      </c>
      <c r="R87" s="6">
        <f>IFERROR((('raw-PriceList'!L86/'raw-PriceList'!L87)-1)-Table14[[#This Row],[RF]],"")</f>
        <v>-1.1624777673136862E-2</v>
      </c>
      <c r="S87" s="6" t="str">
        <f>IFERROR((('raw-PriceList'!#REF!/'raw-PriceList'!#REF!)-1)-Table14[[#This Row],[RF]],"")</f>
        <v/>
      </c>
      <c r="T87" s="6">
        <f>IFERROR((('raw-PriceList'!M86/'raw-PriceList'!M87)-1)-Table14[[#This Row],[RF]],"")</f>
        <v>-1.7732424304001133E-2</v>
      </c>
      <c r="U87" s="6">
        <f>IFERROR((('raw-PriceList'!N86/'raw-PriceList'!N87)-1)-Table14[[#This Row],[RF]],"")</f>
        <v>-1.1750563112033159E-2</v>
      </c>
      <c r="V87" s="6">
        <f>IFERROR((('raw-PriceList'!O86/'raw-PriceList'!O87)-1)-Table14[[#This Row],[RF]],"")</f>
        <v>-2.4979766604642302E-2</v>
      </c>
      <c r="W87" s="6">
        <f>IFERROR((('raw-PriceList'!P86/'raw-PriceList'!P87)-1)-Table14[[#This Row],[RF]],"")</f>
        <v>-4.6634024747225451E-2</v>
      </c>
      <c r="X87" s="6">
        <f>IFERROR((('raw-PriceList'!Q86/'raw-PriceList'!Q87)-1)-Table14[[#This Row],[RF]],"")</f>
        <v>-4.113446465532223E-2</v>
      </c>
      <c r="Y87" s="6" t="str">
        <f>IFERROR((('raw-PriceList'!#REF!/'raw-PriceList'!#REF!)-1)-Table14[[#This Row],[RF]],"")</f>
        <v/>
      </c>
      <c r="Z87" s="6">
        <f>IFERROR((('raw-PriceList'!R86/'raw-PriceList'!R87)-1)-Table14[[#This Row],[RF]],"")</f>
        <v>-4.3303118000807668E-2</v>
      </c>
      <c r="AA87" s="6" t="str">
        <f>IFERROR((('raw-PriceList'!#REF!/'raw-PriceList'!#REF!)-1)-Table14[[#This Row],[RF]],"")</f>
        <v/>
      </c>
      <c r="AB87" s="6" t="str">
        <f>IFERROR((('raw-PriceList'!#REF!/'raw-PriceList'!#REF!)-1)-Table14[[#This Row],[RF]],"")</f>
        <v/>
      </c>
      <c r="AC87" s="6">
        <f>IFERROR((('raw-PriceList'!S86/'raw-PriceList'!S87)-1)-Table14[[#This Row],[RF]],"")</f>
        <v>-1.5879830787384266E-3</v>
      </c>
      <c r="AD87" s="6">
        <f>IFERROR((('raw-PriceList'!T86/'raw-PriceList'!T87)-1)-Table14[[#This Row],[RF]],"")</f>
        <v>2.6531969572660616E-3</v>
      </c>
      <c r="AE87" s="6" t="str">
        <f>IFERROR((('raw-PriceList'!#REF!/'raw-PriceList'!#REF!)-1)-Table14[[#This Row],[RF]],"")</f>
        <v/>
      </c>
      <c r="AF87" s="6">
        <f>IFERROR((('raw-PriceList'!U86/'raw-PriceList'!U87)-1)-Table14[[#This Row],[RF]],"")</f>
        <v>-5.9231499163257213E-2</v>
      </c>
      <c r="AG87" s="6">
        <f>IFERROR((('raw-PriceList'!V86/'raw-PriceList'!V87)-1)-Table14[[#This Row],[RF]],"")</f>
        <v>3.7255867904180048E-3</v>
      </c>
      <c r="AH87" s="6">
        <f>IFERROR((('raw-PriceList'!W86/'raw-PriceList'!W87)-1)-Table14[[#This Row],[RF]],"")</f>
        <v>-7.3333779788141151E-2</v>
      </c>
      <c r="AI87" s="6">
        <f>IFERROR((('raw-PriceList'!X86/'raw-PriceList'!X87)-1)-Table14[[#This Row],[RF]],"")</f>
        <v>-5.1472090649298148E-2</v>
      </c>
      <c r="AJ87" s="6" t="str">
        <f>IFERROR((('raw-PriceList'!#REF!/'raw-PriceList'!#REF!)-1)-Table14[[#This Row],[RF]],"")</f>
        <v/>
      </c>
      <c r="AK87" s="6" t="str">
        <f>IFERROR((('raw-PriceList'!#REF!/'raw-PriceList'!#REF!)-1)-Table14[[#This Row],[RF]],"")</f>
        <v/>
      </c>
      <c r="AL87" s="6">
        <f>IFERROR((('raw-PriceList'!Y86/'raw-PriceList'!Y87)-1)-Table14[[#This Row],[RF]],"")</f>
        <v>-2.3034000351675583E-2</v>
      </c>
      <c r="AM87" s="6">
        <f>IFERROR((('raw-PriceList'!Z24/'raw-PriceList'!Z25)-1)-Table14[[#This Row],[RF]],"")</f>
        <v>-1.8289536959800852E-2</v>
      </c>
      <c r="AN87" s="6" t="str">
        <f>IFERROR((('raw-PriceList'!#REF!/'raw-PriceList'!#REF!)-1)-Table14[[#This Row],[RF]],"")</f>
        <v/>
      </c>
      <c r="AO87" s="6">
        <f>IFERROR((('raw-PriceList'!AA86/'raw-PriceList'!AA87)-1)-Table14[[#This Row],[RF]],"")</f>
        <v>-5.2459086685210717E-2</v>
      </c>
      <c r="AP87" s="6" t="str">
        <f>IFERROR((('raw-PriceList'!#REF!/'raw-PriceList'!#REF!)-1)-Table14[[#This Row],[RF]],"")</f>
        <v/>
      </c>
      <c r="AQ87" s="6">
        <f>IFERROR((('raw-PriceList'!AB86/'raw-PriceList'!AB87)-1)-Table14[[#This Row],[RF]],"")</f>
        <v>1.8659064749283243E-2</v>
      </c>
      <c r="AR87" s="6">
        <f>IFERROR((('raw-PriceList'!AC86/'raw-PriceList'!AC87)-1)-Table14[[#This Row],[RF]],"")</f>
        <v>-1.4256827623375441E-2</v>
      </c>
      <c r="AS87" s="6" t="str">
        <f>IFERROR((('raw-PriceList'!#REF!/'raw-PriceList'!#REF!)-1)-Table14[[#This Row],[RF]],"")</f>
        <v/>
      </c>
      <c r="AT87" s="6" t="str">
        <f>IFERROR((('raw-PriceList'!#REF!/'raw-PriceList'!#REF!)-1)-Table14[[#This Row],[RF]],"")</f>
        <v/>
      </c>
      <c r="AU87" s="6" t="str">
        <f>IFERROR((('raw-PriceList'!#REF!/'raw-PriceList'!#REF!)-1)-Table14[[#This Row],[RF]],"")</f>
        <v/>
      </c>
      <c r="AV87" s="6">
        <f>IFERROR((('raw-PriceList'!AD86/'raw-PriceList'!AD87)-1)-Table14[[#This Row],[RF]],"")</f>
        <v>-7.5905681932553273E-3</v>
      </c>
      <c r="AW87" s="6">
        <f>IFERROR((('raw-PriceList'!AE86/'raw-PriceList'!AE87)-1)-Table14[[#This Row],[RF]],"")</f>
        <v>-7.5905681932553273E-3</v>
      </c>
      <c r="AX87" s="6">
        <f>IFERROR((('raw-PriceList'!AF86/'raw-PriceList'!AF87)-1)-Table14[[#This Row],[RF]],"")</f>
        <v>4.9008162825225215E-4</v>
      </c>
      <c r="AY87" s="6">
        <f>IFERROR((('raw-PriceList'!AG86/'raw-PriceList'!AG87)-1)-Table14[[#This Row],[RF]],"")</f>
        <v>-4.6417607904512062E-3</v>
      </c>
      <c r="AZ87" s="6">
        <f>IFERROR((('raw-PriceList'!AH86/'raw-PriceList'!AH87)-1)-Table14[[#This Row],[RF]],"")</f>
        <v>-8.7248635418173473E-3</v>
      </c>
      <c r="BA87" s="6" t="str">
        <f>IFERROR((('raw-PriceList'!#REF!/'raw-PriceList'!#REF!)-1)-Table14[[#This Row],[RF]],"")</f>
        <v/>
      </c>
      <c r="BB87" s="6" t="str">
        <f>IFERROR((('raw-PriceList'!AI86/'raw-PriceList'!AI87)-1)-Table14[[#This Row],[RF]],"")</f>
        <v/>
      </c>
    </row>
    <row r="88" spans="1:54" x14ac:dyDescent="0.2">
      <c r="A88" s="5">
        <v>40847</v>
      </c>
      <c r="B88" s="9">
        <v>1</v>
      </c>
      <c r="C88" s="4">
        <v>7.4000000000000003E-3</v>
      </c>
      <c r="D88" s="4">
        <v>7.4000000000000003E-3</v>
      </c>
      <c r="E88" s="4">
        <v>7.4000000000000003E-3</v>
      </c>
      <c r="F88" s="4">
        <v>7.4000000000000003E-3</v>
      </c>
      <c r="G88" s="4">
        <v>7.4000000000000003E-3</v>
      </c>
      <c r="H88" s="6">
        <f>IFERROR((('raw-PriceList'!B87/'raw-PriceList'!B88)-1)-Table14[[#This Row],[RF]],"")</f>
        <v>7.7806599140087425E-3</v>
      </c>
      <c r="I88" s="6">
        <f>IFERROR((('raw-PriceList'!C87/'raw-PriceList'!C88)-1)-Table14[[#This Row],[RF]],"")</f>
        <v>1.8288633107631132E-3</v>
      </c>
      <c r="J88" s="6">
        <f>IFERROR((('raw-PriceList'!D87/'raw-PriceList'!D88)-1)-Table14[[#This Row],[RF]],"")</f>
        <v>-1.162229528934116E-3</v>
      </c>
      <c r="K88" s="6" t="str">
        <f>IFERROR((('raw-PriceList'!E87/'raw-PriceList'!E88)-1)-Table14[[#This Row],[RF]],"")</f>
        <v/>
      </c>
      <c r="L88" s="6">
        <f>IFERROR((('raw-PriceList'!F58/'raw-PriceList'!F59)-1)-Table14[[#This Row],[RF]],"")</f>
        <v>-2.6637073095029766E-3</v>
      </c>
      <c r="M88" s="6">
        <f>IFERROR((('raw-PriceList'!G87/'raw-PriceList'!G88)-1)-Table14[[#This Row],[RF]],"")</f>
        <v>-1.6587511525171621E-3</v>
      </c>
      <c r="N88" s="6">
        <f>IFERROR((('raw-PriceList'!H87/'raw-PriceList'!H88)-1)-Table14[[#This Row],[RF]],"")</f>
        <v>-2.2674330395013802E-2</v>
      </c>
      <c r="O88" s="6" t="str">
        <f>IFERROR((('raw-PriceList'!I87/'raw-PriceList'!I88)-1)-Table14[[#This Row],[RF]],"")</f>
        <v/>
      </c>
      <c r="P88" s="6">
        <f>IFERROR((('raw-PriceList'!J87/'raw-PriceList'!J88)-1)-Table14[[#This Row],[RF]],"")</f>
        <v>3.6469553712643668E-2</v>
      </c>
      <c r="Q88" s="6">
        <f>IFERROR((('raw-PriceList'!K87/'raw-PriceList'!K88)-1)-Table14[[#This Row],[RF]],"")</f>
        <v>5.201434652640187E-2</v>
      </c>
      <c r="R88" s="6">
        <f>IFERROR((('raw-PriceList'!L87/'raw-PriceList'!L88)-1)-Table14[[#This Row],[RF]],"")</f>
        <v>2.3560164253406752E-2</v>
      </c>
      <c r="S88" s="6" t="str">
        <f>IFERROR((('raw-PriceList'!#REF!/'raw-PriceList'!#REF!)-1)-Table14[[#This Row],[RF]],"")</f>
        <v/>
      </c>
      <c r="T88" s="6">
        <f>IFERROR((('raw-PriceList'!M87/'raw-PriceList'!M88)-1)-Table14[[#This Row],[RF]],"")</f>
        <v>6.2080064714336983E-2</v>
      </c>
      <c r="U88" s="6">
        <f>IFERROR((('raw-PriceList'!N87/'raw-PriceList'!N88)-1)-Table14[[#This Row],[RF]],"")</f>
        <v>6.4804352836539028E-2</v>
      </c>
      <c r="V88" s="6">
        <f>IFERROR((('raw-PriceList'!O87/'raw-PriceList'!O88)-1)-Table14[[#This Row],[RF]],"")</f>
        <v>6.2355403297087067E-2</v>
      </c>
      <c r="W88" s="6">
        <f>IFERROR((('raw-PriceList'!P87/'raw-PriceList'!P88)-1)-Table14[[#This Row],[RF]],"")</f>
        <v>1.5707473662843602E-2</v>
      </c>
      <c r="X88" s="6">
        <f>IFERROR((('raw-PriceList'!Q87/'raw-PriceList'!Q88)-1)-Table14[[#This Row],[RF]],"")</f>
        <v>5.3152431835957366E-3</v>
      </c>
      <c r="Y88" s="6" t="str">
        <f>IFERROR((('raw-PriceList'!#REF!/'raw-PriceList'!#REF!)-1)-Table14[[#This Row],[RF]],"")</f>
        <v/>
      </c>
      <c r="Z88" s="6">
        <f>IFERROR((('raw-PriceList'!R87/'raw-PriceList'!R88)-1)-Table14[[#This Row],[RF]],"")</f>
        <v>3.2704208218970639E-3</v>
      </c>
      <c r="AA88" s="6" t="str">
        <f>IFERROR((('raw-PriceList'!#REF!/'raw-PriceList'!#REF!)-1)-Table14[[#This Row],[RF]],"")</f>
        <v/>
      </c>
      <c r="AB88" s="6" t="str">
        <f>IFERROR((('raw-PriceList'!#REF!/'raw-PriceList'!#REF!)-1)-Table14[[#This Row],[RF]],"")</f>
        <v/>
      </c>
      <c r="AC88" s="6">
        <f>IFERROR((('raw-PriceList'!S87/'raw-PriceList'!S88)-1)-Table14[[#This Row],[RF]],"")</f>
        <v>4.8708046834137944E-2</v>
      </c>
      <c r="AD88" s="6">
        <f>IFERROR((('raw-PriceList'!T87/'raw-PriceList'!T88)-1)-Table14[[#This Row],[RF]],"")</f>
        <v>6.1156922692782459E-2</v>
      </c>
      <c r="AE88" s="6" t="str">
        <f>IFERROR((('raw-PriceList'!#REF!/'raw-PriceList'!#REF!)-1)-Table14[[#This Row],[RF]],"")</f>
        <v/>
      </c>
      <c r="AF88" s="6">
        <f>IFERROR((('raw-PriceList'!U87/'raw-PriceList'!U88)-1)-Table14[[#This Row],[RF]],"")</f>
        <v>-2.1871474403560125E-3</v>
      </c>
      <c r="AG88" s="6">
        <f>IFERROR((('raw-PriceList'!V87/'raw-PriceList'!V88)-1)-Table14[[#This Row],[RF]],"")</f>
        <v>4.7232842657336141E-2</v>
      </c>
      <c r="AH88" s="6">
        <f>IFERROR((('raw-PriceList'!W87/'raw-PriceList'!W88)-1)-Table14[[#This Row],[RF]],"")</f>
        <v>-7.6005049102401516E-3</v>
      </c>
      <c r="AI88" s="6">
        <f>IFERROR((('raw-PriceList'!X87/'raw-PriceList'!X88)-1)-Table14[[#This Row],[RF]],"")</f>
        <v>-7.4639600312125624E-3</v>
      </c>
      <c r="AJ88" s="6" t="str">
        <f>IFERROR((('raw-PriceList'!#REF!/'raw-PriceList'!#REF!)-1)-Table14[[#This Row],[RF]],"")</f>
        <v/>
      </c>
      <c r="AK88" s="6" t="str">
        <f>IFERROR((('raw-PriceList'!#REF!/'raw-PriceList'!#REF!)-1)-Table14[[#This Row],[RF]],"")</f>
        <v/>
      </c>
      <c r="AL88" s="6">
        <f>IFERROR((('raw-PriceList'!Y87/'raw-PriceList'!Y88)-1)-Table14[[#This Row],[RF]],"")</f>
        <v>1.8773129778983117E-2</v>
      </c>
      <c r="AM88" s="6">
        <f>IFERROR((('raw-PriceList'!Z25/'raw-PriceList'!Z26)-1)-Table14[[#This Row],[RF]],"")</f>
        <v>2.4535451312449458E-2</v>
      </c>
      <c r="AN88" s="6" t="str">
        <f>IFERROR((('raw-PriceList'!#REF!/'raw-PriceList'!#REF!)-1)-Table14[[#This Row],[RF]],"")</f>
        <v/>
      </c>
      <c r="AO88" s="6">
        <f>IFERROR((('raw-PriceList'!AA87/'raw-PriceList'!AA88)-1)-Table14[[#This Row],[RF]],"")</f>
        <v>-5.1653471922667275E-3</v>
      </c>
      <c r="AP88" s="6" t="str">
        <f>IFERROR((('raw-PriceList'!#REF!/'raw-PriceList'!#REF!)-1)-Table14[[#This Row],[RF]],"")</f>
        <v/>
      </c>
      <c r="AQ88" s="6">
        <f>IFERROR((('raw-PriceList'!AB87/'raw-PriceList'!AB88)-1)-Table14[[#This Row],[RF]],"")</f>
        <v>8.7410635478670853E-2</v>
      </c>
      <c r="AR88" s="6">
        <f>IFERROR((('raw-PriceList'!AC87/'raw-PriceList'!AC88)-1)-Table14[[#This Row],[RF]],"")</f>
        <v>4.4868970118495957E-2</v>
      </c>
      <c r="AS88" s="6" t="str">
        <f>IFERROR((('raw-PriceList'!#REF!/'raw-PriceList'!#REF!)-1)-Table14[[#This Row],[RF]],"")</f>
        <v/>
      </c>
      <c r="AT88" s="6" t="str">
        <f>IFERROR((('raw-PriceList'!#REF!/'raw-PriceList'!#REF!)-1)-Table14[[#This Row],[RF]],"")</f>
        <v/>
      </c>
      <c r="AU88" s="6" t="str">
        <f>IFERROR((('raw-PriceList'!#REF!/'raw-PriceList'!#REF!)-1)-Table14[[#This Row],[RF]],"")</f>
        <v/>
      </c>
      <c r="AV88" s="6">
        <f>IFERROR((('raw-PriceList'!AD87/'raw-PriceList'!AD88)-1)-Table14[[#This Row],[RF]],"")</f>
        <v>3.734916433374165E-2</v>
      </c>
      <c r="AW88" s="6">
        <f>IFERROR((('raw-PriceList'!AE87/'raw-PriceList'!AE88)-1)-Table14[[#This Row],[RF]],"")</f>
        <v>3.734916433374165E-2</v>
      </c>
      <c r="AX88" s="6">
        <f>IFERROR((('raw-PriceList'!AF87/'raw-PriceList'!AF88)-1)-Table14[[#This Row],[RF]],"")</f>
        <v>7.3710378622146314E-2</v>
      </c>
      <c r="AY88" s="6">
        <f>IFERROR((('raw-PriceList'!AG87/'raw-PriceList'!AG88)-1)-Table14[[#This Row],[RF]],"")</f>
        <v>-1.7908971614710539E-2</v>
      </c>
      <c r="AZ88" s="6">
        <f>IFERROR((('raw-PriceList'!AH87/'raw-PriceList'!AH88)-1)-Table14[[#This Row],[RF]],"")</f>
        <v>5.9064827705023706E-2</v>
      </c>
      <c r="BA88" s="6" t="str">
        <f>IFERROR((('raw-PriceList'!#REF!/'raw-PriceList'!#REF!)-1)-Table14[[#This Row],[RF]],"")</f>
        <v/>
      </c>
      <c r="BB88" s="6" t="str">
        <f>IFERROR((('raw-PriceList'!AI87/'raw-PriceList'!AI88)-1)-Table14[[#This Row],[RF]],"")</f>
        <v/>
      </c>
    </row>
    <row r="89" spans="1:54" x14ac:dyDescent="0.2">
      <c r="A89" s="5">
        <v>40816</v>
      </c>
      <c r="B89" s="9">
        <v>1</v>
      </c>
      <c r="C89" s="4">
        <v>-2.8000000000000004E-3</v>
      </c>
      <c r="D89" s="4">
        <v>-2.8000000000000004E-3</v>
      </c>
      <c r="E89" s="4">
        <v>-2.8000000000000004E-3</v>
      </c>
      <c r="F89" s="4">
        <v>-2.8000000000000004E-3</v>
      </c>
      <c r="G89" s="4">
        <v>-2.8000000000000004E-3</v>
      </c>
      <c r="H89" s="6">
        <f>IFERROR((('raw-PriceList'!B88/'raw-PriceList'!B89)-1)-Table14[[#This Row],[RF]],"")</f>
        <v>3.660469323468838E-3</v>
      </c>
      <c r="I89" s="6">
        <f>IFERROR((('raw-PriceList'!C88/'raw-PriceList'!C89)-1)-Table14[[#This Row],[RF]],"")</f>
        <v>2.3342780460382604E-2</v>
      </c>
      <c r="J89" s="6">
        <f>IFERROR((('raw-PriceList'!D88/'raw-PriceList'!D89)-1)-Table14[[#This Row],[RF]],"")</f>
        <v>4.9690977347550437E-3</v>
      </c>
      <c r="K89" s="6" t="str">
        <f>IFERROR((('raw-PriceList'!E88/'raw-PriceList'!E89)-1)-Table14[[#This Row],[RF]],"")</f>
        <v/>
      </c>
      <c r="L89" s="6">
        <f>IFERROR((('raw-PriceList'!F59/'raw-PriceList'!F60)-1)-Table14[[#This Row],[RF]],"")</f>
        <v>8.9573550216336152E-3</v>
      </c>
      <c r="M89" s="6">
        <f>IFERROR((('raw-PriceList'!G88/'raw-PriceList'!G89)-1)-Table14[[#This Row],[RF]],"")</f>
        <v>-2.2077739940607154E-3</v>
      </c>
      <c r="N89" s="6">
        <f>IFERROR((('raw-PriceList'!H88/'raw-PriceList'!H89)-1)-Table14[[#This Row],[RF]],"")</f>
        <v>2.6255870467633533E-2</v>
      </c>
      <c r="O89" s="6" t="str">
        <f>IFERROR((('raw-PriceList'!I88/'raw-PriceList'!I89)-1)-Table14[[#This Row],[RF]],"")</f>
        <v/>
      </c>
      <c r="P89" s="6">
        <f>IFERROR((('raw-PriceList'!J88/'raw-PriceList'!J89)-1)-Table14[[#This Row],[RF]],"")</f>
        <v>7.9965092957750873E-3</v>
      </c>
      <c r="Q89" s="6">
        <f>IFERROR((('raw-PriceList'!K88/'raw-PriceList'!K89)-1)-Table14[[#This Row],[RF]],"")</f>
        <v>-4.9014070104365336E-3</v>
      </c>
      <c r="R89" s="6">
        <f>IFERROR((('raw-PriceList'!L88/'raw-PriceList'!L89)-1)-Table14[[#This Row],[RF]],"")</f>
        <v>2.1163604598903072E-2</v>
      </c>
      <c r="S89" s="6" t="str">
        <f>IFERROR((('raw-PriceList'!#REF!/'raw-PriceList'!#REF!)-1)-Table14[[#This Row],[RF]],"")</f>
        <v/>
      </c>
      <c r="T89" s="6">
        <f>IFERROR((('raw-PriceList'!M88/'raw-PriceList'!M89)-1)-Table14[[#This Row],[RF]],"")</f>
        <v>-8.2192172639231863E-3</v>
      </c>
      <c r="U89" s="6">
        <f>IFERROR((('raw-PriceList'!N88/'raw-PriceList'!N89)-1)-Table14[[#This Row],[RF]],"")</f>
        <v>-8.5603639998549606E-3</v>
      </c>
      <c r="V89" s="6">
        <f>IFERROR((('raw-PriceList'!O88/'raw-PriceList'!O89)-1)-Table14[[#This Row],[RF]],"")</f>
        <v>-1.0447122848681014E-2</v>
      </c>
      <c r="W89" s="6">
        <f>IFERROR((('raw-PriceList'!P88/'raw-PriceList'!P89)-1)-Table14[[#This Row],[RF]],"")</f>
        <v>2.4274061827401192E-2</v>
      </c>
      <c r="X89" s="6">
        <f>IFERROR((('raw-PriceList'!Q88/'raw-PriceList'!Q89)-1)-Table14[[#This Row],[RF]],"")</f>
        <v>4.2115834031642402E-2</v>
      </c>
      <c r="Y89" s="6" t="str">
        <f>IFERROR((('raw-PriceList'!#REF!/'raw-PriceList'!#REF!)-1)-Table14[[#This Row],[RF]],"")</f>
        <v/>
      </c>
      <c r="Z89" s="6">
        <f>IFERROR((('raw-PriceList'!R88/'raw-PriceList'!R89)-1)-Table14[[#This Row],[RF]],"")</f>
        <v>1.0521587988364754E-2</v>
      </c>
      <c r="AA89" s="6" t="str">
        <f>IFERROR((('raw-PriceList'!#REF!/'raw-PriceList'!#REF!)-1)-Table14[[#This Row],[RF]],"")</f>
        <v/>
      </c>
      <c r="AB89" s="6" t="str">
        <f>IFERROR((('raw-PriceList'!#REF!/'raw-PriceList'!#REF!)-1)-Table14[[#This Row],[RF]],"")</f>
        <v/>
      </c>
      <c r="AC89" s="6">
        <f>IFERROR((('raw-PriceList'!S88/'raw-PriceList'!S89)-1)-Table14[[#This Row],[RF]],"")</f>
        <v>-5.1373960813716507E-2</v>
      </c>
      <c r="AD89" s="6">
        <f>IFERROR((('raw-PriceList'!T88/'raw-PriceList'!T89)-1)-Table14[[#This Row],[RF]],"")</f>
        <v>-5.4488423409254E-2</v>
      </c>
      <c r="AE89" s="6" t="str">
        <f>IFERROR((('raw-PriceList'!#REF!/'raw-PriceList'!#REF!)-1)-Table14[[#This Row],[RF]],"")</f>
        <v/>
      </c>
      <c r="AF89" s="6">
        <f>IFERROR((('raw-PriceList'!U88/'raw-PriceList'!U89)-1)-Table14[[#This Row],[RF]],"")</f>
        <v>9.4240268899604442E-3</v>
      </c>
      <c r="AG89" s="6">
        <f>IFERROR((('raw-PriceList'!V88/'raw-PriceList'!V89)-1)-Table14[[#This Row],[RF]],"")</f>
        <v>-6.4059172599888831E-2</v>
      </c>
      <c r="AH89" s="6">
        <f>IFERROR((('raw-PriceList'!W88/'raw-PriceList'!W89)-1)-Table14[[#This Row],[RF]],"")</f>
        <v>2.8847345746016415E-2</v>
      </c>
      <c r="AI89" s="6">
        <f>IFERROR((('raw-PriceList'!X88/'raw-PriceList'!X89)-1)-Table14[[#This Row],[RF]],"")</f>
        <v>1.2076388796785388E-3</v>
      </c>
      <c r="AJ89" s="6" t="str">
        <f>IFERROR((('raw-PriceList'!#REF!/'raw-PriceList'!#REF!)-1)-Table14[[#This Row],[RF]],"")</f>
        <v/>
      </c>
      <c r="AK89" s="6" t="str">
        <f>IFERROR((('raw-PriceList'!#REF!/'raw-PriceList'!#REF!)-1)-Table14[[#This Row],[RF]],"")</f>
        <v/>
      </c>
      <c r="AL89" s="6">
        <f>IFERROR((('raw-PriceList'!Y88/'raw-PriceList'!Y89)-1)-Table14[[#This Row],[RF]],"")</f>
        <v>6.6420084699073435E-3</v>
      </c>
      <c r="AM89" s="6">
        <f>IFERROR((('raw-PriceList'!Z26/'raw-PriceList'!Z27)-1)-Table14[[#This Row],[RF]],"")</f>
        <v>1.9448113176714663E-2</v>
      </c>
      <c r="AN89" s="6" t="str">
        <f>IFERROR((('raw-PriceList'!#REF!/'raw-PriceList'!#REF!)-1)-Table14[[#This Row],[RF]],"")</f>
        <v/>
      </c>
      <c r="AO89" s="6">
        <f>IFERROR((('raw-PriceList'!AA88/'raw-PriceList'!AA89)-1)-Table14[[#This Row],[RF]],"")</f>
        <v>4.0971004661339606E-3</v>
      </c>
      <c r="AP89" s="6" t="str">
        <f>IFERROR((('raw-PriceList'!#REF!/'raw-PriceList'!#REF!)-1)-Table14[[#This Row],[RF]],"")</f>
        <v/>
      </c>
      <c r="AQ89" s="6">
        <f>IFERROR((('raw-PriceList'!AB88/'raw-PriceList'!AB89)-1)-Table14[[#This Row],[RF]],"")</f>
        <v>-7.3989266555521543E-2</v>
      </c>
      <c r="AR89" s="6">
        <f>IFERROR((('raw-PriceList'!AC88/'raw-PriceList'!AC89)-1)-Table14[[#This Row],[RF]],"")</f>
        <v>-7.843064859521711E-3</v>
      </c>
      <c r="AS89" s="6" t="str">
        <f>IFERROR((('raw-PriceList'!#REF!/'raw-PriceList'!#REF!)-1)-Table14[[#This Row],[RF]],"")</f>
        <v/>
      </c>
      <c r="AT89" s="6" t="str">
        <f>IFERROR((('raw-PriceList'!#REF!/'raw-PriceList'!#REF!)-1)-Table14[[#This Row],[RF]],"")</f>
        <v/>
      </c>
      <c r="AU89" s="6" t="str">
        <f>IFERROR((('raw-PriceList'!#REF!/'raw-PriceList'!#REF!)-1)-Table14[[#This Row],[RF]],"")</f>
        <v/>
      </c>
      <c r="AV89" s="6">
        <f>IFERROR((('raw-PriceList'!AD88/'raw-PriceList'!AD89)-1)-Table14[[#This Row],[RF]],"")</f>
        <v>7.8762815765026396E-3</v>
      </c>
      <c r="AW89" s="6">
        <f>IFERROR((('raw-PriceList'!AE88/'raw-PriceList'!AE89)-1)-Table14[[#This Row],[RF]],"")</f>
        <v>7.8762815765026396E-3</v>
      </c>
      <c r="AX89" s="6">
        <f>IFERROR((('raw-PriceList'!AF88/'raw-PriceList'!AF89)-1)-Table14[[#This Row],[RF]],"")</f>
        <v>-2.126998708993846E-2</v>
      </c>
      <c r="AY89" s="6">
        <f>IFERROR((('raw-PriceList'!AG88/'raw-PriceList'!AG89)-1)-Table14[[#This Row],[RF]],"")</f>
        <v>-1.482415105024695E-2</v>
      </c>
      <c r="AZ89" s="6">
        <f>IFERROR((('raw-PriceList'!AH88/'raw-PriceList'!AH89)-1)-Table14[[#This Row],[RF]],"")</f>
        <v>-6.0791243472336359E-2</v>
      </c>
      <c r="BA89" s="6" t="str">
        <f>IFERROR((('raw-PriceList'!#REF!/'raw-PriceList'!#REF!)-1)-Table14[[#This Row],[RF]],"")</f>
        <v/>
      </c>
      <c r="BB89" s="6" t="str">
        <f>IFERROR((('raw-PriceList'!AI88/'raw-PriceList'!AI89)-1)-Table14[[#This Row],[RF]],"")</f>
        <v/>
      </c>
    </row>
    <row r="90" spans="1:54" x14ac:dyDescent="0.2">
      <c r="A90" s="5">
        <v>40786</v>
      </c>
      <c r="B90" s="9">
        <v>1</v>
      </c>
      <c r="C90" s="4">
        <v>0.11349999999999999</v>
      </c>
      <c r="D90" s="4">
        <v>0.11349999999999999</v>
      </c>
      <c r="E90" s="4">
        <v>0.11349999999999999</v>
      </c>
      <c r="F90" s="4">
        <v>0.11349999999999999</v>
      </c>
      <c r="G90" s="4">
        <v>0.11349999999999999</v>
      </c>
      <c r="H90" s="6">
        <f>IFERROR((('raw-PriceList'!B89/'raw-PriceList'!B90)-1)-Table14[[#This Row],[RF]],"")</f>
        <v>-0.12263727394283913</v>
      </c>
      <c r="I90" s="6">
        <f>IFERROR((('raw-PriceList'!C89/'raw-PriceList'!C90)-1)-Table14[[#This Row],[RF]],"")</f>
        <v>-0.12575120525660827</v>
      </c>
      <c r="J90" s="6">
        <f>IFERROR((('raw-PriceList'!D89/'raw-PriceList'!D90)-1)-Table14[[#This Row],[RF]],"")</f>
        <v>-0.11652112816371701</v>
      </c>
      <c r="K90" s="6" t="str">
        <f>IFERROR((('raw-PriceList'!E89/'raw-PriceList'!E90)-1)-Table14[[#This Row],[RF]],"")</f>
        <v/>
      </c>
      <c r="L90" s="6">
        <f>IFERROR((('raw-PriceList'!F60/'raw-PriceList'!F61)-1)-Table14[[#This Row],[RF]],"")</f>
        <v>-0.10866407428667985</v>
      </c>
      <c r="M90" s="6">
        <f>IFERROR((('raw-PriceList'!G89/'raw-PriceList'!G90)-1)-Table14[[#This Row],[RF]],"")</f>
        <v>-0.11627609156646973</v>
      </c>
      <c r="N90" s="6">
        <f>IFERROR((('raw-PriceList'!H89/'raw-PriceList'!H90)-1)-Table14[[#This Row],[RF]],"")</f>
        <v>-7.8915155753140953E-2</v>
      </c>
      <c r="O90" s="6" t="str">
        <f>IFERROR((('raw-PriceList'!I89/'raw-PriceList'!I90)-1)-Table14[[#This Row],[RF]],"")</f>
        <v/>
      </c>
      <c r="P90" s="6">
        <f>IFERROR((('raw-PriceList'!J89/'raw-PriceList'!J90)-1)-Table14[[#This Row],[RF]],"")</f>
        <v>-0.11544830597454842</v>
      </c>
      <c r="Q90" s="6">
        <f>IFERROR((('raw-PriceList'!K89/'raw-PriceList'!K90)-1)-Table14[[#This Row],[RF]],"")</f>
        <v>-0.11470168627641703</v>
      </c>
      <c r="R90" s="6">
        <f>IFERROR((('raw-PriceList'!L89/'raw-PriceList'!L90)-1)-Table14[[#This Row],[RF]],"")</f>
        <v>-0.12454581076910504</v>
      </c>
      <c r="S90" s="6" t="str">
        <f>IFERROR((('raw-PriceList'!#REF!/'raw-PriceList'!#REF!)-1)-Table14[[#This Row],[RF]],"")</f>
        <v/>
      </c>
      <c r="T90" s="6">
        <f>IFERROR((('raw-PriceList'!M89/'raw-PriceList'!M90)-1)-Table14[[#This Row],[RF]],"")</f>
        <v>-0.11822710328332836</v>
      </c>
      <c r="U90" s="6">
        <f>IFERROR((('raw-PriceList'!N89/'raw-PriceList'!N90)-1)-Table14[[#This Row],[RF]],"")</f>
        <v>-0.12009808581421827</v>
      </c>
      <c r="V90" s="6">
        <f>IFERROR((('raw-PriceList'!O89/'raw-PriceList'!O90)-1)-Table14[[#This Row],[RF]],"")</f>
        <v>-0.11500509733214298</v>
      </c>
      <c r="W90" s="6">
        <f>IFERROR((('raw-PriceList'!P89/'raw-PriceList'!P90)-1)-Table14[[#This Row],[RF]],"")</f>
        <v>-0.1333380299588785</v>
      </c>
      <c r="X90" s="6">
        <f>IFERROR((('raw-PriceList'!Q89/'raw-PriceList'!Q90)-1)-Table14[[#This Row],[RF]],"")</f>
        <v>-0.1501958186855426</v>
      </c>
      <c r="Y90" s="6" t="str">
        <f>IFERROR((('raw-PriceList'!#REF!/'raw-PriceList'!#REF!)-1)-Table14[[#This Row],[RF]],"")</f>
        <v/>
      </c>
      <c r="Z90" s="6">
        <f>IFERROR((('raw-PriceList'!R89/'raw-PriceList'!R90)-1)-Table14[[#This Row],[RF]],"")</f>
        <v>-0.12387118246490564</v>
      </c>
      <c r="AA90" s="6" t="str">
        <f>IFERROR((('raw-PriceList'!#REF!/'raw-PriceList'!#REF!)-1)-Table14[[#This Row],[RF]],"")</f>
        <v/>
      </c>
      <c r="AB90" s="6" t="str">
        <f>IFERROR((('raw-PriceList'!#REF!/'raw-PriceList'!#REF!)-1)-Table14[[#This Row],[RF]],"")</f>
        <v/>
      </c>
      <c r="AC90" s="6">
        <f>IFERROR((('raw-PriceList'!S89/'raw-PriceList'!S90)-1)-Table14[[#This Row],[RF]],"")</f>
        <v>-0.13443973643021329</v>
      </c>
      <c r="AD90" s="6">
        <f>IFERROR((('raw-PriceList'!T89/'raw-PriceList'!T90)-1)-Table14[[#This Row],[RF]],"")</f>
        <v>-0.13924980837400375</v>
      </c>
      <c r="AE90" s="6" t="str">
        <f>IFERROR((('raw-PriceList'!#REF!/'raw-PriceList'!#REF!)-1)-Table14[[#This Row],[RF]],"")</f>
        <v/>
      </c>
      <c r="AF90" s="6">
        <f>IFERROR((('raw-PriceList'!U89/'raw-PriceList'!U90)-1)-Table14[[#This Row],[RF]],"")</f>
        <v>-0.10862543125808549</v>
      </c>
      <c r="AG90" s="6">
        <f>IFERROR((('raw-PriceList'!V89/'raw-PriceList'!V90)-1)-Table14[[#This Row],[RF]],"")</f>
        <v>-0.14209945987233935</v>
      </c>
      <c r="AH90" s="6">
        <f>IFERROR((('raw-PriceList'!W89/'raw-PriceList'!W90)-1)-Table14[[#This Row],[RF]],"")</f>
        <v>-9.4411693682772413E-2</v>
      </c>
      <c r="AI90" s="6">
        <f>IFERROR((('raw-PriceList'!X89/'raw-PriceList'!X90)-1)-Table14[[#This Row],[RF]],"")</f>
        <v>-0.113385697161343</v>
      </c>
      <c r="AJ90" s="6" t="str">
        <f>IFERROR((('raw-PriceList'!#REF!/'raw-PriceList'!#REF!)-1)-Table14[[#This Row],[RF]],"")</f>
        <v/>
      </c>
      <c r="AK90" s="6" t="str">
        <f>IFERROR((('raw-PriceList'!#REF!/'raw-PriceList'!#REF!)-1)-Table14[[#This Row],[RF]],"")</f>
        <v/>
      </c>
      <c r="AL90" s="6">
        <f>IFERROR((('raw-PriceList'!Y89/'raw-PriceList'!Y90)-1)-Table14[[#This Row],[RF]],"")</f>
        <v>-9.5338841390765039E-2</v>
      </c>
      <c r="AM90" s="6">
        <f>IFERROR((('raw-PriceList'!Z27/'raw-PriceList'!Z28)-1)-Table14[[#This Row],[RF]],"")</f>
        <v>-7.600477598205263E-2</v>
      </c>
      <c r="AN90" s="6" t="str">
        <f>IFERROR((('raw-PriceList'!#REF!/'raw-PriceList'!#REF!)-1)-Table14[[#This Row],[RF]],"")</f>
        <v/>
      </c>
      <c r="AO90" s="6">
        <f>IFERROR((('raw-PriceList'!AA89/'raw-PriceList'!AA90)-1)-Table14[[#This Row],[RF]],"")</f>
        <v>-0.11275874695015303</v>
      </c>
      <c r="AP90" s="6" t="str">
        <f>IFERROR((('raw-PriceList'!#REF!/'raw-PriceList'!#REF!)-1)-Table14[[#This Row],[RF]],"")</f>
        <v/>
      </c>
      <c r="AQ90" s="6">
        <f>IFERROR((('raw-PriceList'!AB89/'raw-PriceList'!AB90)-1)-Table14[[#This Row],[RF]],"")</f>
        <v>-0.14438872514710382</v>
      </c>
      <c r="AR90" s="6">
        <f>IFERROR((('raw-PriceList'!AC89/'raw-PriceList'!AC90)-1)-Table14[[#This Row],[RF]],"")</f>
        <v>-0.11194264423665207</v>
      </c>
      <c r="AS90" s="6" t="str">
        <f>IFERROR((('raw-PriceList'!#REF!/'raw-PriceList'!#REF!)-1)-Table14[[#This Row],[RF]],"")</f>
        <v/>
      </c>
      <c r="AT90" s="6" t="str">
        <f>IFERROR((('raw-PriceList'!#REF!/'raw-PriceList'!#REF!)-1)-Table14[[#This Row],[RF]],"")</f>
        <v/>
      </c>
      <c r="AU90" s="6" t="str">
        <f>IFERROR((('raw-PriceList'!#REF!/'raw-PriceList'!#REF!)-1)-Table14[[#This Row],[RF]],"")</f>
        <v/>
      </c>
      <c r="AV90" s="6">
        <f>IFERROR((('raw-PriceList'!AD89/'raw-PriceList'!AD90)-1)-Table14[[#This Row],[RF]],"")</f>
        <v>-0.11661039223699682</v>
      </c>
      <c r="AW90" s="6">
        <f>IFERROR((('raw-PriceList'!AE89/'raw-PriceList'!AE90)-1)-Table14[[#This Row],[RF]],"")</f>
        <v>-0.11661039223699682</v>
      </c>
      <c r="AX90" s="6">
        <f>IFERROR((('raw-PriceList'!AF89/'raw-PriceList'!AF90)-1)-Table14[[#This Row],[RF]],"")</f>
        <v>-0.12956001312206417</v>
      </c>
      <c r="AY90" s="6">
        <f>IFERROR((('raw-PriceList'!AG89/'raw-PriceList'!AG90)-1)-Table14[[#This Row],[RF]],"")</f>
        <v>-0.11262718009268441</v>
      </c>
      <c r="AZ90" s="6">
        <f>IFERROR((('raw-PriceList'!AH89/'raw-PriceList'!AH90)-1)-Table14[[#This Row],[RF]],"")</f>
        <v>-0.11865372308588434</v>
      </c>
      <c r="BA90" s="6" t="str">
        <f>IFERROR((('raw-PriceList'!#REF!/'raw-PriceList'!#REF!)-1)-Table14[[#This Row],[RF]],"")</f>
        <v/>
      </c>
      <c r="BB90" s="6" t="str">
        <f>IFERROR((('raw-PriceList'!AI89/'raw-PriceList'!AI90)-1)-Table14[[#This Row],[RF]],"")</f>
        <v/>
      </c>
    </row>
    <row r="91" spans="1:54" x14ac:dyDescent="0.2">
      <c r="A91" s="5">
        <v>40755</v>
      </c>
      <c r="B91" s="9">
        <v>1</v>
      </c>
      <c r="C91" s="4">
        <v>-7.5899999999999995E-2</v>
      </c>
      <c r="D91" s="4">
        <v>-7.5899999999999995E-2</v>
      </c>
      <c r="E91" s="4">
        <v>-7.5899999999999995E-2</v>
      </c>
      <c r="F91" s="4">
        <v>-7.5899999999999995E-2</v>
      </c>
      <c r="G91" s="4">
        <v>-7.5899999999999995E-2</v>
      </c>
      <c r="H91" s="6">
        <f>IFERROR((('raw-PriceList'!B90/'raw-PriceList'!B91)-1)-Table14[[#This Row],[RF]],"")</f>
        <v>7.6587963603769765E-2</v>
      </c>
      <c r="I91" s="6">
        <f>IFERROR((('raw-PriceList'!C90/'raw-PriceList'!C91)-1)-Table14[[#This Row],[RF]],"")</f>
        <v>7.0393463950804619E-2</v>
      </c>
      <c r="J91" s="6">
        <f>IFERROR((('raw-PriceList'!D90/'raw-PriceList'!D91)-1)-Table14[[#This Row],[RF]],"")</f>
        <v>7.4412402161811469E-2</v>
      </c>
      <c r="K91" s="6" t="str">
        <f>IFERROR((('raw-PriceList'!E90/'raw-PriceList'!E91)-1)-Table14[[#This Row],[RF]],"")</f>
        <v/>
      </c>
      <c r="L91" s="6">
        <f>IFERROR((('raw-PriceList'!F61/'raw-PriceList'!F62)-1)-Table14[[#This Row],[RF]],"")</f>
        <v>7.7892038971972527E-2</v>
      </c>
      <c r="M91" s="6">
        <f>IFERROR((('raw-PriceList'!G90/'raw-PriceList'!G91)-1)-Table14[[#This Row],[RF]],"")</f>
        <v>7.6663243265551323E-2</v>
      </c>
      <c r="N91" s="6">
        <f>IFERROR((('raw-PriceList'!H90/'raw-PriceList'!H91)-1)-Table14[[#This Row],[RF]],"")</f>
        <v>9.1669020043898819E-3</v>
      </c>
      <c r="O91" s="6" t="str">
        <f>IFERROR((('raw-PriceList'!I90/'raw-PriceList'!I91)-1)-Table14[[#This Row],[RF]],"")</f>
        <v/>
      </c>
      <c r="P91" s="6">
        <f>IFERROR((('raw-PriceList'!J90/'raw-PriceList'!J91)-1)-Table14[[#This Row],[RF]],"")</f>
        <v>0.18121822756173303</v>
      </c>
      <c r="Q91" s="6">
        <f>IFERROR((('raw-PriceList'!K90/'raw-PriceList'!K91)-1)-Table14[[#This Row],[RF]],"")</f>
        <v>0.19061685994008251</v>
      </c>
      <c r="R91" s="6">
        <f>IFERROR((('raw-PriceList'!L90/'raw-PriceList'!L91)-1)-Table14[[#This Row],[RF]],"")</f>
        <v>0.18031199048074878</v>
      </c>
      <c r="S91" s="6" t="str">
        <f>IFERROR((('raw-PriceList'!#REF!/'raw-PriceList'!#REF!)-1)-Table14[[#This Row],[RF]],"")</f>
        <v/>
      </c>
      <c r="T91" s="6">
        <f>IFERROR((('raw-PriceList'!M90/'raw-PriceList'!M91)-1)-Table14[[#This Row],[RF]],"")</f>
        <v>0.22917087240264614</v>
      </c>
      <c r="U91" s="6">
        <f>IFERROR((('raw-PriceList'!N90/'raw-PriceList'!N91)-1)-Table14[[#This Row],[RF]],"")</f>
        <v>0.23862902365696628</v>
      </c>
      <c r="V91" s="6">
        <f>IFERROR((('raw-PriceList'!O90/'raw-PriceList'!O91)-1)-Table14[[#This Row],[RF]],"")</f>
        <v>0.22034296899431519</v>
      </c>
      <c r="W91" s="6">
        <f>IFERROR((('raw-PriceList'!P90/'raw-PriceList'!P91)-1)-Table14[[#This Row],[RF]],"")</f>
        <v>9.2157497253091775E-2</v>
      </c>
      <c r="X91" s="6">
        <f>IFERROR((('raw-PriceList'!Q90/'raw-PriceList'!Q91)-1)-Table14[[#This Row],[RF]],"")</f>
        <v>0.10577937302369392</v>
      </c>
      <c r="Y91" s="6" t="str">
        <f>IFERROR((('raw-PriceList'!#REF!/'raw-PriceList'!#REF!)-1)-Table14[[#This Row],[RF]],"")</f>
        <v/>
      </c>
      <c r="Z91" s="6">
        <f>IFERROR((('raw-PriceList'!R90/'raw-PriceList'!R91)-1)-Table14[[#This Row],[RF]],"")</f>
        <v>8.1876293242285764E-2</v>
      </c>
      <c r="AA91" s="6" t="str">
        <f>IFERROR((('raw-PriceList'!#REF!/'raw-PriceList'!#REF!)-1)-Table14[[#This Row],[RF]],"")</f>
        <v/>
      </c>
      <c r="AB91" s="6" t="str">
        <f>IFERROR((('raw-PriceList'!#REF!/'raw-PriceList'!#REF!)-1)-Table14[[#This Row],[RF]],"")</f>
        <v/>
      </c>
      <c r="AC91" s="6">
        <f>IFERROR((('raw-PriceList'!S90/'raw-PriceList'!S91)-1)-Table14[[#This Row],[RF]],"")</f>
        <v>0.1739467730723189</v>
      </c>
      <c r="AD91" s="6">
        <f>IFERROR((('raw-PriceList'!T90/'raw-PriceList'!T91)-1)-Table14[[#This Row],[RF]],"")</f>
        <v>0.19087194234589192</v>
      </c>
      <c r="AE91" s="6" t="str">
        <f>IFERROR((('raw-PriceList'!#REF!/'raw-PriceList'!#REF!)-1)-Table14[[#This Row],[RF]],"")</f>
        <v/>
      </c>
      <c r="AF91" s="6">
        <f>IFERROR((('raw-PriceList'!U90/'raw-PriceList'!U91)-1)-Table14[[#This Row],[RF]],"")</f>
        <v>6.9448325847672271E-2</v>
      </c>
      <c r="AG91" s="6">
        <f>IFERROR((('raw-PriceList'!V90/'raw-PriceList'!V91)-1)-Table14[[#This Row],[RF]],"")</f>
        <v>0.19991079742675746</v>
      </c>
      <c r="AH91" s="6">
        <f>IFERROR((('raw-PriceList'!W90/'raw-PriceList'!W91)-1)-Table14[[#This Row],[RF]],"")</f>
        <v>3.5840975607670106E-2</v>
      </c>
      <c r="AI91" s="6">
        <f>IFERROR((('raw-PriceList'!X90/'raw-PriceList'!X91)-1)-Table14[[#This Row],[RF]],"")</f>
        <v>7.5664408260347288E-2</v>
      </c>
      <c r="AJ91" s="6" t="str">
        <f>IFERROR((('raw-PriceList'!#REF!/'raw-PriceList'!#REF!)-1)-Table14[[#This Row],[RF]],"")</f>
        <v/>
      </c>
      <c r="AK91" s="6" t="str">
        <f>IFERROR((('raw-PriceList'!#REF!/'raw-PriceList'!#REF!)-1)-Table14[[#This Row],[RF]],"")</f>
        <v/>
      </c>
      <c r="AL91" s="6">
        <f>IFERROR((('raw-PriceList'!Y90/'raw-PriceList'!Y91)-1)-Table14[[#This Row],[RF]],"")</f>
        <v>0.17228305416262427</v>
      </c>
      <c r="AM91" s="6">
        <f>IFERROR((('raw-PriceList'!Z28/'raw-PriceList'!Z29)-1)-Table14[[#This Row],[RF]],"")</f>
        <v>8.2770497923229908E-2</v>
      </c>
      <c r="AN91" s="6" t="str">
        <f>IFERROR((('raw-PriceList'!#REF!/'raw-PriceList'!#REF!)-1)-Table14[[#This Row],[RF]],"")</f>
        <v/>
      </c>
      <c r="AO91" s="6">
        <f>IFERROR((('raw-PriceList'!AA90/'raw-PriceList'!AA91)-1)-Table14[[#This Row],[RF]],"")</f>
        <v>7.4630397791331876E-2</v>
      </c>
      <c r="AP91" s="6" t="str">
        <f>IFERROR((('raw-PriceList'!#REF!/'raw-PriceList'!#REF!)-1)-Table14[[#This Row],[RF]],"")</f>
        <v/>
      </c>
      <c r="AQ91" s="6">
        <f>IFERROR((('raw-PriceList'!AB90/'raw-PriceList'!AB91)-1)-Table14[[#This Row],[RF]],"")</f>
        <v>0.1855430247522484</v>
      </c>
      <c r="AR91" s="6">
        <f>IFERROR((('raw-PriceList'!AC90/'raw-PriceList'!AC91)-1)-Table14[[#This Row],[RF]],"")</f>
        <v>0.19969838572012369</v>
      </c>
      <c r="AS91" s="6" t="str">
        <f>IFERROR((('raw-PriceList'!#REF!/'raw-PriceList'!#REF!)-1)-Table14[[#This Row],[RF]],"")</f>
        <v/>
      </c>
      <c r="AT91" s="6" t="str">
        <f>IFERROR((('raw-PriceList'!#REF!/'raw-PriceList'!#REF!)-1)-Table14[[#This Row],[RF]],"")</f>
        <v/>
      </c>
      <c r="AU91" s="6" t="str">
        <f>IFERROR((('raw-PriceList'!#REF!/'raw-PriceList'!#REF!)-1)-Table14[[#This Row],[RF]],"")</f>
        <v/>
      </c>
      <c r="AV91" s="6">
        <f>IFERROR((('raw-PriceList'!AD90/'raw-PriceList'!AD91)-1)-Table14[[#This Row],[RF]],"")</f>
        <v>0.18360198324257118</v>
      </c>
      <c r="AW91" s="6">
        <f>IFERROR((('raw-PriceList'!AE90/'raw-PriceList'!AE91)-1)-Table14[[#This Row],[RF]],"")</f>
        <v>0.18360198324257118</v>
      </c>
      <c r="AX91" s="6">
        <f>IFERROR((('raw-PriceList'!AF90/'raw-PriceList'!AF91)-1)-Table14[[#This Row],[RF]],"")</f>
        <v>0.21670912935217648</v>
      </c>
      <c r="AY91" s="6">
        <f>IFERROR((('raw-PriceList'!AG90/'raw-PriceList'!AG91)-1)-Table14[[#This Row],[RF]],"")</f>
        <v>0.11792503951769309</v>
      </c>
      <c r="AZ91" s="6">
        <f>IFERROR((('raw-PriceList'!AH90/'raw-PriceList'!AH91)-1)-Table14[[#This Row],[RF]],"")</f>
        <v>0.13026484032088739</v>
      </c>
      <c r="BA91" s="6" t="str">
        <f>IFERROR((('raw-PriceList'!#REF!/'raw-PriceList'!#REF!)-1)-Table14[[#This Row],[RF]],"")</f>
        <v/>
      </c>
      <c r="BB91" s="6" t="str">
        <f>IFERROR((('raw-PriceList'!AI90/'raw-PriceList'!AI91)-1)-Table14[[#This Row],[RF]],"")</f>
        <v/>
      </c>
    </row>
    <row r="92" spans="1:54" x14ac:dyDescent="0.2">
      <c r="A92" s="5">
        <v>40724</v>
      </c>
      <c r="B92" s="9">
        <v>1</v>
      </c>
      <c r="C92" s="4">
        <v>-5.9900000000000002E-2</v>
      </c>
      <c r="D92" s="4">
        <v>-5.9900000000000002E-2</v>
      </c>
      <c r="E92" s="4">
        <v>-5.9900000000000002E-2</v>
      </c>
      <c r="F92" s="4">
        <v>-5.9900000000000002E-2</v>
      </c>
      <c r="G92" s="4">
        <v>-5.9900000000000002E-2</v>
      </c>
      <c r="H92" s="6">
        <f>IFERROR((('raw-PriceList'!B91/'raw-PriceList'!B92)-1)-Table14[[#This Row],[RF]],"")</f>
        <v>5.9281911092130039E-2</v>
      </c>
      <c r="I92" s="6">
        <f>IFERROR((('raw-PriceList'!C91/'raw-PriceList'!C92)-1)-Table14[[#This Row],[RF]],"")</f>
        <v>0.11546846921254467</v>
      </c>
      <c r="J92" s="6">
        <f>IFERROR((('raw-PriceList'!D91/'raw-PriceList'!D92)-1)-Table14[[#This Row],[RF]],"")</f>
        <v>6.3949698038207659E-2</v>
      </c>
      <c r="K92" s="6" t="str">
        <f>IFERROR((('raw-PriceList'!E91/'raw-PriceList'!E92)-1)-Table14[[#This Row],[RF]],"")</f>
        <v/>
      </c>
      <c r="L92" s="6">
        <f>IFERROR((('raw-PriceList'!F62/'raw-PriceList'!F63)-1)-Table14[[#This Row],[RF]],"")</f>
        <v>6.3332122160105253E-2</v>
      </c>
      <c r="M92" s="6">
        <f>IFERROR((('raw-PriceList'!G91/'raw-PriceList'!G92)-1)-Table14[[#This Row],[RF]],"")</f>
        <v>5.54760447555867E-2</v>
      </c>
      <c r="N92" s="6">
        <f>IFERROR((('raw-PriceList'!H91/'raw-PriceList'!H92)-1)-Table14[[#This Row],[RF]],"")</f>
        <v>0.28849605057244093</v>
      </c>
      <c r="O92" s="6" t="str">
        <f>IFERROR((('raw-PriceList'!I91/'raw-PriceList'!I92)-1)-Table14[[#This Row],[RF]],"")</f>
        <v/>
      </c>
      <c r="P92" s="6">
        <f>IFERROR((('raw-PriceList'!J91/'raw-PriceList'!J92)-1)-Table14[[#This Row],[RF]],"")</f>
        <v>-1.187617173167916E-2</v>
      </c>
      <c r="Q92" s="6">
        <f>IFERROR((('raw-PriceList'!K91/'raw-PriceList'!K92)-1)-Table14[[#This Row],[RF]],"")</f>
        <v>-1.1071540868623893E-2</v>
      </c>
      <c r="R92" s="6">
        <f>IFERROR((('raw-PriceList'!L91/'raw-PriceList'!L92)-1)-Table14[[#This Row],[RF]],"")</f>
        <v>-1.3259081783996103E-2</v>
      </c>
      <c r="S92" s="6" t="str">
        <f>IFERROR((('raw-PriceList'!#REF!/'raw-PriceList'!#REF!)-1)-Table14[[#This Row],[RF]],"")</f>
        <v/>
      </c>
      <c r="T92" s="6">
        <f>IFERROR((('raw-PriceList'!M91/'raw-PriceList'!M92)-1)-Table14[[#This Row],[RF]],"")</f>
        <v>-4.9972410070043445E-2</v>
      </c>
      <c r="U92" s="6">
        <f>IFERROR((('raw-PriceList'!N91/'raw-PriceList'!N92)-1)-Table14[[#This Row],[RF]],"")</f>
        <v>-5.4316636991818275E-2</v>
      </c>
      <c r="V92" s="6">
        <f>IFERROR((('raw-PriceList'!O91/'raw-PriceList'!O92)-1)-Table14[[#This Row],[RF]],"")</f>
        <v>-4.6638255452404583E-2</v>
      </c>
      <c r="W92" s="6">
        <f>IFERROR((('raw-PriceList'!P91/'raw-PriceList'!P92)-1)-Table14[[#This Row],[RF]],"")</f>
        <v>4.3259524380145624E-2</v>
      </c>
      <c r="X92" s="6">
        <f>IFERROR((('raw-PriceList'!Q91/'raw-PriceList'!Q92)-1)-Table14[[#This Row],[RF]],"")</f>
        <v>8.9672909788197142E-2</v>
      </c>
      <c r="Y92" s="6" t="str">
        <f>IFERROR((('raw-PriceList'!#REF!/'raw-PriceList'!#REF!)-1)-Table14[[#This Row],[RF]],"")</f>
        <v/>
      </c>
      <c r="Z92" s="6">
        <f>IFERROR((('raw-PriceList'!R91/'raw-PriceList'!R92)-1)-Table14[[#This Row],[RF]],"")</f>
        <v>4.8223608843633907E-2</v>
      </c>
      <c r="AA92" s="6" t="str">
        <f>IFERROR((('raw-PriceList'!#REF!/'raw-PriceList'!#REF!)-1)-Table14[[#This Row],[RF]],"")</f>
        <v/>
      </c>
      <c r="AB92" s="6" t="str">
        <f>IFERROR((('raw-PriceList'!#REF!/'raw-PriceList'!#REF!)-1)-Table14[[#This Row],[RF]],"")</f>
        <v/>
      </c>
      <c r="AC92" s="6">
        <f>IFERROR((('raw-PriceList'!S91/'raw-PriceList'!S92)-1)-Table14[[#This Row],[RF]],"")</f>
        <v>-5.3741479603501681E-2</v>
      </c>
      <c r="AD92" s="6">
        <f>IFERROR((('raw-PriceList'!T91/'raw-PriceList'!T92)-1)-Table14[[#This Row],[RF]],"")</f>
        <v>-7.0222719937344691E-2</v>
      </c>
      <c r="AE92" s="6" t="str">
        <f>IFERROR((('raw-PriceList'!#REF!/'raw-PriceList'!#REF!)-1)-Table14[[#This Row],[RF]],"")</f>
        <v/>
      </c>
      <c r="AF92" s="6">
        <f>IFERROR((('raw-PriceList'!U91/'raw-PriceList'!U92)-1)-Table14[[#This Row],[RF]],"")</f>
        <v>6.3644652911066524E-2</v>
      </c>
      <c r="AG92" s="6">
        <f>IFERROR((('raw-PriceList'!V91/'raw-PriceList'!V92)-1)-Table14[[#This Row],[RF]],"")</f>
        <v>-6.2559523737585165E-2</v>
      </c>
      <c r="AH92" s="6">
        <f>IFERROR((('raw-PriceList'!W91/'raw-PriceList'!W92)-1)-Table14[[#This Row],[RF]],"")</f>
        <v>0.15673425214907016</v>
      </c>
      <c r="AI92" s="6">
        <f>IFERROR((('raw-PriceList'!X91/'raw-PriceList'!X92)-1)-Table14[[#This Row],[RF]],"")</f>
        <v>5.8014407842520814E-2</v>
      </c>
      <c r="AJ92" s="6" t="str">
        <f>IFERROR((('raw-PriceList'!#REF!/'raw-PriceList'!#REF!)-1)-Table14[[#This Row],[RF]],"")</f>
        <v/>
      </c>
      <c r="AK92" s="6" t="str">
        <f>IFERROR((('raw-PriceList'!#REF!/'raw-PriceList'!#REF!)-1)-Table14[[#This Row],[RF]],"")</f>
        <v/>
      </c>
      <c r="AL92" s="6">
        <f>IFERROR((('raw-PriceList'!Y91/'raw-PriceList'!Y92)-1)-Table14[[#This Row],[RF]],"")</f>
        <v>-7.9780819006055118E-3</v>
      </c>
      <c r="AM92" s="6">
        <f>IFERROR((('raw-PriceList'!Z29/'raw-PriceList'!Z30)-1)-Table14[[#This Row],[RF]],"")</f>
        <v>1.8761297150060745E-2</v>
      </c>
      <c r="AN92" s="6" t="str">
        <f>IFERROR((('raw-PriceList'!#REF!/'raw-PriceList'!#REF!)-1)-Table14[[#This Row],[RF]],"")</f>
        <v/>
      </c>
      <c r="AO92" s="6">
        <f>IFERROR((('raw-PriceList'!AA91/'raw-PriceList'!AA92)-1)-Table14[[#This Row],[RF]],"")</f>
        <v>5.5611046987764916E-2</v>
      </c>
      <c r="AP92" s="6" t="str">
        <f>IFERROR((('raw-PriceList'!#REF!/'raw-PriceList'!#REF!)-1)-Table14[[#This Row],[RF]],"")</f>
        <v/>
      </c>
      <c r="AQ92" s="6">
        <f>IFERROR((('raw-PriceList'!AB91/'raw-PriceList'!AB92)-1)-Table14[[#This Row],[RF]],"")</f>
        <v>-9.2946161142122008E-2</v>
      </c>
      <c r="AR92" s="6">
        <f>IFERROR((('raw-PriceList'!AC91/'raw-PriceList'!AC92)-1)-Table14[[#This Row],[RF]],"")</f>
        <v>-2.7121039915447627E-2</v>
      </c>
      <c r="AS92" s="6" t="str">
        <f>IFERROR((('raw-PriceList'!#REF!/'raw-PriceList'!#REF!)-1)-Table14[[#This Row],[RF]],"")</f>
        <v/>
      </c>
      <c r="AT92" s="6" t="str">
        <f>IFERROR((('raw-PriceList'!#REF!/'raw-PriceList'!#REF!)-1)-Table14[[#This Row],[RF]],"")</f>
        <v/>
      </c>
      <c r="AU92" s="6" t="str">
        <f>IFERROR((('raw-PriceList'!#REF!/'raw-PriceList'!#REF!)-1)-Table14[[#This Row],[RF]],"")</f>
        <v/>
      </c>
      <c r="AV92" s="6">
        <f>IFERROR((('raw-PriceList'!AD91/'raw-PriceList'!AD92)-1)-Table14[[#This Row],[RF]],"")</f>
        <v>-1.3372929248364147E-2</v>
      </c>
      <c r="AW92" s="6">
        <f>IFERROR((('raw-PriceList'!AE91/'raw-PriceList'!AE92)-1)-Table14[[#This Row],[RF]],"")</f>
        <v>-1.3372929248364147E-2</v>
      </c>
      <c r="AX92" s="6">
        <f>IFERROR((('raw-PriceList'!AF91/'raw-PriceList'!AF92)-1)-Table14[[#This Row],[RF]],"")</f>
        <v>-4.9856870615187017E-2</v>
      </c>
      <c r="AY92" s="6">
        <f>IFERROR((('raw-PriceList'!AG91/'raw-PriceList'!AG92)-1)-Table14[[#This Row],[RF]],"")</f>
        <v>-8.7535863288025831E-3</v>
      </c>
      <c r="AZ92" s="6">
        <f>IFERROR((('raw-PriceList'!AH91/'raw-PriceList'!AH92)-1)-Table14[[#This Row],[RF]],"")</f>
        <v>-3.159205913520053E-2</v>
      </c>
      <c r="BA92" s="6" t="str">
        <f>IFERROR((('raw-PriceList'!#REF!/'raw-PriceList'!#REF!)-1)-Table14[[#This Row],[RF]],"")</f>
        <v/>
      </c>
      <c r="BB92" s="6" t="str">
        <f>IFERROR((('raw-PriceList'!AI91/'raw-PriceList'!AI92)-1)-Table14[[#This Row],[RF]],"")</f>
        <v/>
      </c>
    </row>
    <row r="93" spans="1:54" x14ac:dyDescent="0.2">
      <c r="A93" s="5">
        <v>40694</v>
      </c>
      <c r="B93" s="9">
        <v>1</v>
      </c>
      <c r="C93" s="4">
        <v>-2.3599999999999999E-2</v>
      </c>
      <c r="D93" s="4">
        <v>-2.3599999999999999E-2</v>
      </c>
      <c r="E93" s="4">
        <v>-2.3599999999999999E-2</v>
      </c>
      <c r="F93" s="4">
        <v>-2.3599999999999999E-2</v>
      </c>
      <c r="G93" s="4">
        <v>-2.3599999999999999E-2</v>
      </c>
      <c r="H93" s="6">
        <f>IFERROR((('raw-PriceList'!B92/'raw-PriceList'!B93)-1)-Table14[[#This Row],[RF]],"")</f>
        <v>4.5119205138626814E-2</v>
      </c>
      <c r="I93" s="6">
        <f>IFERROR((('raw-PriceList'!C92/'raw-PriceList'!C93)-1)-Table14[[#This Row],[RF]],"")</f>
        <v>7.0072054577113782E-2</v>
      </c>
      <c r="J93" s="6">
        <f>IFERROR((('raw-PriceList'!D92/'raw-PriceList'!D93)-1)-Table14[[#This Row],[RF]],"")</f>
        <v>3.7445710611057656E-2</v>
      </c>
      <c r="K93" s="6" t="str">
        <f>IFERROR((('raw-PriceList'!E92/'raw-PriceList'!#REF!)-1)-Table14[[#This Row],[RF]],"")</f>
        <v/>
      </c>
      <c r="L93" s="6">
        <f>IFERROR((('raw-PriceList'!F63/'raw-PriceList'!F64)-1)-Table14[[#This Row],[RF]],"")</f>
        <v>3.8100176160380902E-2</v>
      </c>
      <c r="M93" s="6">
        <f>IFERROR((('raw-PriceList'!G92/'raw-PriceList'!G93)-1)-Table14[[#This Row],[RF]],"")</f>
        <v>2.8217228274856888E-2</v>
      </c>
      <c r="N93" s="6">
        <f>IFERROR((('raw-PriceList'!H92/'raw-PriceList'!H93)-1)-Table14[[#This Row],[RF]],"")</f>
        <v>0.1873128309553424</v>
      </c>
      <c r="O93" s="6" t="str">
        <f>IFERROR((('raw-PriceList'!I92/'raw-PriceList'!#REF!)-1)-Table14[[#This Row],[RF]],"")</f>
        <v/>
      </c>
      <c r="P93" s="6">
        <f>IFERROR((('raw-PriceList'!J92/'raw-PriceList'!J93)-1)-Table14[[#This Row],[RF]],"")</f>
        <v>-3.0785134281851322E-2</v>
      </c>
      <c r="Q93" s="6">
        <f>IFERROR((('raw-PriceList'!K92/'raw-PriceList'!K93)-1)-Table14[[#This Row],[RF]],"")</f>
        <v>-2.7203940595303022E-2</v>
      </c>
      <c r="R93" s="6">
        <f>IFERROR((('raw-PriceList'!L92/'raw-PriceList'!L93)-1)-Table14[[#This Row],[RF]],"")</f>
        <v>-3.3662385676067122E-2</v>
      </c>
      <c r="S93" s="6" t="str">
        <f>IFERROR((('raw-PriceList'!#REF!/'raw-PriceList'!#REF!)-1)-Table14[[#This Row],[RF]],"")</f>
        <v/>
      </c>
      <c r="T93" s="6">
        <f>IFERROR((('raw-PriceList'!M92/'raw-PriceList'!M93)-1)-Table14[[#This Row],[RF]],"")</f>
        <v>-5.98259821920097E-2</v>
      </c>
      <c r="U93" s="6">
        <f>IFERROR((('raw-PriceList'!N92/'raw-PriceList'!N93)-1)-Table14[[#This Row],[RF]],"")</f>
        <v>-6.2216819416461691E-2</v>
      </c>
      <c r="V93" s="6">
        <f>IFERROR((('raw-PriceList'!O92/'raw-PriceList'!O93)-1)-Table14[[#This Row],[RF]],"")</f>
        <v>-5.8270800371483092E-2</v>
      </c>
      <c r="W93" s="6">
        <f>IFERROR((('raw-PriceList'!P92/'raw-PriceList'!P93)-1)-Table14[[#This Row],[RF]],"")</f>
        <v>2.7442606412139737E-2</v>
      </c>
      <c r="X93" s="6">
        <f>IFERROR((('raw-PriceList'!Q92/'raw-PriceList'!Q93)-1)-Table14[[#This Row],[RF]],"")</f>
        <v>3.2212289850876694E-2</v>
      </c>
      <c r="Y93" s="6" t="str">
        <f>IFERROR((('raw-PriceList'!#REF!/'raw-PriceList'!#REF!)-1)-Table14[[#This Row],[RF]],"")</f>
        <v/>
      </c>
      <c r="Z93" s="6">
        <f>IFERROR((('raw-PriceList'!R92/'raw-PriceList'!R93)-1)-Table14[[#This Row],[RF]],"")</f>
        <v>2.0829338962613009E-2</v>
      </c>
      <c r="AA93" s="6" t="str">
        <f>IFERROR((('raw-PriceList'!#REF!/'raw-PriceList'!#REF!)-1)-Table14[[#This Row],[RF]],"")</f>
        <v/>
      </c>
      <c r="AB93" s="6" t="str">
        <f>IFERROR((('raw-PriceList'!#REF!/'raw-PriceList'!#REF!)-1)-Table14[[#This Row],[RF]],"")</f>
        <v/>
      </c>
      <c r="AC93" s="6">
        <f>IFERROR((('raw-PriceList'!S92/'raw-PriceList'!S93)-1)-Table14[[#This Row],[RF]],"")</f>
        <v>-6.1987401184973104E-2</v>
      </c>
      <c r="AD93" s="6">
        <f>IFERROR((('raw-PriceList'!T92/'raw-PriceList'!T93)-1)-Table14[[#This Row],[RF]],"")</f>
        <v>-6.113158813148685E-2</v>
      </c>
      <c r="AE93" s="6" t="str">
        <f>IFERROR((('raw-PriceList'!#REF!/'raw-PriceList'!#REF!)-1)-Table14[[#This Row],[RF]],"")</f>
        <v/>
      </c>
      <c r="AF93" s="6">
        <f>IFERROR((('raw-PriceList'!U92/'raw-PriceList'!U93)-1)-Table14[[#This Row],[RF]],"")</f>
        <v>4.9744644363315979E-2</v>
      </c>
      <c r="AG93" s="6">
        <f>IFERROR((('raw-PriceList'!V92/'raw-PriceList'!V93)-1)-Table14[[#This Row],[RF]],"")</f>
        <v>-6.9093464333590163E-2</v>
      </c>
      <c r="AH93" s="6">
        <f>IFERROR((('raw-PriceList'!W92/'raw-PriceList'!W93)-1)-Table14[[#This Row],[RF]],"")</f>
        <v>0.10782642356219856</v>
      </c>
      <c r="AI93" s="6">
        <f>IFERROR((('raw-PriceList'!X92/'raw-PriceList'!X93)-1)-Table14[[#This Row],[RF]],"")</f>
        <v>2.6969397638601556E-2</v>
      </c>
      <c r="AJ93" s="6" t="str">
        <f>IFERROR((('raw-PriceList'!#REF!/'raw-PriceList'!#REF!)-1)-Table14[[#This Row],[RF]],"")</f>
        <v/>
      </c>
      <c r="AK93" s="6" t="str">
        <f>IFERROR((('raw-PriceList'!#REF!/'raw-PriceList'!#REF!)-1)-Table14[[#This Row],[RF]],"")</f>
        <v/>
      </c>
      <c r="AL93" s="6">
        <f>IFERROR((('raw-PriceList'!Y92/'raw-PriceList'!Y93)-1)-Table14[[#This Row],[RF]],"")</f>
        <v>-8.4686762489458271E-3</v>
      </c>
      <c r="AM93" s="6">
        <f>IFERROR((('raw-PriceList'!Z30/'raw-PriceList'!Z31)-1)-Table14[[#This Row],[RF]],"")</f>
        <v>-1.7440002286937383E-2</v>
      </c>
      <c r="AN93" s="6" t="str">
        <f>IFERROR((('raw-PriceList'!#REF!/'raw-PriceList'!#REF!)-1)-Table14[[#This Row],[RF]],"")</f>
        <v/>
      </c>
      <c r="AO93" s="6">
        <f>IFERROR((('raw-PriceList'!AA92/'raw-PriceList'!AA93)-1)-Table14[[#This Row],[RF]],"")</f>
        <v>3.636756985127769E-2</v>
      </c>
      <c r="AP93" s="6" t="str">
        <f>IFERROR((('raw-PriceList'!#REF!/'raw-PriceList'!#REF!)-1)-Table14[[#This Row],[RF]],"")</f>
        <v/>
      </c>
      <c r="AQ93" s="6">
        <f>IFERROR((('raw-PriceList'!AB92/'raw-PriceList'!AB93)-1)-Table14[[#This Row],[RF]],"")</f>
        <v>-4.6510683380814058E-2</v>
      </c>
      <c r="AR93" s="6">
        <f>IFERROR((('raw-PriceList'!AC92/'raw-PriceList'!AC93)-1)-Table14[[#This Row],[RF]],"")</f>
        <v>-4.2084453988542173E-2</v>
      </c>
      <c r="AS93" s="6" t="str">
        <f>IFERROR((('raw-PriceList'!#REF!/'raw-PriceList'!#REF!)-1)-Table14[[#This Row],[RF]],"")</f>
        <v/>
      </c>
      <c r="AT93" s="6" t="str">
        <f>IFERROR((('raw-PriceList'!#REF!/'raw-PriceList'!#REF!)-1)-Table14[[#This Row],[RF]],"")</f>
        <v/>
      </c>
      <c r="AU93" s="6" t="str">
        <f>IFERROR((('raw-PriceList'!#REF!/'raw-PriceList'!#REF!)-1)-Table14[[#This Row],[RF]],"")</f>
        <v/>
      </c>
      <c r="AV93" s="6">
        <f>IFERROR((('raw-PriceList'!AD92/'raw-PriceList'!AD93)-1)-Table14[[#This Row],[RF]],"")</f>
        <v>-3.1494471400393811E-2</v>
      </c>
      <c r="AW93" s="6">
        <f>IFERROR((('raw-PriceList'!AE92/'raw-PriceList'!AE93)-1)-Table14[[#This Row],[RF]],"")</f>
        <v>-3.1494471400393811E-2</v>
      </c>
      <c r="AX93" s="6">
        <f>IFERROR((('raw-PriceList'!AF92/'raw-PriceList'!AF93)-1)-Table14[[#This Row],[RF]],"")</f>
        <v>-5.0418504702013103E-2</v>
      </c>
      <c r="AY93" s="6">
        <f>IFERROR((('raw-PriceList'!AG92/'raw-PriceList'!AG93)-1)-Table14[[#This Row],[RF]],"")</f>
        <v>-6.8625179663738926E-3</v>
      </c>
      <c r="AZ93" s="6">
        <f>IFERROR((('raw-PriceList'!AH92/'raw-PriceList'!AH93)-1)-Table14[[#This Row],[RF]],"")</f>
        <v>-4.2135638622669849E-2</v>
      </c>
      <c r="BA93" s="6" t="str">
        <f>IFERROR((('raw-PriceList'!#REF!/'raw-PriceList'!#REF!)-1)-Table14[[#This Row],[RF]],"")</f>
        <v/>
      </c>
      <c r="BB93" s="6" t="str">
        <f>IFERROR((('raw-PriceList'!AI92/'raw-PriceList'!#REF!)-1)-Table14[[#This Row],[RF]],"")</f>
        <v/>
      </c>
    </row>
    <row r="94" spans="1:54" x14ac:dyDescent="0.2">
      <c r="A94" s="5">
        <v>40663</v>
      </c>
      <c r="B94" s="9">
        <v>1</v>
      </c>
      <c r="C94" s="4">
        <v>-1.7500000000000002E-2</v>
      </c>
      <c r="D94" s="4">
        <v>-1.7500000000000002E-2</v>
      </c>
      <c r="E94" s="4">
        <v>-1.7500000000000002E-2</v>
      </c>
      <c r="F94" s="4">
        <v>-1.7500000000000002E-2</v>
      </c>
      <c r="G94" s="4">
        <v>-1.7500000000000002E-2</v>
      </c>
      <c r="H94" s="6">
        <f>IFERROR((('raw-PriceList'!B93/'raw-PriceList'!B94)-1)-Table14[[#This Row],[RF]],"")</f>
        <v>4.001982417055687E-2</v>
      </c>
      <c r="I94" s="6">
        <f>IFERROR((('raw-PriceList'!C93/'raw-PriceList'!C94)-1)-Table14[[#This Row],[RF]],"")</f>
        <v>5.652149990476911E-2</v>
      </c>
      <c r="J94" s="6">
        <f>IFERROR((('raw-PriceList'!D93/'raw-PriceList'!D94)-1)-Table14[[#This Row],[RF]],"")</f>
        <v>3.1077442679830744E-2</v>
      </c>
      <c r="K94" s="6" t="str">
        <f>IFERROR((('raw-PriceList'!#REF!/'raw-PriceList'!E2)-1)-Table14[[#This Row],[RF]],"")</f>
        <v/>
      </c>
      <c r="L94" s="6">
        <f>IFERROR((('raw-PriceList'!F64/'raw-PriceList'!F65)-1)-Table14[[#This Row],[RF]],"")</f>
        <v>8.4042067694177075E-3</v>
      </c>
      <c r="M94" s="6">
        <f>IFERROR((('raw-PriceList'!G93/'raw-PriceList'!G94)-1)-Table14[[#This Row],[RF]],"")</f>
        <v>2.2057067187215715E-2</v>
      </c>
      <c r="N94" s="6">
        <f>IFERROR((('raw-PriceList'!H93/'raw-PriceList'!H94)-1)-Table14[[#This Row],[RF]],"")</f>
        <v>7.7414942798890982E-2</v>
      </c>
      <c r="O94" s="6" t="str">
        <f>IFERROR((('raw-PriceList'!#REF!/'raw-PriceList'!I2)-1)-Table14[[#This Row],[RF]],"")</f>
        <v/>
      </c>
      <c r="P94" s="6">
        <f>IFERROR((('raw-PriceList'!J93/'raw-PriceList'!J94)-1)-Table14[[#This Row],[RF]],"")</f>
        <v>9.3680193648124077E-5</v>
      </c>
      <c r="Q94" s="6">
        <f>IFERROR((('raw-PriceList'!K93/'raw-PriceList'!K94)-1)-Table14[[#This Row],[RF]],"")</f>
        <v>1.4979582353883789E-2</v>
      </c>
      <c r="R94" s="6">
        <f>IFERROR((('raw-PriceList'!L93/'raw-PriceList'!L94)-1)-Table14[[#This Row],[RF]],"")</f>
        <v>-1.5762552172294234E-2</v>
      </c>
      <c r="S94" s="6" t="str">
        <f>IFERROR((('raw-PriceList'!#REF!/'raw-PriceList'!#REF!)-1)-Table14[[#This Row],[RF]],"")</f>
        <v/>
      </c>
      <c r="T94" s="6">
        <f>IFERROR((('raw-PriceList'!M93/'raw-PriceList'!M94)-1)-Table14[[#This Row],[RF]],"")</f>
        <v>-1.8691651323131733E-2</v>
      </c>
      <c r="U94" s="6">
        <f>IFERROR((('raw-PriceList'!N93/'raw-PriceList'!N94)-1)-Table14[[#This Row],[RF]],"")</f>
        <v>-2.1253130979361504E-2</v>
      </c>
      <c r="V94" s="6">
        <f>IFERROR((('raw-PriceList'!O93/'raw-PriceList'!O94)-1)-Table14[[#This Row],[RF]],"")</f>
        <v>-1.5758044037460131E-2</v>
      </c>
      <c r="W94" s="6">
        <f>IFERROR((('raw-PriceList'!P93/'raw-PriceList'!P94)-1)-Table14[[#This Row],[RF]],"")</f>
        <v>3.9987395553090652E-2</v>
      </c>
      <c r="X94" s="6">
        <f>IFERROR((('raw-PriceList'!Q93/'raw-PriceList'!Q94)-1)-Table14[[#This Row],[RF]],"")</f>
        <v>5.2482125953703093E-2</v>
      </c>
      <c r="Y94" s="6" t="str">
        <f>IFERROR((('raw-PriceList'!#REF!/'raw-PriceList'!#REF!)-1)-Table14[[#This Row],[RF]],"")</f>
        <v/>
      </c>
      <c r="Z94" s="6">
        <f>IFERROR((('raw-PriceList'!R93/'raw-PriceList'!R94)-1)-Table14[[#This Row],[RF]],"")</f>
        <v>2.2536402663602503E-2</v>
      </c>
      <c r="AA94" s="6" t="str">
        <f>IFERROR((('raw-PriceList'!#REF!/'raw-PriceList'!#REF!)-1)-Table14[[#This Row],[RF]],"")</f>
        <v/>
      </c>
      <c r="AB94" s="6" t="str">
        <f>IFERROR((('raw-PriceList'!#REF!/'raw-PriceList'!#REF!)-1)-Table14[[#This Row],[RF]],"")</f>
        <v/>
      </c>
      <c r="AC94" s="6">
        <f>IFERROR((('raw-PriceList'!S93/'raw-PriceList'!S94)-1)-Table14[[#This Row],[RF]],"")</f>
        <v>-6.4953024124508457E-3</v>
      </c>
      <c r="AD94" s="6">
        <f>IFERROR((('raw-PriceList'!T93/'raw-PriceList'!T94)-1)-Table14[[#This Row],[RF]],"")</f>
        <v>-6.1368852740423946E-3</v>
      </c>
      <c r="AE94" s="6" t="str">
        <f>IFERROR((('raw-PriceList'!#REF!/'raw-PriceList'!#REF!)-1)-Table14[[#This Row],[RF]],"")</f>
        <v/>
      </c>
      <c r="AF94" s="6">
        <f>IFERROR((('raw-PriceList'!U93/'raw-PriceList'!U94)-1)-Table14[[#This Row],[RF]],"")</f>
        <v>3.7620791355690672E-2</v>
      </c>
      <c r="AG94" s="6">
        <f>IFERROR((('raw-PriceList'!V93/'raw-PriceList'!V94)-1)-Table14[[#This Row],[RF]],"")</f>
        <v>-2.8547999814699979E-2</v>
      </c>
      <c r="AH94" s="6">
        <f>IFERROR((('raw-PriceList'!W93/'raw-PriceList'!W94)-1)-Table14[[#This Row],[RF]],"")</f>
        <v>5.4241443038883938E-2</v>
      </c>
      <c r="AI94" s="6">
        <f>IFERROR((('raw-PriceList'!X93/'raw-PriceList'!X94)-1)-Table14[[#This Row],[RF]],"")</f>
        <v>1.9496925178803234E-2</v>
      </c>
      <c r="AJ94" s="6" t="str">
        <f>IFERROR((('raw-PriceList'!#REF!/'raw-PriceList'!#REF!)-1)-Table14[[#This Row],[RF]],"")</f>
        <v/>
      </c>
      <c r="AK94" s="6" t="str">
        <f>IFERROR((('raw-PriceList'!#REF!/'raw-PriceList'!#REF!)-1)-Table14[[#This Row],[RF]],"")</f>
        <v/>
      </c>
      <c r="AL94" s="6">
        <f>IFERROR((('raw-PriceList'!Y93/'raw-PriceList'!Y94)-1)-Table14[[#This Row],[RF]],"")</f>
        <v>-1.7199873748175401E-2</v>
      </c>
      <c r="AM94" s="6">
        <f>IFERROR((('raw-PriceList'!Z31/'raw-PriceList'!Z32)-1)-Table14[[#This Row],[RF]],"")</f>
        <v>2.9175535614420031E-2</v>
      </c>
      <c r="AN94" s="6" t="str">
        <f>IFERROR((('raw-PriceList'!#REF!/'raw-PriceList'!#REF!)-1)-Table14[[#This Row],[RF]],"")</f>
        <v/>
      </c>
      <c r="AO94" s="6">
        <f>IFERROR((('raw-PriceList'!AA93/'raw-PriceList'!AA94)-1)-Table14[[#This Row],[RF]],"")</f>
        <v>2.2896212814132719E-2</v>
      </c>
      <c r="AP94" s="6" t="str">
        <f>IFERROR((('raw-PriceList'!#REF!/'raw-PriceList'!#REF!)-1)-Table14[[#This Row],[RF]],"")</f>
        <v/>
      </c>
      <c r="AQ94" s="6">
        <f>IFERROR((('raw-PriceList'!AB93/'raw-PriceList'!AB94)-1)-Table14[[#This Row],[RF]],"")</f>
        <v>1.936118286371917E-2</v>
      </c>
      <c r="AR94" s="6">
        <f>IFERROR((('raw-PriceList'!AC93/'raw-PriceList'!AC94)-1)-Table14[[#This Row],[RF]],"")</f>
        <v>-2.1364537379738383E-2</v>
      </c>
      <c r="AS94" s="6" t="str">
        <f>IFERROR((('raw-PriceList'!#REF!/'raw-PriceList'!#REF!)-1)-Table14[[#This Row],[RF]],"")</f>
        <v/>
      </c>
      <c r="AT94" s="6" t="str">
        <f>IFERROR((('raw-PriceList'!#REF!/'raw-PriceList'!#REF!)-1)-Table14[[#This Row],[RF]],"")</f>
        <v/>
      </c>
      <c r="AU94" s="6" t="str">
        <f>IFERROR((('raw-PriceList'!#REF!/'raw-PriceList'!#REF!)-1)-Table14[[#This Row],[RF]],"")</f>
        <v/>
      </c>
      <c r="AV94" s="6">
        <f>IFERROR((('raw-PriceList'!AD93/'raw-PriceList'!AD94)-1)-Table14[[#This Row],[RF]],"")</f>
        <v>-3.0207104592516326E-3</v>
      </c>
      <c r="AW94" s="6">
        <f>IFERROR((('raw-PriceList'!AE93/'raw-PriceList'!AE94)-1)-Table14[[#This Row],[RF]],"")</f>
        <v>-3.0207104592516326E-3</v>
      </c>
      <c r="AX94" s="6">
        <f>IFERROR((('raw-PriceList'!AF93/'raw-PriceList'!AF94)-1)-Table14[[#This Row],[RF]],"")</f>
        <v>-1.3199344691928253E-2</v>
      </c>
      <c r="AY94" s="6">
        <f>IFERROR((('raw-PriceList'!AG93/'raw-PriceList'!AG94)-1)-Table14[[#This Row],[RF]],"")</f>
        <v>-3.9461800612367773E-2</v>
      </c>
      <c r="AZ94" s="6">
        <f>IFERROR((('raw-PriceList'!AH93/'raw-PriceList'!AH94)-1)-Table14[[#This Row],[RF]],"")</f>
        <v>2.7249844088100314E-2</v>
      </c>
      <c r="BA94" s="6" t="str">
        <f>IFERROR((('raw-PriceList'!#REF!/'raw-PriceList'!#REF!)-1)-Table14[[#This Row],[RF]],"")</f>
        <v/>
      </c>
      <c r="BB94" s="6" t="str">
        <f>IFERROR((('raw-PriceList'!#REF!/'raw-PriceList'!AI2)-1)-Table14[[#This Row],[RF]],"")</f>
        <v/>
      </c>
    </row>
    <row r="95" spans="1:54" x14ac:dyDescent="0.2">
      <c r="A95" s="5">
        <v>40633</v>
      </c>
      <c r="B95" s="9">
        <v>1</v>
      </c>
      <c r="C95" s="4">
        <v>-1.2699999999999999E-2</v>
      </c>
      <c r="D95" s="4">
        <v>-1.2699999999999999E-2</v>
      </c>
      <c r="E95" s="4">
        <v>-1.2699999999999999E-2</v>
      </c>
      <c r="F95" s="4">
        <v>-1.2699999999999999E-2</v>
      </c>
      <c r="G95" s="4">
        <v>-1.2699999999999999E-2</v>
      </c>
      <c r="H95" s="6">
        <f>IFERROR((('raw-PriceList'!B94/'raw-PriceList'!B95)-1)-Table14[[#This Row],[RF]],"")</f>
        <v>4.3098270135860199E-3</v>
      </c>
      <c r="I95" s="6">
        <f>IFERROR((('raw-PriceList'!C94/'raw-PriceList'!C95)-1)-Table14[[#This Row],[RF]],"")</f>
        <v>-1.3231870445529582E-2</v>
      </c>
      <c r="J95" s="6">
        <f>IFERROR((('raw-PriceList'!D94/'raw-PriceList'!D95)-1)-Table14[[#This Row],[RF]],"")</f>
        <v>6.2133017710190412E-3</v>
      </c>
      <c r="K95" s="6">
        <f>IFERROR((('raw-PriceList'!E2/'raw-PriceList'!E3)-1)-Table14[[#This Row],[RF]],"")</f>
        <v>1.1775273283864584E-2</v>
      </c>
      <c r="L95" s="6">
        <f>IFERROR((('raw-PriceList'!F65/'raw-PriceList'!F66)-1)-Table14[[#This Row],[RF]],"")</f>
        <v>9.957354552154029E-3</v>
      </c>
      <c r="M95" s="6">
        <f>IFERROR((('raw-PriceList'!G94/'raw-PriceList'!G95)-1)-Table14[[#This Row],[RF]],"")</f>
        <v>1.1243325439778195E-2</v>
      </c>
      <c r="N95" s="6">
        <f>IFERROR((('raw-PriceList'!H94/'raw-PriceList'!H95)-1)-Table14[[#This Row],[RF]],"")</f>
        <v>-4.033461792231989E-2</v>
      </c>
      <c r="O95" s="6">
        <f>IFERROR((('raw-PriceList'!I2/'raw-PriceList'!I3)-1)-Table14[[#This Row],[RF]],"")</f>
        <v>4.6068983957219325E-2</v>
      </c>
      <c r="P95" s="6">
        <f>IFERROR((('raw-PriceList'!J94/'raw-PriceList'!J95)-1)-Table14[[#This Row],[RF]],"")</f>
        <v>-7.792949524450133E-3</v>
      </c>
      <c r="Q95" s="6">
        <f>IFERROR((('raw-PriceList'!K94/'raw-PriceList'!K95)-1)-Table14[[#This Row],[RF]],"")</f>
        <v>-3.9768897809193023E-3</v>
      </c>
      <c r="R95" s="6">
        <f>IFERROR((('raw-PriceList'!L94/'raw-PriceList'!L95)-1)-Table14[[#This Row],[RF]],"")</f>
        <v>-1.2944425465268906E-2</v>
      </c>
      <c r="S95" s="6" t="str">
        <f>IFERROR((('raw-PriceList'!#REF!/'raw-PriceList'!#REF!)-1)-Table14[[#This Row],[RF]],"")</f>
        <v/>
      </c>
      <c r="T95" s="6">
        <f>IFERROR((('raw-PriceList'!M94/'raw-PriceList'!M95)-1)-Table14[[#This Row],[RF]],"")</f>
        <v>-8.2842754664711922E-3</v>
      </c>
      <c r="U95" s="6">
        <f>IFERROR((('raw-PriceList'!N94/'raw-PriceList'!N95)-1)-Table14[[#This Row],[RF]],"")</f>
        <v>-7.4971408114923761E-3</v>
      </c>
      <c r="V95" s="6">
        <f>IFERROR((('raw-PriceList'!O94/'raw-PriceList'!O95)-1)-Table14[[#This Row],[RF]],"")</f>
        <v>-8.1078774894679968E-3</v>
      </c>
      <c r="W95" s="6">
        <f>IFERROR((('raw-PriceList'!P94/'raw-PriceList'!P95)-1)-Table14[[#This Row],[RF]],"")</f>
        <v>1.8429094329021727E-3</v>
      </c>
      <c r="X95" s="6">
        <f>IFERROR((('raw-PriceList'!Q94/'raw-PriceList'!Q95)-1)-Table14[[#This Row],[RF]],"")</f>
        <v>-1.2069119913033433E-2</v>
      </c>
      <c r="Y95" s="6" t="str">
        <f>IFERROR((('raw-PriceList'!#REF!/'raw-PriceList'!#REF!)-1)-Table14[[#This Row],[RF]],"")</f>
        <v/>
      </c>
      <c r="Z95" s="6">
        <f>IFERROR((('raw-PriceList'!R94/'raw-PriceList'!R95)-1)-Table14[[#This Row],[RF]],"")</f>
        <v>9.8826329134093609E-3</v>
      </c>
      <c r="AA95" s="6" t="str">
        <f>IFERROR((('raw-PriceList'!#REF!/'raw-PriceList'!#REF!)-1)-Table14[[#This Row],[RF]],"")</f>
        <v/>
      </c>
      <c r="AB95" s="6" t="str">
        <f>IFERROR((('raw-PriceList'!#REF!/'raw-PriceList'!#REF!)-1)-Table14[[#This Row],[RF]],"")</f>
        <v/>
      </c>
      <c r="AC95" s="6">
        <f>IFERROR((('raw-PriceList'!S94/'raw-PriceList'!S95)-1)-Table14[[#This Row],[RF]],"")</f>
        <v>5.0238203880599228E-4</v>
      </c>
      <c r="AD95" s="6">
        <f>IFERROR((('raw-PriceList'!T94/'raw-PriceList'!T95)-1)-Table14[[#This Row],[RF]],"")</f>
        <v>1.7385639927091738E-3</v>
      </c>
      <c r="AE95" s="6" t="str">
        <f>IFERROR((('raw-PriceList'!#REF!/'raw-PriceList'!#REF!)-1)-Table14[[#This Row],[RF]],"")</f>
        <v/>
      </c>
      <c r="AF95" s="6">
        <f>IFERROR((('raw-PriceList'!U94/'raw-PriceList'!U95)-1)-Table14[[#This Row],[RF]],"")</f>
        <v>8.6907257891996707E-3</v>
      </c>
      <c r="AG95" s="6">
        <f>IFERROR((('raw-PriceList'!V94/'raw-PriceList'!V95)-1)-Table14[[#This Row],[RF]],"")</f>
        <v>-8.0726515462468569E-3</v>
      </c>
      <c r="AH95" s="6">
        <f>IFERROR((('raw-PriceList'!W94/'raw-PriceList'!W95)-1)-Table14[[#This Row],[RF]],"")</f>
        <v>-9.7289091377353205E-3</v>
      </c>
      <c r="AI95" s="6">
        <f>IFERROR((('raw-PriceList'!X94/'raw-PriceList'!X95)-1)-Table14[[#This Row],[RF]],"")</f>
        <v>1.2136151829830143E-2</v>
      </c>
      <c r="AJ95" s="6" t="str">
        <f>IFERROR((('raw-PriceList'!#REF!/'raw-PriceList'!#REF!)-1)-Table14[[#This Row],[RF]],"")</f>
        <v/>
      </c>
      <c r="AK95" s="6" t="str">
        <f>IFERROR((('raw-PriceList'!#REF!/'raw-PriceList'!#REF!)-1)-Table14[[#This Row],[RF]],"")</f>
        <v/>
      </c>
      <c r="AL95" s="6">
        <f>IFERROR((('raw-PriceList'!Y94/'raw-PriceList'!Y95)-1)-Table14[[#This Row],[RF]],"")</f>
        <v>-2.4373554332084504E-4</v>
      </c>
      <c r="AM95" s="6">
        <f>IFERROR((('raw-PriceList'!Z32/'raw-PriceList'!Z33)-1)-Table14[[#This Row],[RF]],"")</f>
        <v>-6.7436093574282825E-3</v>
      </c>
      <c r="AN95" s="6" t="str">
        <f>IFERROR((('raw-PriceList'!#REF!/'raw-PriceList'!#REF!)-1)-Table14[[#This Row],[RF]],"")</f>
        <v/>
      </c>
      <c r="AO95" s="6">
        <f>IFERROR((('raw-PriceList'!AA94/'raw-PriceList'!AA95)-1)-Table14[[#This Row],[RF]],"")</f>
        <v>1.0457027654805228E-2</v>
      </c>
      <c r="AP95" s="6" t="str">
        <f>IFERROR((('raw-PriceList'!#REF!/'raw-PriceList'!#REF!)-1)-Table14[[#This Row],[RF]],"")</f>
        <v/>
      </c>
      <c r="AQ95" s="6">
        <f>IFERROR((('raw-PriceList'!AB94/'raw-PriceList'!AB95)-1)-Table14[[#This Row],[RF]],"")</f>
        <v>-2.8508327656799962E-4</v>
      </c>
      <c r="AR95" s="6">
        <f>IFERROR((('raw-PriceList'!AC94/'raw-PriceList'!AC95)-1)-Table14[[#This Row],[RF]],"")</f>
        <v>-1.7411205279444331E-2</v>
      </c>
      <c r="AS95" s="6" t="str">
        <f>IFERROR((('raw-PriceList'!#REF!/'raw-PriceList'!#REF!)-1)-Table14[[#This Row],[RF]],"")</f>
        <v/>
      </c>
      <c r="AT95" s="6" t="str">
        <f>IFERROR((('raw-PriceList'!#REF!/'raw-PriceList'!#REF!)-1)-Table14[[#This Row],[RF]],"")</f>
        <v/>
      </c>
      <c r="AU95" s="6" t="str">
        <f>IFERROR((('raw-PriceList'!#REF!/'raw-PriceList'!#REF!)-1)-Table14[[#This Row],[RF]],"")</f>
        <v/>
      </c>
      <c r="AV95" s="6">
        <f>IFERROR((('raw-PriceList'!AD94/'raw-PriceList'!AD95)-1)-Table14[[#This Row],[RF]],"")</f>
        <v>-8.8060354277337723E-3</v>
      </c>
      <c r="AW95" s="6">
        <f>IFERROR((('raw-PriceList'!AE94/'raw-PriceList'!AE95)-1)-Table14[[#This Row],[RF]],"")</f>
        <v>-8.8060354277337723E-3</v>
      </c>
      <c r="AX95" s="6">
        <f>IFERROR((('raw-PriceList'!AF94/'raw-PriceList'!AF95)-1)-Table14[[#This Row],[RF]],"")</f>
        <v>-4.675756199404902E-3</v>
      </c>
      <c r="AY95" s="6">
        <f>IFERROR((('raw-PriceList'!AG94/'raw-PriceList'!AG95)-1)-Table14[[#This Row],[RF]],"")</f>
        <v>-5.7356616181018401E-3</v>
      </c>
      <c r="AZ95" s="6">
        <f>IFERROR((('raw-PriceList'!AH94/'raw-PriceList'!AH95)-1)-Table14[[#This Row],[RF]],"")</f>
        <v>1.9933624847013064E-2</v>
      </c>
      <c r="BA95" s="6" t="str">
        <f>IFERROR((('raw-PriceList'!#REF!/'raw-PriceList'!#REF!)-1)-Table14[[#This Row],[RF]],"")</f>
        <v/>
      </c>
      <c r="BB95" s="6">
        <f>IFERROR((('raw-PriceList'!AI2/'raw-PriceList'!AI3)-1)-Table14[[#This Row],[RF]],"")</f>
        <v>2.7454779717373267E-2</v>
      </c>
    </row>
    <row r="96" spans="1:54" x14ac:dyDescent="0.2">
      <c r="A96" s="5">
        <v>40602</v>
      </c>
      <c r="B96" s="9">
        <v>1</v>
      </c>
      <c r="C96" s="4">
        <v>2.8999999999999998E-2</v>
      </c>
      <c r="D96" s="4">
        <v>2.8999999999999998E-2</v>
      </c>
      <c r="E96" s="4">
        <v>2.8999999999999998E-2</v>
      </c>
      <c r="F96" s="4">
        <v>2.8999999999999998E-2</v>
      </c>
      <c r="G96" s="4">
        <v>2.8999999999999998E-2</v>
      </c>
      <c r="H96" s="6">
        <f>IFERROR((('raw-PriceList'!B95/'raw-PriceList'!B96)-1)-Table14[[#This Row],[RF]],"")</f>
        <v>-1.4604964826567451E-2</v>
      </c>
      <c r="I96" s="6">
        <f>IFERROR((('raw-PriceList'!C95/'raw-PriceList'!C96)-1)-Table14[[#This Row],[RF]],"")</f>
        <v>-3.4468778768264874E-3</v>
      </c>
      <c r="J96" s="6">
        <f>IFERROR((('raw-PriceList'!D95/'raw-PriceList'!D96)-1)-Table14[[#This Row],[RF]],"")</f>
        <v>-2.0028593117252663E-2</v>
      </c>
      <c r="K96" s="6">
        <f>IFERROR((('raw-PriceList'!E3/'raw-PriceList'!E4)-1)-Table14[[#This Row],[RF]],"")</f>
        <v>-1.8281070221592394E-2</v>
      </c>
      <c r="L96" s="6">
        <f>IFERROR((('raw-PriceList'!F66/'raw-PriceList'!F67)-1)-Table14[[#This Row],[RF]],"")</f>
        <v>-2.1356221051841512E-2</v>
      </c>
      <c r="M96" s="6">
        <f>IFERROR((('raw-PriceList'!G95/'raw-PriceList'!G96)-1)-Table14[[#This Row],[RF]],"")</f>
        <v>-2.4407380081109625E-2</v>
      </c>
      <c r="N96" s="6">
        <f>IFERROR((('raw-PriceList'!H95/'raw-PriceList'!H96)-1)-Table14[[#This Row],[RF]],"")</f>
        <v>2.8253762398355337E-2</v>
      </c>
      <c r="O96" s="6">
        <f>IFERROR((('raw-PriceList'!I3/'raw-PriceList'!I4)-1)-Table14[[#This Row],[RF]],"")</f>
        <v>5.820930232558133E-2</v>
      </c>
      <c r="P96" s="6">
        <f>IFERROR((('raw-PriceList'!J95/'raw-PriceList'!J96)-1)-Table14[[#This Row],[RF]],"")</f>
        <v>-4.0734386244305448E-2</v>
      </c>
      <c r="Q96" s="6">
        <f>IFERROR((('raw-PriceList'!K95/'raw-PriceList'!K96)-1)-Table14[[#This Row],[RF]],"")</f>
        <v>-3.6708883473773074E-2</v>
      </c>
      <c r="R96" s="6">
        <f>IFERROR((('raw-PriceList'!L95/'raw-PriceList'!L96)-1)-Table14[[#This Row],[RF]],"")</f>
        <v>-4.477115471613699E-2</v>
      </c>
      <c r="S96" s="6" t="str">
        <f>IFERROR((('raw-PriceList'!#REF!/'raw-PriceList'!#REF!)-1)-Table14[[#This Row],[RF]],"")</f>
        <v/>
      </c>
      <c r="T96" s="6">
        <f>IFERROR((('raw-PriceList'!M95/'raw-PriceList'!M96)-1)-Table14[[#This Row],[RF]],"")</f>
        <v>-4.855907256103173E-2</v>
      </c>
      <c r="U96" s="6">
        <f>IFERROR((('raw-PriceList'!N95/'raw-PriceList'!N96)-1)-Table14[[#This Row],[RF]],"")</f>
        <v>-4.5694263503186477E-2</v>
      </c>
      <c r="V96" s="6">
        <f>IFERROR((('raw-PriceList'!O95/'raw-PriceList'!O96)-1)-Table14[[#This Row],[RF]],"")</f>
        <v>-5.0175404467717594E-2</v>
      </c>
      <c r="W96" s="6">
        <f>IFERROR((('raw-PriceList'!P95/'raw-PriceList'!P96)-1)-Table14[[#This Row],[RF]],"")</f>
        <v>-1.9300626655750136E-2</v>
      </c>
      <c r="X96" s="6">
        <f>IFERROR((('raw-PriceList'!Q95/'raw-PriceList'!Q96)-1)-Table14[[#This Row],[RF]],"")</f>
        <v>-5.9522577380176356E-3</v>
      </c>
      <c r="Y96" s="6" t="str">
        <f>IFERROR((('raw-PriceList'!#REF!/'raw-PriceList'!#REF!)-1)-Table14[[#This Row],[RF]],"")</f>
        <v/>
      </c>
      <c r="Z96" s="6">
        <f>IFERROR((('raw-PriceList'!R95/'raw-PriceList'!R96)-1)-Table14[[#This Row],[RF]],"")</f>
        <v>-2.4156150153462924E-2</v>
      </c>
      <c r="AA96" s="6" t="str">
        <f>IFERROR((('raw-PriceList'!#REF!/'raw-PriceList'!#REF!)-1)-Table14[[#This Row],[RF]],"")</f>
        <v/>
      </c>
      <c r="AB96" s="6" t="str">
        <f>IFERROR((('raw-PriceList'!#REF!/'raw-PriceList'!#REF!)-1)-Table14[[#This Row],[RF]],"")</f>
        <v/>
      </c>
      <c r="AC96" s="6">
        <f>IFERROR((('raw-PriceList'!S95/'raw-PriceList'!S96)-1)-Table14[[#This Row],[RF]],"")</f>
        <v>-5.6101560248319332E-2</v>
      </c>
      <c r="AD96" s="6">
        <f>IFERROR((('raw-PriceList'!T95/'raw-PriceList'!T96)-1)-Table14[[#This Row],[RF]],"")</f>
        <v>-6.0602223076008793E-2</v>
      </c>
      <c r="AE96" s="6" t="str">
        <f>IFERROR((('raw-PriceList'!#REF!/'raw-PriceList'!#REF!)-1)-Table14[[#This Row],[RF]],"")</f>
        <v/>
      </c>
      <c r="AF96" s="6">
        <f>IFERROR((('raw-PriceList'!U95/'raw-PriceList'!U96)-1)-Table14[[#This Row],[RF]],"")</f>
        <v>-1.1759899438723659E-2</v>
      </c>
      <c r="AG96" s="6">
        <f>IFERROR((('raw-PriceList'!V95/'raw-PriceList'!V96)-1)-Table14[[#This Row],[RF]],"")</f>
        <v>-5.7341730191847268E-2</v>
      </c>
      <c r="AH96" s="6">
        <f>IFERROR((('raw-PriceList'!W95/'raw-PriceList'!W96)-1)-Table14[[#This Row],[RF]],"")</f>
        <v>1.119943196590395E-3</v>
      </c>
      <c r="AI96" s="6">
        <f>IFERROR((('raw-PriceList'!X95/'raw-PriceList'!X96)-1)-Table14[[#This Row],[RF]],"")</f>
        <v>-2.4950693486192138E-2</v>
      </c>
      <c r="AJ96" s="6" t="str">
        <f>IFERROR((('raw-PriceList'!#REF!/'raw-PriceList'!#REF!)-1)-Table14[[#This Row],[RF]],"")</f>
        <v/>
      </c>
      <c r="AK96" s="6" t="str">
        <f>IFERROR((('raw-PriceList'!#REF!/'raw-PriceList'!#REF!)-1)-Table14[[#This Row],[RF]],"")</f>
        <v/>
      </c>
      <c r="AL96" s="6">
        <f>IFERROR((('raw-PriceList'!Y95/'raw-PriceList'!Y96)-1)-Table14[[#This Row],[RF]],"")</f>
        <v>-4.1622135237436825E-2</v>
      </c>
      <c r="AM96" s="6">
        <f>IFERROR((('raw-PriceList'!Z33/'raw-PriceList'!Z34)-1)-Table14[[#This Row],[RF]],"")</f>
        <v>3.4782706022987164E-4</v>
      </c>
      <c r="AN96" s="6" t="str">
        <f>IFERROR((('raw-PriceList'!#REF!/'raw-PriceList'!#REF!)-1)-Table14[[#This Row],[RF]],"")</f>
        <v/>
      </c>
      <c r="AO96" s="6">
        <f>IFERROR((('raw-PriceList'!AA95/'raw-PriceList'!AA96)-1)-Table14[[#This Row],[RF]],"")</f>
        <v>-1.9803423421791283E-2</v>
      </c>
      <c r="AP96" s="6" t="str">
        <f>IFERROR((('raw-PriceList'!#REF!/'raw-PriceList'!#REF!)-1)-Table14[[#This Row],[RF]],"")</f>
        <v/>
      </c>
      <c r="AQ96" s="6">
        <f>IFERROR((('raw-PriceList'!AB95/'raw-PriceList'!AB96)-1)-Table14[[#This Row],[RF]],"")</f>
        <v>-3.3259847882847055E-2</v>
      </c>
      <c r="AR96" s="6">
        <f>IFERROR((('raw-PriceList'!AC95/'raw-PriceList'!AC96)-1)-Table14[[#This Row],[RF]],"")</f>
        <v>-3.4595364050599681E-2</v>
      </c>
      <c r="AS96" s="6" t="str">
        <f>IFERROR((('raw-PriceList'!#REF!/'raw-PriceList'!#REF!)-1)-Table14[[#This Row],[RF]],"")</f>
        <v/>
      </c>
      <c r="AT96" s="6" t="str">
        <f>IFERROR((('raw-PriceList'!#REF!/'raw-PriceList'!#REF!)-1)-Table14[[#This Row],[RF]],"")</f>
        <v/>
      </c>
      <c r="AU96" s="6" t="str">
        <f>IFERROR((('raw-PriceList'!#REF!/'raw-PriceList'!#REF!)-1)-Table14[[#This Row],[RF]],"")</f>
        <v/>
      </c>
      <c r="AV96" s="6">
        <f>IFERROR((('raw-PriceList'!AD95/'raw-PriceList'!AD96)-1)-Table14[[#This Row],[RF]],"")</f>
        <v>-4.0571035818713325E-2</v>
      </c>
      <c r="AW96" s="6">
        <f>IFERROR((('raw-PriceList'!AE95/'raw-PriceList'!AE96)-1)-Table14[[#This Row],[RF]],"")</f>
        <v>-4.0571035818713325E-2</v>
      </c>
      <c r="AX96" s="6">
        <f>IFERROR((('raw-PriceList'!AF95/'raw-PriceList'!AF96)-1)-Table14[[#This Row],[RF]],"")</f>
        <v>-3.1905383039534801E-2</v>
      </c>
      <c r="AY96" s="6">
        <f>IFERROR((('raw-PriceList'!AG95/'raw-PriceList'!AG96)-1)-Table14[[#This Row],[RF]],"")</f>
        <v>8.0177852607351829E-3</v>
      </c>
      <c r="AZ96" s="6">
        <f>IFERROR((('raw-PriceList'!AH95/'raw-PriceList'!AH96)-1)-Table14[[#This Row],[RF]],"")</f>
        <v>-5.7638334109456374E-2</v>
      </c>
      <c r="BA96" s="6" t="str">
        <f>IFERROR((('raw-PriceList'!#REF!/'raw-PriceList'!#REF!)-1)-Table14[[#This Row],[RF]],"")</f>
        <v/>
      </c>
      <c r="BB96" s="6">
        <f>IFERROR((('raw-PriceList'!AI3/'raw-PriceList'!AI4)-1)-Table14[[#This Row],[RF]],"")</f>
        <v>5.2348314606741525E-2</v>
      </c>
    </row>
    <row r="97" spans="1:54" x14ac:dyDescent="0.2">
      <c r="A97" s="5"/>
      <c r="B97" s="9"/>
      <c r="H97" s="4" t="str">
        <f>H$1</f>
        <v>EDV</v>
      </c>
      <c r="I97" s="4" t="str">
        <f t="shared" ref="I97:BB97" si="0">I$1</f>
        <v>BIV</v>
      </c>
      <c r="J97" s="4" t="str">
        <f t="shared" si="0"/>
        <v>VGIT</v>
      </c>
      <c r="K97" s="4" t="str">
        <f t="shared" si="0"/>
        <v>BLV</v>
      </c>
      <c r="L97" s="4" t="str">
        <f t="shared" si="0"/>
        <v>VGLT</v>
      </c>
      <c r="M97" s="4" t="str">
        <f t="shared" si="0"/>
        <v>VMBS</v>
      </c>
      <c r="N97" s="4" t="str">
        <f t="shared" si="0"/>
        <v>BSV</v>
      </c>
      <c r="O97" s="4" t="str">
        <f t="shared" si="0"/>
        <v>VGSH</v>
      </c>
      <c r="P97" s="4" t="str">
        <f t="shared" si="0"/>
        <v>BND</v>
      </c>
      <c r="Q97" s="4" t="str">
        <f t="shared" si="0"/>
        <v>VCIT</v>
      </c>
      <c r="R97" s="4" t="str">
        <f t="shared" si="0"/>
        <v>VCLT</v>
      </c>
      <c r="S97" s="4" t="str">
        <f t="shared" si="0"/>
        <v>VCSH</v>
      </c>
      <c r="T97" s="4" t="str">
        <f t="shared" si="0"/>
        <v>VIG</v>
      </c>
      <c r="U97" s="4" t="str">
        <f t="shared" si="0"/>
        <v>VUG</v>
      </c>
      <c r="V97" s="4" t="str">
        <f t="shared" si="0"/>
        <v>VYM</v>
      </c>
      <c r="W97" s="4" t="str">
        <f t="shared" si="0"/>
        <v>VV</v>
      </c>
      <c r="X97" s="4" t="str">
        <f t="shared" si="0"/>
        <v>MGC</v>
      </c>
      <c r="Y97" s="4" t="str">
        <f t="shared" si="0"/>
        <v>MGK</v>
      </c>
      <c r="Z97" s="4" t="str">
        <f t="shared" si="0"/>
        <v>MGV</v>
      </c>
      <c r="AA97" s="4" t="str">
        <f t="shared" si="0"/>
        <v>VOO</v>
      </c>
      <c r="AB97" s="4" t="str">
        <f t="shared" si="0"/>
        <v>VTI</v>
      </c>
      <c r="AC97" s="4" t="str">
        <f t="shared" si="0"/>
        <v>VTV</v>
      </c>
      <c r="AD97" s="4" t="str">
        <f t="shared" si="0"/>
        <v>VXF</v>
      </c>
      <c r="AE97" s="4" t="str">
        <f t="shared" si="0"/>
        <v>VOT</v>
      </c>
      <c r="AF97" s="4" t="str">
        <f t="shared" si="0"/>
        <v>VOE</v>
      </c>
      <c r="AG97" s="4" t="str">
        <f t="shared" si="0"/>
        <v>VB</v>
      </c>
      <c r="AH97" s="4" t="str">
        <f t="shared" si="0"/>
        <v>VBK</v>
      </c>
      <c r="AI97" s="4" t="str">
        <f t="shared" si="0"/>
        <v>VBR</v>
      </c>
      <c r="AJ97" s="4" t="str">
        <f t="shared" si="0"/>
        <v>VT</v>
      </c>
      <c r="AK97" s="4" t="str">
        <f t="shared" si="0"/>
        <v>VEU</v>
      </c>
      <c r="AL97" s="4" t="str">
        <f t="shared" si="0"/>
        <v>VSS</v>
      </c>
      <c r="AM97" s="4" t="str">
        <f t="shared" si="0"/>
        <v>VEA</v>
      </c>
      <c r="AN97" s="4" t="str">
        <f t="shared" si="0"/>
        <v>VGK</v>
      </c>
      <c r="AO97" s="4" t="str">
        <f t="shared" si="0"/>
        <v>VPL</v>
      </c>
      <c r="AP97" s="4" t="str">
        <f t="shared" si="0"/>
        <v>VNQI</v>
      </c>
      <c r="AQ97" s="4" t="str">
        <f t="shared" si="0"/>
        <v>VXUS</v>
      </c>
      <c r="AR97" s="4" t="str">
        <f t="shared" si="0"/>
        <v>VOX</v>
      </c>
      <c r="AS97" s="4" t="str">
        <f t="shared" si="0"/>
        <v>VCR</v>
      </c>
      <c r="AT97" s="4" t="str">
        <f t="shared" si="0"/>
        <v>VDC</v>
      </c>
      <c r="AU97" s="4" t="str">
        <f t="shared" si="0"/>
        <v>VDE</v>
      </c>
      <c r="AV97" s="4" t="str">
        <f t="shared" si="0"/>
        <v>VFH</v>
      </c>
      <c r="AW97" s="4" t="str">
        <f t="shared" si="0"/>
        <v>VHT</v>
      </c>
      <c r="AX97" s="4" t="str">
        <f t="shared" si="0"/>
        <v>VIS</v>
      </c>
      <c r="AY97" s="4" t="str">
        <f t="shared" si="0"/>
        <v>VGT</v>
      </c>
      <c r="AZ97" s="4" t="str">
        <f t="shared" si="0"/>
        <v>VAW</v>
      </c>
      <c r="BA97" s="4" t="str">
        <f t="shared" si="0"/>
        <v>VNQ</v>
      </c>
      <c r="BB97" s="4" t="str">
        <f t="shared" si="0"/>
        <v>VPU</v>
      </c>
    </row>
    <row r="98" spans="1:54" x14ac:dyDescent="0.2">
      <c r="F98" s="4" t="s">
        <v>144</v>
      </c>
      <c r="G98" s="4" t="s">
        <v>137</v>
      </c>
      <c r="H98" s="4" t="e">
        <f t="array" ref="H98:H103">TRANSPOSE(LINEST(H$2:H$96,$B$2:$G$96,TRUE,FALSE))</f>
        <v>#VALUE!</v>
      </c>
      <c r="I98" s="4" t="e">
        <f t="array" ref="I98:I103">TRANSPOSE(LINEST(I$2:I$96,$B$2:$G$96,TRUE,FALSE))</f>
        <v>#VALUE!</v>
      </c>
      <c r="J98" s="4" t="e">
        <f t="array" ref="J98:J103">TRANSPOSE(LINEST(J$2:J$96,$B$2:$G$96,TRUE,FALSE))</f>
        <v>#VALUE!</v>
      </c>
      <c r="K98" s="4" t="e">
        <f t="array" ref="K98:K103">TRANSPOSE(LINEST(K$2:K$96,$B$2:$G$96,TRUE,FALSE))</f>
        <v>#VALUE!</v>
      </c>
      <c r="L98" s="4" t="e">
        <f t="array" ref="L98:L103">TRANSPOSE(LINEST(L$2:L$96,$B$2:$G$96,TRUE,FALSE))</f>
        <v>#VALUE!</v>
      </c>
      <c r="M98" s="4" t="e">
        <f t="array" ref="M98:M103">TRANSPOSE(LINEST(M$2:M$96,$B$2:$G$96,TRUE,FALSE))</f>
        <v>#VALUE!</v>
      </c>
      <c r="N98" s="4" t="e">
        <f t="array" ref="N98:N103">TRANSPOSE(LINEST(N$2:N$96,$B$2:$G$96,TRUE,FALSE))</f>
        <v>#VALUE!</v>
      </c>
      <c r="O98" s="4" t="e">
        <f t="array" ref="O98:O103">TRANSPOSE(LINEST(O$2:O$96,$B$2:$G$96,TRUE,FALSE))</f>
        <v>#VALUE!</v>
      </c>
      <c r="P98" s="4" t="e">
        <f t="array" ref="P98:P103">TRANSPOSE(LINEST(P$2:P$96,$B$2:$G$96,TRUE,FALSE))</f>
        <v>#VALUE!</v>
      </c>
      <c r="Q98" s="4" t="e">
        <f t="array" ref="Q98:Q103">TRANSPOSE(LINEST(Q$2:Q$96,$B$2:$G$96,TRUE,FALSE))</f>
        <v>#VALUE!</v>
      </c>
      <c r="R98" s="4" t="e">
        <f t="array" ref="R98:R103">TRANSPOSE(LINEST(R$2:R$96,$B$2:$G$96,TRUE,FALSE))</f>
        <v>#VALUE!</v>
      </c>
      <c r="S98" s="4" t="e">
        <f t="array" ref="S98:S103">TRANSPOSE(LINEST(S$2:S$96,$B$2:$G$96,TRUE,FALSE))</f>
        <v>#VALUE!</v>
      </c>
      <c r="T98" s="4" t="e">
        <f t="array" ref="T98:T103">TRANSPOSE(LINEST(T$2:T$96,$B$2:$G$96,TRUE,FALSE))</f>
        <v>#VALUE!</v>
      </c>
      <c r="U98" s="4" t="e">
        <f t="array" ref="U98:U103">TRANSPOSE(LINEST(U$2:U$96,$B$2:$G$96,TRUE,FALSE))</f>
        <v>#VALUE!</v>
      </c>
      <c r="V98" s="4" t="e">
        <f t="array" ref="V98:V103">TRANSPOSE(LINEST(V$2:V$96,$B$2:$G$96,TRUE,FALSE))</f>
        <v>#VALUE!</v>
      </c>
      <c r="W98" s="4" t="e">
        <f t="array" ref="W98:W103">TRANSPOSE(LINEST(W$2:W$96,$B$2:$G$96,TRUE,FALSE))</f>
        <v>#VALUE!</v>
      </c>
      <c r="X98" s="4" t="e">
        <f t="array" ref="X98:X103">TRANSPOSE(LINEST(X$2:X$96,$B$2:$G$96,TRUE,FALSE))</f>
        <v>#VALUE!</v>
      </c>
      <c r="Y98" s="4" t="e">
        <f t="array" ref="Y98:Y103">TRANSPOSE(LINEST(Y$2:Y$96,$B$2:$G$96,TRUE,FALSE))</f>
        <v>#VALUE!</v>
      </c>
      <c r="Z98" s="4" t="e">
        <f t="array" ref="Z98:Z103">TRANSPOSE(LINEST(Z$2:Z$96,$B$2:$G$96,TRUE,FALSE))</f>
        <v>#VALUE!</v>
      </c>
      <c r="AA98" s="4" t="e">
        <f t="array" ref="AA98:AA103">TRANSPOSE(LINEST(AA$2:AA$96,$B$2:$G$96,TRUE,FALSE))</f>
        <v>#VALUE!</v>
      </c>
      <c r="AB98" s="4" t="e">
        <f t="array" ref="AB98:AB103">TRANSPOSE(LINEST(AB$2:AB$96,$B$2:$G$96,TRUE,FALSE))</f>
        <v>#VALUE!</v>
      </c>
      <c r="AC98" s="4" t="e">
        <f t="array" ref="AC98:AC103">TRANSPOSE(LINEST(AC$2:AC$96,$B$2:$G$96,TRUE,FALSE))</f>
        <v>#VALUE!</v>
      </c>
      <c r="AD98" s="4" t="e">
        <f t="array" ref="AD98:AD103">TRANSPOSE(LINEST(AD$2:AD$96,$B$2:$G$96,TRUE,FALSE))</f>
        <v>#VALUE!</v>
      </c>
      <c r="AE98" s="4" t="e">
        <f t="array" ref="AE98:AE103">TRANSPOSE(LINEST(AE$2:AE$96,$B$2:$G$96,TRUE,FALSE))</f>
        <v>#VALUE!</v>
      </c>
      <c r="AF98" s="4" t="e">
        <f t="array" ref="AF98:AF103">TRANSPOSE(LINEST(AF$2:AF$96,$B$2:$G$96,TRUE,FALSE))</f>
        <v>#VALUE!</v>
      </c>
      <c r="AG98" s="4" t="e">
        <f t="array" ref="AG98:AG103">TRANSPOSE(LINEST(AG$2:AG$96,$B$2:$G$96,TRUE,FALSE))</f>
        <v>#VALUE!</v>
      </c>
      <c r="AH98" s="4" t="e">
        <f t="array" ref="AH98:AH103">TRANSPOSE(LINEST(AH$2:AH$96,$B$2:$G$96,TRUE,FALSE))</f>
        <v>#VALUE!</v>
      </c>
      <c r="AI98" s="4" t="e">
        <f t="array" ref="AI98:AI103">TRANSPOSE(LINEST(AI$2:AI$96,$B$2:$G$96,TRUE,FALSE))</f>
        <v>#VALUE!</v>
      </c>
      <c r="AJ98" s="4" t="e">
        <f t="array" ref="AJ98:AJ103">TRANSPOSE(LINEST(AJ$2:AJ$96,$B$2:$G$96,TRUE,FALSE))</f>
        <v>#VALUE!</v>
      </c>
      <c r="AK98" s="4" t="e">
        <f t="array" ref="AK98:AK103">TRANSPOSE(LINEST(AK$2:AK$96,$B$2:$G$96,TRUE,FALSE))</f>
        <v>#VALUE!</v>
      </c>
      <c r="AL98" s="4" t="e">
        <f t="array" ref="AL98:AL103">TRANSPOSE(LINEST(AL$2:AL$96,$B$2:$G$96,TRUE,FALSE))</f>
        <v>#VALUE!</v>
      </c>
      <c r="AM98" s="4" t="e">
        <f t="array" ref="AM98:AM103">TRANSPOSE(LINEST(AM$2:AM$96,$B$2:$G$96,TRUE,FALSE))</f>
        <v>#VALUE!</v>
      </c>
      <c r="AN98" s="4" t="e">
        <f t="array" ref="AN98:AN103">TRANSPOSE(LINEST(AN$2:AN$96,$B$2:$G$96,TRUE,FALSE))</f>
        <v>#VALUE!</v>
      </c>
      <c r="AO98" s="4" t="e">
        <f t="array" ref="AO98:AO103">TRANSPOSE(LINEST(AO$2:AO$96,$B$2:$G$96,TRUE,FALSE))</f>
        <v>#VALUE!</v>
      </c>
      <c r="AP98" s="4" t="e">
        <f t="array" ref="AP98:AP103">TRANSPOSE(LINEST(AP$2:AP$96,$B$2:$G$96,TRUE,FALSE))</f>
        <v>#VALUE!</v>
      </c>
      <c r="AQ98" s="4" t="e">
        <f t="array" ref="AQ98:AQ103">TRANSPOSE(LINEST(AQ$2:AQ$96,$B$2:$G$96,TRUE,FALSE))</f>
        <v>#VALUE!</v>
      </c>
      <c r="AR98" s="4" t="e">
        <f t="array" ref="AR98:AR103">TRANSPOSE(LINEST(AR$2:AR$96,$B$2:$G$96,TRUE,FALSE))</f>
        <v>#VALUE!</v>
      </c>
      <c r="AS98" s="4" t="e">
        <f t="array" ref="AS98:AS103">TRANSPOSE(LINEST(AS$2:AS$96,$B$2:$G$96,TRUE,FALSE))</f>
        <v>#VALUE!</v>
      </c>
      <c r="AT98" s="4" t="e">
        <f t="array" ref="AT98:AT103">TRANSPOSE(LINEST(AT$2:AT$96,$B$2:$G$96,TRUE,FALSE))</f>
        <v>#VALUE!</v>
      </c>
      <c r="AU98" s="4" t="e">
        <f t="array" ref="AU98:AU103">TRANSPOSE(LINEST(AU$2:AU$96,$B$2:$G$96,TRUE,FALSE))</f>
        <v>#VALUE!</v>
      </c>
      <c r="AV98" s="4" t="e">
        <f t="array" ref="AV98:AV103">TRANSPOSE(LINEST(AV$2:AV$96,$B$2:$G$96,TRUE,FALSE))</f>
        <v>#VALUE!</v>
      </c>
      <c r="AW98" s="4" t="e">
        <f t="array" ref="AW98:AW103">TRANSPOSE(LINEST(AW$2:AW$96,$B$2:$G$96,TRUE,FALSE))</f>
        <v>#VALUE!</v>
      </c>
      <c r="AX98" s="4" t="e">
        <f t="array" ref="AX98:AX103">TRANSPOSE(LINEST(AX$2:AX$96,$B$2:$G$96,TRUE,FALSE))</f>
        <v>#VALUE!</v>
      </c>
      <c r="AY98" s="4" t="e">
        <f t="array" ref="AY98:AY103">TRANSPOSE(LINEST(AY$2:AY$96,$B$2:$G$96,TRUE,FALSE))</f>
        <v>#VALUE!</v>
      </c>
      <c r="AZ98" s="4" t="e">
        <f t="array" ref="AZ98:AZ103">TRANSPOSE(LINEST(AZ$2:AZ$96,$B$2:$G$96,TRUE,FALSE))</f>
        <v>#VALUE!</v>
      </c>
      <c r="BA98" s="4" t="e">
        <f t="array" ref="BA98:BA103">TRANSPOSE(LINEST(BA$2:BA$96,$B$2:$G$96,TRUE,FALSE))</f>
        <v>#VALUE!</v>
      </c>
      <c r="BB98" s="4" t="e">
        <f t="array" ref="BB98:BB103">TRANSPOSE(LINEST(BB$2:BB$96,$B$2:$G$96,TRUE,FALSE))</f>
        <v>#VALUE!</v>
      </c>
    </row>
    <row r="99" spans="1:54" x14ac:dyDescent="0.2">
      <c r="G99" s="18" t="s">
        <v>136</v>
      </c>
      <c r="H99" s="4" t="e">
        <v>#VALUE!</v>
      </c>
      <c r="I99" s="4" t="e">
        <v>#VALUE!</v>
      </c>
      <c r="J99" s="4" t="e">
        <v>#VALUE!</v>
      </c>
      <c r="K99" s="4" t="e">
        <v>#VALUE!</v>
      </c>
      <c r="L99" s="4" t="e">
        <v>#VALUE!</v>
      </c>
      <c r="M99" s="4" t="e">
        <v>#VALUE!</v>
      </c>
      <c r="N99" s="4" t="e">
        <v>#VALUE!</v>
      </c>
      <c r="O99" s="4" t="e">
        <v>#VALUE!</v>
      </c>
      <c r="P99" s="4" t="e">
        <v>#VALUE!</v>
      </c>
      <c r="Q99" s="4" t="e">
        <v>#VALUE!</v>
      </c>
      <c r="R99" s="4" t="e">
        <v>#VALUE!</v>
      </c>
      <c r="S99" s="4" t="e">
        <v>#VALUE!</v>
      </c>
      <c r="T99" s="4" t="e">
        <v>#VALUE!</v>
      </c>
      <c r="U99" s="4" t="e">
        <v>#VALUE!</v>
      </c>
      <c r="V99" s="4" t="e">
        <v>#VALUE!</v>
      </c>
      <c r="W99" s="4" t="e">
        <v>#VALUE!</v>
      </c>
      <c r="X99" s="4" t="e">
        <v>#VALUE!</v>
      </c>
      <c r="Y99" s="4" t="e">
        <v>#VALUE!</v>
      </c>
      <c r="Z99" s="4" t="e">
        <v>#VALUE!</v>
      </c>
      <c r="AA99" s="4" t="e">
        <v>#VALUE!</v>
      </c>
      <c r="AB99" s="4" t="e">
        <v>#VALUE!</v>
      </c>
      <c r="AC99" s="4" t="e">
        <v>#VALUE!</v>
      </c>
      <c r="AD99" s="4" t="e">
        <v>#VALUE!</v>
      </c>
      <c r="AE99" s="4" t="e">
        <v>#VALUE!</v>
      </c>
      <c r="AF99" s="4" t="e">
        <v>#VALUE!</v>
      </c>
      <c r="AG99" s="4" t="e">
        <v>#VALUE!</v>
      </c>
      <c r="AH99" s="4" t="e">
        <v>#VALUE!</v>
      </c>
      <c r="AI99" s="4" t="e">
        <v>#VALUE!</v>
      </c>
      <c r="AJ99" s="4" t="e">
        <v>#VALUE!</v>
      </c>
      <c r="AK99" s="4" t="e">
        <v>#VALUE!</v>
      </c>
      <c r="AL99" s="4" t="e">
        <v>#VALUE!</v>
      </c>
      <c r="AM99" s="4" t="e">
        <v>#VALUE!</v>
      </c>
      <c r="AN99" s="4" t="e">
        <v>#VALUE!</v>
      </c>
      <c r="AO99" s="4" t="e">
        <v>#VALUE!</v>
      </c>
      <c r="AP99" s="4" t="e">
        <v>#VALUE!</v>
      </c>
      <c r="AQ99" s="4" t="e">
        <v>#VALUE!</v>
      </c>
      <c r="AR99" s="4" t="e">
        <v>#VALUE!</v>
      </c>
      <c r="AS99" s="4" t="e">
        <v>#VALUE!</v>
      </c>
      <c r="AT99" s="4" t="e">
        <v>#VALUE!</v>
      </c>
      <c r="AU99" s="4" t="e">
        <v>#VALUE!</v>
      </c>
      <c r="AV99" s="4" t="e">
        <v>#VALUE!</v>
      </c>
      <c r="AW99" s="4" t="e">
        <v>#VALUE!</v>
      </c>
      <c r="AX99" s="4" t="e">
        <v>#VALUE!</v>
      </c>
      <c r="AY99" s="4" t="e">
        <v>#VALUE!</v>
      </c>
      <c r="AZ99" s="4" t="e">
        <v>#VALUE!</v>
      </c>
      <c r="BA99" s="4" t="e">
        <v>#VALUE!</v>
      </c>
      <c r="BB99" s="4" t="e">
        <v>#VALUE!</v>
      </c>
    </row>
    <row r="100" spans="1:54" x14ac:dyDescent="0.2">
      <c r="G100" s="4" t="s">
        <v>135</v>
      </c>
      <c r="H100" s="4" t="e">
        <v>#VALUE!</v>
      </c>
      <c r="I100" s="4" t="e">
        <v>#VALUE!</v>
      </c>
      <c r="J100" s="4" t="e">
        <v>#VALUE!</v>
      </c>
      <c r="K100" s="4" t="e">
        <v>#VALUE!</v>
      </c>
      <c r="L100" s="4" t="e">
        <v>#VALUE!</v>
      </c>
      <c r="M100" s="4" t="e">
        <v>#VALUE!</v>
      </c>
      <c r="N100" s="4" t="e">
        <v>#VALUE!</v>
      </c>
      <c r="O100" s="4" t="e">
        <v>#VALUE!</v>
      </c>
      <c r="P100" s="4" t="e">
        <v>#VALUE!</v>
      </c>
      <c r="Q100" s="4" t="e">
        <v>#VALUE!</v>
      </c>
      <c r="R100" s="4" t="e">
        <v>#VALUE!</v>
      </c>
      <c r="S100" s="4" t="e">
        <v>#VALUE!</v>
      </c>
      <c r="T100" s="4" t="e">
        <v>#VALUE!</v>
      </c>
      <c r="U100" s="4" t="e">
        <v>#VALUE!</v>
      </c>
      <c r="V100" s="4" t="e">
        <v>#VALUE!</v>
      </c>
      <c r="W100" s="4" t="e">
        <v>#VALUE!</v>
      </c>
      <c r="X100" s="4" t="e">
        <v>#VALUE!</v>
      </c>
      <c r="Y100" s="4" t="e">
        <v>#VALUE!</v>
      </c>
      <c r="Z100" s="4" t="e">
        <v>#VALUE!</v>
      </c>
      <c r="AA100" s="4" t="e">
        <v>#VALUE!</v>
      </c>
      <c r="AB100" s="4" t="e">
        <v>#VALUE!</v>
      </c>
      <c r="AC100" s="4" t="e">
        <v>#VALUE!</v>
      </c>
      <c r="AD100" s="4" t="e">
        <v>#VALUE!</v>
      </c>
      <c r="AE100" s="4" t="e">
        <v>#VALUE!</v>
      </c>
      <c r="AF100" s="4" t="e">
        <v>#VALUE!</v>
      </c>
      <c r="AG100" s="4" t="e">
        <v>#VALUE!</v>
      </c>
      <c r="AH100" s="4" t="e">
        <v>#VALUE!</v>
      </c>
      <c r="AI100" s="4" t="e">
        <v>#VALUE!</v>
      </c>
      <c r="AJ100" s="4" t="e">
        <v>#VALUE!</v>
      </c>
      <c r="AK100" s="4" t="e">
        <v>#VALUE!</v>
      </c>
      <c r="AL100" s="4" t="e">
        <v>#VALUE!</v>
      </c>
      <c r="AM100" s="4" t="e">
        <v>#VALUE!</v>
      </c>
      <c r="AN100" s="4" t="e">
        <v>#VALUE!</v>
      </c>
      <c r="AO100" s="4" t="e">
        <v>#VALUE!</v>
      </c>
      <c r="AP100" s="4" t="e">
        <v>#VALUE!</v>
      </c>
      <c r="AQ100" s="4" t="e">
        <v>#VALUE!</v>
      </c>
      <c r="AR100" s="4" t="e">
        <v>#VALUE!</v>
      </c>
      <c r="AS100" s="4" t="e">
        <v>#VALUE!</v>
      </c>
      <c r="AT100" s="4" t="e">
        <v>#VALUE!</v>
      </c>
      <c r="AU100" s="4" t="e">
        <v>#VALUE!</v>
      </c>
      <c r="AV100" s="4" t="e">
        <v>#VALUE!</v>
      </c>
      <c r="AW100" s="4" t="e">
        <v>#VALUE!</v>
      </c>
      <c r="AX100" s="4" t="e">
        <v>#VALUE!</v>
      </c>
      <c r="AY100" s="4" t="e">
        <v>#VALUE!</v>
      </c>
      <c r="AZ100" s="4" t="e">
        <v>#VALUE!</v>
      </c>
      <c r="BA100" s="4" t="e">
        <v>#VALUE!</v>
      </c>
      <c r="BB100" s="4" t="e">
        <v>#VALUE!</v>
      </c>
    </row>
    <row r="101" spans="1:54" x14ac:dyDescent="0.2">
      <c r="G101" s="4" t="s">
        <v>134</v>
      </c>
      <c r="H101" s="4" t="e">
        <v>#VALUE!</v>
      </c>
      <c r="I101" s="4" t="e">
        <v>#VALUE!</v>
      </c>
      <c r="J101" s="4" t="e">
        <v>#VALUE!</v>
      </c>
      <c r="K101" s="4" t="e">
        <v>#VALUE!</v>
      </c>
      <c r="L101" s="4" t="e">
        <v>#VALUE!</v>
      </c>
      <c r="M101" s="4" t="e">
        <v>#VALUE!</v>
      </c>
      <c r="N101" s="4" t="e">
        <v>#VALUE!</v>
      </c>
      <c r="O101" s="4" t="e">
        <v>#VALUE!</v>
      </c>
      <c r="P101" s="4" t="e">
        <v>#VALUE!</v>
      </c>
      <c r="Q101" s="4" t="e">
        <v>#VALUE!</v>
      </c>
      <c r="R101" s="4" t="e">
        <v>#VALUE!</v>
      </c>
      <c r="S101" s="4" t="e">
        <v>#VALUE!</v>
      </c>
      <c r="T101" s="4" t="e">
        <v>#VALUE!</v>
      </c>
      <c r="U101" s="4" t="e">
        <v>#VALUE!</v>
      </c>
      <c r="V101" s="4" t="e">
        <v>#VALUE!</v>
      </c>
      <c r="W101" s="4" t="e">
        <v>#VALUE!</v>
      </c>
      <c r="X101" s="4" t="e">
        <v>#VALUE!</v>
      </c>
      <c r="Y101" s="4" t="e">
        <v>#VALUE!</v>
      </c>
      <c r="Z101" s="4" t="e">
        <v>#VALUE!</v>
      </c>
      <c r="AA101" s="4" t="e">
        <v>#VALUE!</v>
      </c>
      <c r="AB101" s="4" t="e">
        <v>#VALUE!</v>
      </c>
      <c r="AC101" s="4" t="e">
        <v>#VALUE!</v>
      </c>
      <c r="AD101" s="4" t="e">
        <v>#VALUE!</v>
      </c>
      <c r="AE101" s="4" t="e">
        <v>#VALUE!</v>
      </c>
      <c r="AF101" s="4" t="e">
        <v>#VALUE!</v>
      </c>
      <c r="AG101" s="4" t="e">
        <v>#VALUE!</v>
      </c>
      <c r="AH101" s="4" t="e">
        <v>#VALUE!</v>
      </c>
      <c r="AI101" s="4" t="e">
        <v>#VALUE!</v>
      </c>
      <c r="AJ101" s="4" t="e">
        <v>#VALUE!</v>
      </c>
      <c r="AK101" s="4" t="e">
        <v>#VALUE!</v>
      </c>
      <c r="AL101" s="4" t="e">
        <v>#VALUE!</v>
      </c>
      <c r="AM101" s="4" t="e">
        <v>#VALUE!</v>
      </c>
      <c r="AN101" s="4" t="e">
        <v>#VALUE!</v>
      </c>
      <c r="AO101" s="4" t="e">
        <v>#VALUE!</v>
      </c>
      <c r="AP101" s="4" t="e">
        <v>#VALUE!</v>
      </c>
      <c r="AQ101" s="4" t="e">
        <v>#VALUE!</v>
      </c>
      <c r="AR101" s="4" t="e">
        <v>#VALUE!</v>
      </c>
      <c r="AS101" s="4" t="e">
        <v>#VALUE!</v>
      </c>
      <c r="AT101" s="4" t="e">
        <v>#VALUE!</v>
      </c>
      <c r="AU101" s="4" t="e">
        <v>#VALUE!</v>
      </c>
      <c r="AV101" s="4" t="e">
        <v>#VALUE!</v>
      </c>
      <c r="AW101" s="4" t="e">
        <v>#VALUE!</v>
      </c>
      <c r="AX101" s="4" t="e">
        <v>#VALUE!</v>
      </c>
      <c r="AY101" s="4" t="e">
        <v>#VALUE!</v>
      </c>
      <c r="AZ101" s="4" t="e">
        <v>#VALUE!</v>
      </c>
      <c r="BA101" s="4" t="e">
        <v>#VALUE!</v>
      </c>
      <c r="BB101" s="4" t="e">
        <v>#VALUE!</v>
      </c>
    </row>
    <row r="102" spans="1:54" x14ac:dyDescent="0.2">
      <c r="G102" s="4" t="s">
        <v>133</v>
      </c>
      <c r="H102" s="4" t="e">
        <v>#VALUE!</v>
      </c>
      <c r="I102" s="4" t="e">
        <v>#VALUE!</v>
      </c>
      <c r="J102" s="4" t="e">
        <v>#VALUE!</v>
      </c>
      <c r="K102" s="4" t="e">
        <v>#VALUE!</v>
      </c>
      <c r="L102" s="4" t="e">
        <v>#VALUE!</v>
      </c>
      <c r="M102" s="4" t="e">
        <v>#VALUE!</v>
      </c>
      <c r="N102" s="4" t="e">
        <v>#VALUE!</v>
      </c>
      <c r="O102" s="4" t="e">
        <v>#VALUE!</v>
      </c>
      <c r="P102" s="4" t="e">
        <v>#VALUE!</v>
      </c>
      <c r="Q102" s="4" t="e">
        <v>#VALUE!</v>
      </c>
      <c r="R102" s="4" t="e">
        <v>#VALUE!</v>
      </c>
      <c r="S102" s="4" t="e">
        <v>#VALUE!</v>
      </c>
      <c r="T102" s="4" t="e">
        <v>#VALUE!</v>
      </c>
      <c r="U102" s="4" t="e">
        <v>#VALUE!</v>
      </c>
      <c r="V102" s="4" t="e">
        <v>#VALUE!</v>
      </c>
      <c r="W102" s="4" t="e">
        <v>#VALUE!</v>
      </c>
      <c r="X102" s="4" t="e">
        <v>#VALUE!</v>
      </c>
      <c r="Y102" s="4" t="e">
        <v>#VALUE!</v>
      </c>
      <c r="Z102" s="4" t="e">
        <v>#VALUE!</v>
      </c>
      <c r="AA102" s="4" t="e">
        <v>#VALUE!</v>
      </c>
      <c r="AB102" s="4" t="e">
        <v>#VALUE!</v>
      </c>
      <c r="AC102" s="4" t="e">
        <v>#VALUE!</v>
      </c>
      <c r="AD102" s="4" t="e">
        <v>#VALUE!</v>
      </c>
      <c r="AE102" s="4" t="e">
        <v>#VALUE!</v>
      </c>
      <c r="AF102" s="4" t="e">
        <v>#VALUE!</v>
      </c>
      <c r="AG102" s="4" t="e">
        <v>#VALUE!</v>
      </c>
      <c r="AH102" s="4" t="e">
        <v>#VALUE!</v>
      </c>
      <c r="AI102" s="4" t="e">
        <v>#VALUE!</v>
      </c>
      <c r="AJ102" s="4" t="e">
        <v>#VALUE!</v>
      </c>
      <c r="AK102" s="4" t="e">
        <v>#VALUE!</v>
      </c>
      <c r="AL102" s="4" t="e">
        <v>#VALUE!</v>
      </c>
      <c r="AM102" s="4" t="e">
        <v>#VALUE!</v>
      </c>
      <c r="AN102" s="4" t="e">
        <v>#VALUE!</v>
      </c>
      <c r="AO102" s="4" t="e">
        <v>#VALUE!</v>
      </c>
      <c r="AP102" s="4" t="e">
        <v>#VALUE!</v>
      </c>
      <c r="AQ102" s="4" t="e">
        <v>#VALUE!</v>
      </c>
      <c r="AR102" s="4" t="e">
        <v>#VALUE!</v>
      </c>
      <c r="AS102" s="4" t="e">
        <v>#VALUE!</v>
      </c>
      <c r="AT102" s="4" t="e">
        <v>#VALUE!</v>
      </c>
      <c r="AU102" s="4" t="e">
        <v>#VALUE!</v>
      </c>
      <c r="AV102" s="4" t="e">
        <v>#VALUE!</v>
      </c>
      <c r="AW102" s="4" t="e">
        <v>#VALUE!</v>
      </c>
      <c r="AX102" s="4" t="e">
        <v>#VALUE!</v>
      </c>
      <c r="AY102" s="4" t="e">
        <v>#VALUE!</v>
      </c>
      <c r="AZ102" s="4" t="e">
        <v>#VALUE!</v>
      </c>
      <c r="BA102" s="4" t="e">
        <v>#VALUE!</v>
      </c>
      <c r="BB102" s="4" t="e">
        <v>#VALUE!</v>
      </c>
    </row>
    <row r="103" spans="1:54" x14ac:dyDescent="0.2">
      <c r="G103" s="4" t="s">
        <v>143</v>
      </c>
      <c r="H103" s="39" t="e">
        <v>#VALUE!</v>
      </c>
      <c r="I103" s="39" t="e">
        <v>#VALUE!</v>
      </c>
      <c r="J103" s="4" t="e">
        <v>#VALUE!</v>
      </c>
      <c r="K103" s="4" t="e">
        <v>#VALUE!</v>
      </c>
      <c r="L103" s="4" t="e">
        <v>#VALUE!</v>
      </c>
      <c r="M103" s="4" t="e">
        <v>#VALUE!</v>
      </c>
      <c r="N103" s="4" t="e">
        <v>#VALUE!</v>
      </c>
      <c r="O103" s="4" t="e">
        <v>#VALUE!</v>
      </c>
      <c r="P103" s="4" t="e">
        <v>#VALUE!</v>
      </c>
      <c r="Q103" s="4" t="e">
        <v>#VALUE!</v>
      </c>
      <c r="R103" s="4" t="e">
        <v>#VALUE!</v>
      </c>
      <c r="S103" s="4" t="e">
        <v>#VALUE!</v>
      </c>
      <c r="T103" s="4" t="e">
        <v>#VALUE!</v>
      </c>
      <c r="U103" s="4" t="e">
        <v>#VALUE!</v>
      </c>
      <c r="V103" s="4" t="e">
        <v>#VALUE!</v>
      </c>
      <c r="W103" s="4" t="e">
        <v>#VALUE!</v>
      </c>
      <c r="X103" s="4" t="e">
        <v>#VALUE!</v>
      </c>
      <c r="Y103" s="4" t="e">
        <v>#VALUE!</v>
      </c>
      <c r="Z103" s="4" t="e">
        <v>#VALUE!</v>
      </c>
      <c r="AA103" s="4" t="e">
        <v>#VALUE!</v>
      </c>
      <c r="AB103" s="4" t="e">
        <v>#VALUE!</v>
      </c>
      <c r="AC103" s="4" t="e">
        <v>#VALUE!</v>
      </c>
      <c r="AD103" s="4" t="e">
        <v>#VALUE!</v>
      </c>
      <c r="AE103" s="4" t="e">
        <v>#VALUE!</v>
      </c>
      <c r="AF103" s="4" t="e">
        <v>#VALUE!</v>
      </c>
      <c r="AG103" s="4" t="e">
        <v>#VALUE!</v>
      </c>
      <c r="AH103" s="4" t="e">
        <v>#VALUE!</v>
      </c>
      <c r="AI103" s="4" t="e">
        <v>#VALUE!</v>
      </c>
      <c r="AJ103" s="4" t="e">
        <v>#VALUE!</v>
      </c>
      <c r="AK103" s="4" t="e">
        <v>#VALUE!</v>
      </c>
      <c r="AL103" s="4" t="e">
        <v>#VALUE!</v>
      </c>
      <c r="AM103" s="4" t="e">
        <v>#VALUE!</v>
      </c>
      <c r="AN103" s="4" t="e">
        <v>#VALUE!</v>
      </c>
      <c r="AO103" s="4" t="e">
        <v>#VALUE!</v>
      </c>
      <c r="AP103" s="4" t="e">
        <v>#VALUE!</v>
      </c>
      <c r="AQ103" s="4" t="e">
        <v>#VALUE!</v>
      </c>
      <c r="AR103" s="4" t="e">
        <v>#VALUE!</v>
      </c>
      <c r="AS103" s="4" t="e">
        <v>#VALUE!</v>
      </c>
      <c r="AT103" s="4" t="e">
        <v>#VALUE!</v>
      </c>
      <c r="AU103" s="4" t="e">
        <v>#VALUE!</v>
      </c>
      <c r="AV103" s="4" t="e">
        <v>#VALUE!</v>
      </c>
      <c r="AW103" s="4" t="e">
        <v>#VALUE!</v>
      </c>
      <c r="AX103" s="4" t="e">
        <v>#VALUE!</v>
      </c>
      <c r="AY103" s="4" t="e">
        <v>#VALUE!</v>
      </c>
      <c r="AZ103" s="4" t="e">
        <v>#VALUE!</v>
      </c>
      <c r="BA103" s="4" t="e">
        <v>#VALUE!</v>
      </c>
      <c r="BB103" s="4" t="e">
        <v>#VALUE!</v>
      </c>
    </row>
    <row r="104" spans="1:54" x14ac:dyDescent="0.2">
      <c r="H104" s="4" t="str">
        <f t="shared" ref="H104:BB104" si="1">H$1</f>
        <v>EDV</v>
      </c>
      <c r="I104" s="4" t="str">
        <f t="shared" si="1"/>
        <v>BIV</v>
      </c>
      <c r="J104" s="4" t="str">
        <f t="shared" si="1"/>
        <v>VGIT</v>
      </c>
      <c r="K104" s="4" t="str">
        <f t="shared" si="1"/>
        <v>BLV</v>
      </c>
      <c r="L104" s="4" t="str">
        <f t="shared" si="1"/>
        <v>VGLT</v>
      </c>
      <c r="M104" s="4" t="str">
        <f t="shared" si="1"/>
        <v>VMBS</v>
      </c>
      <c r="N104" s="4" t="str">
        <f t="shared" si="1"/>
        <v>BSV</v>
      </c>
      <c r="O104" s="4" t="str">
        <f t="shared" si="1"/>
        <v>VGSH</v>
      </c>
      <c r="P104" s="4" t="str">
        <f t="shared" si="1"/>
        <v>BND</v>
      </c>
      <c r="Q104" s="4" t="str">
        <f t="shared" si="1"/>
        <v>VCIT</v>
      </c>
      <c r="R104" s="4" t="str">
        <f t="shared" si="1"/>
        <v>VCLT</v>
      </c>
      <c r="S104" s="4" t="str">
        <f t="shared" si="1"/>
        <v>VCSH</v>
      </c>
      <c r="T104" s="4" t="str">
        <f t="shared" si="1"/>
        <v>VIG</v>
      </c>
      <c r="U104" s="4" t="str">
        <f t="shared" si="1"/>
        <v>VUG</v>
      </c>
      <c r="V104" s="4" t="str">
        <f t="shared" si="1"/>
        <v>VYM</v>
      </c>
      <c r="W104" s="4" t="str">
        <f t="shared" si="1"/>
        <v>VV</v>
      </c>
      <c r="X104" s="4" t="str">
        <f t="shared" si="1"/>
        <v>MGC</v>
      </c>
      <c r="Y104" s="4" t="str">
        <f t="shared" si="1"/>
        <v>MGK</v>
      </c>
      <c r="Z104" s="4" t="str">
        <f t="shared" si="1"/>
        <v>MGV</v>
      </c>
      <c r="AA104" s="4" t="str">
        <f t="shared" si="1"/>
        <v>VOO</v>
      </c>
      <c r="AB104" s="4" t="str">
        <f t="shared" si="1"/>
        <v>VTI</v>
      </c>
      <c r="AC104" s="4" t="str">
        <f t="shared" si="1"/>
        <v>VTV</v>
      </c>
      <c r="AD104" s="4" t="str">
        <f t="shared" si="1"/>
        <v>VXF</v>
      </c>
      <c r="AE104" s="4" t="str">
        <f t="shared" si="1"/>
        <v>VOT</v>
      </c>
      <c r="AF104" s="4" t="str">
        <f t="shared" si="1"/>
        <v>VOE</v>
      </c>
      <c r="AG104" s="4" t="str">
        <f t="shared" si="1"/>
        <v>VB</v>
      </c>
      <c r="AH104" s="4" t="str">
        <f t="shared" si="1"/>
        <v>VBK</v>
      </c>
      <c r="AI104" s="4" t="str">
        <f t="shared" si="1"/>
        <v>VBR</v>
      </c>
      <c r="AJ104" s="4" t="str">
        <f t="shared" si="1"/>
        <v>VT</v>
      </c>
      <c r="AK104" s="4" t="str">
        <f t="shared" si="1"/>
        <v>VEU</v>
      </c>
      <c r="AL104" s="4" t="str">
        <f t="shared" si="1"/>
        <v>VSS</v>
      </c>
      <c r="AM104" s="4" t="str">
        <f t="shared" si="1"/>
        <v>VEA</v>
      </c>
      <c r="AN104" s="4" t="str">
        <f t="shared" si="1"/>
        <v>VGK</v>
      </c>
      <c r="AO104" s="4" t="str">
        <f t="shared" si="1"/>
        <v>VPL</v>
      </c>
      <c r="AP104" s="4" t="str">
        <f t="shared" si="1"/>
        <v>VNQI</v>
      </c>
      <c r="AQ104" s="4" t="str">
        <f t="shared" si="1"/>
        <v>VXUS</v>
      </c>
      <c r="AR104" s="4" t="str">
        <f t="shared" si="1"/>
        <v>VOX</v>
      </c>
      <c r="AS104" s="4" t="str">
        <f t="shared" si="1"/>
        <v>VCR</v>
      </c>
      <c r="AT104" s="4" t="str">
        <f t="shared" si="1"/>
        <v>VDC</v>
      </c>
      <c r="AU104" s="4" t="str">
        <f t="shared" si="1"/>
        <v>VDE</v>
      </c>
      <c r="AV104" s="4" t="str">
        <f t="shared" si="1"/>
        <v>VFH</v>
      </c>
      <c r="AW104" s="4" t="str">
        <f t="shared" si="1"/>
        <v>VHT</v>
      </c>
      <c r="AX104" s="4" t="str">
        <f t="shared" si="1"/>
        <v>VIS</v>
      </c>
      <c r="AY104" s="4" t="str">
        <f t="shared" si="1"/>
        <v>VGT</v>
      </c>
      <c r="AZ104" s="4" t="str">
        <f t="shared" si="1"/>
        <v>VAW</v>
      </c>
      <c r="BA104" s="4" t="str">
        <f t="shared" si="1"/>
        <v>VNQ</v>
      </c>
      <c r="BB104" s="4" t="str">
        <f t="shared" si="1"/>
        <v>VPU</v>
      </c>
    </row>
    <row r="105" spans="1:54" x14ac:dyDescent="0.2">
      <c r="F105" s="4" t="s">
        <v>145</v>
      </c>
      <c r="G105" s="4" t="s">
        <v>143</v>
      </c>
      <c r="H105" s="4" t="e">
        <f t="array" ref="H105:BB110">MMULT(MMULT(MINVERSE(MMULT(TRANSPOSE(B2:G96),B2:G96)),TRANSPOSE(B2:G96)),H2:BB96)</f>
        <v>#NUM!</v>
      </c>
      <c r="I105" s="4" t="e">
        <v>#NUM!</v>
      </c>
      <c r="J105" s="4" t="e">
        <v>#NUM!</v>
      </c>
      <c r="K105" s="4" t="e">
        <v>#NUM!</v>
      </c>
      <c r="L105" s="4" t="e">
        <v>#NUM!</v>
      </c>
      <c r="M105" s="4" t="e">
        <v>#NUM!</v>
      </c>
      <c r="N105" s="4" t="e">
        <v>#NUM!</v>
      </c>
      <c r="O105" s="4" t="e">
        <v>#NUM!</v>
      </c>
      <c r="P105" s="4" t="e">
        <v>#NUM!</v>
      </c>
      <c r="Q105" s="4" t="e">
        <v>#NUM!</v>
      </c>
      <c r="R105" s="4" t="e">
        <v>#NUM!</v>
      </c>
      <c r="S105" s="4" t="e">
        <v>#NUM!</v>
      </c>
      <c r="T105" s="4" t="e">
        <v>#NUM!</v>
      </c>
      <c r="U105" s="4" t="e">
        <v>#NUM!</v>
      </c>
      <c r="V105" s="4" t="e">
        <v>#NUM!</v>
      </c>
      <c r="W105" s="4" t="e">
        <v>#NUM!</v>
      </c>
      <c r="X105" s="4" t="e">
        <v>#NUM!</v>
      </c>
      <c r="Y105" s="4" t="e">
        <v>#NUM!</v>
      </c>
      <c r="Z105" s="4" t="e">
        <v>#NUM!</v>
      </c>
      <c r="AA105" s="4" t="e">
        <v>#NUM!</v>
      </c>
      <c r="AB105" s="4" t="e">
        <v>#NUM!</v>
      </c>
      <c r="AC105" s="4" t="e">
        <v>#NUM!</v>
      </c>
      <c r="AD105" s="4" t="e">
        <v>#NUM!</v>
      </c>
      <c r="AE105" s="4" t="e">
        <v>#NUM!</v>
      </c>
      <c r="AF105" s="4" t="e">
        <v>#NUM!</v>
      </c>
      <c r="AG105" s="4" t="e">
        <v>#NUM!</v>
      </c>
      <c r="AH105" s="4" t="e">
        <v>#NUM!</v>
      </c>
      <c r="AI105" s="4" t="e">
        <v>#NUM!</v>
      </c>
      <c r="AJ105" s="4" t="e">
        <v>#NUM!</v>
      </c>
      <c r="AK105" s="4" t="e">
        <v>#NUM!</v>
      </c>
      <c r="AL105" s="4" t="e">
        <v>#NUM!</v>
      </c>
      <c r="AM105" s="4" t="e">
        <v>#NUM!</v>
      </c>
      <c r="AN105" s="4" t="e">
        <v>#NUM!</v>
      </c>
      <c r="AO105" s="4" t="e">
        <v>#NUM!</v>
      </c>
      <c r="AP105" s="4" t="e">
        <v>#NUM!</v>
      </c>
      <c r="AQ105" s="4" t="e">
        <v>#NUM!</v>
      </c>
      <c r="AR105" s="4" t="e">
        <v>#NUM!</v>
      </c>
      <c r="AS105" s="4" t="e">
        <v>#NUM!</v>
      </c>
      <c r="AT105" s="4" t="e">
        <v>#NUM!</v>
      </c>
      <c r="AU105" s="4" t="e">
        <v>#NUM!</v>
      </c>
      <c r="AV105" s="4" t="e">
        <v>#NUM!</v>
      </c>
      <c r="AW105" s="4" t="e">
        <v>#NUM!</v>
      </c>
      <c r="AX105" s="4" t="e">
        <v>#NUM!</v>
      </c>
      <c r="AY105" s="4" t="e">
        <v>#NUM!</v>
      </c>
      <c r="AZ105" s="4" t="e">
        <v>#NUM!</v>
      </c>
      <c r="BA105" s="4" t="e">
        <v>#NUM!</v>
      </c>
      <c r="BB105" s="4" t="e">
        <v>#NUM!</v>
      </c>
    </row>
    <row r="106" spans="1:54" x14ac:dyDescent="0.2">
      <c r="G106" s="4" t="s">
        <v>133</v>
      </c>
      <c r="H106" s="4" t="e">
        <v>#NUM!</v>
      </c>
      <c r="I106" s="4" t="e">
        <v>#NUM!</v>
      </c>
      <c r="J106" s="4" t="e">
        <v>#NUM!</v>
      </c>
      <c r="K106" s="4" t="e">
        <v>#NUM!</v>
      </c>
      <c r="L106" s="4" t="e">
        <v>#NUM!</v>
      </c>
      <c r="M106" s="4" t="e">
        <v>#NUM!</v>
      </c>
      <c r="N106" s="4" t="e">
        <v>#NUM!</v>
      </c>
      <c r="O106" s="4" t="e">
        <v>#NUM!</v>
      </c>
      <c r="P106" s="4" t="e">
        <v>#NUM!</v>
      </c>
      <c r="Q106" s="4" t="e">
        <v>#NUM!</v>
      </c>
      <c r="R106" s="4" t="e">
        <v>#NUM!</v>
      </c>
      <c r="S106" s="4" t="e">
        <v>#NUM!</v>
      </c>
      <c r="T106" s="4" t="e">
        <v>#NUM!</v>
      </c>
      <c r="U106" s="4" t="e">
        <v>#NUM!</v>
      </c>
      <c r="V106" s="4" t="e">
        <v>#NUM!</v>
      </c>
      <c r="W106" s="4" t="e">
        <v>#NUM!</v>
      </c>
      <c r="X106" s="4" t="e">
        <v>#NUM!</v>
      </c>
      <c r="Y106" s="4" t="e">
        <v>#NUM!</v>
      </c>
      <c r="Z106" s="4" t="e">
        <v>#NUM!</v>
      </c>
      <c r="AA106" s="4" t="e">
        <v>#NUM!</v>
      </c>
      <c r="AB106" s="4" t="e">
        <v>#NUM!</v>
      </c>
      <c r="AC106" s="4" t="e">
        <v>#NUM!</v>
      </c>
      <c r="AD106" s="4" t="e">
        <v>#NUM!</v>
      </c>
      <c r="AE106" s="4" t="e">
        <v>#NUM!</v>
      </c>
      <c r="AF106" s="4" t="e">
        <v>#NUM!</v>
      </c>
      <c r="AG106" s="4" t="e">
        <v>#NUM!</v>
      </c>
      <c r="AH106" s="4" t="e">
        <v>#NUM!</v>
      </c>
      <c r="AI106" s="4" t="e">
        <v>#NUM!</v>
      </c>
      <c r="AJ106" s="4" t="e">
        <v>#NUM!</v>
      </c>
      <c r="AK106" s="4" t="e">
        <v>#NUM!</v>
      </c>
      <c r="AL106" s="4" t="e">
        <v>#NUM!</v>
      </c>
      <c r="AM106" s="4" t="e">
        <v>#NUM!</v>
      </c>
      <c r="AN106" s="4" t="e">
        <v>#NUM!</v>
      </c>
      <c r="AO106" s="4" t="e">
        <v>#NUM!</v>
      </c>
      <c r="AP106" s="4" t="e">
        <v>#NUM!</v>
      </c>
      <c r="AQ106" s="4" t="e">
        <v>#NUM!</v>
      </c>
      <c r="AR106" s="4" t="e">
        <v>#NUM!</v>
      </c>
      <c r="AS106" s="4" t="e">
        <v>#NUM!</v>
      </c>
      <c r="AT106" s="4" t="e">
        <v>#NUM!</v>
      </c>
      <c r="AU106" s="4" t="e">
        <v>#NUM!</v>
      </c>
      <c r="AV106" s="4" t="e">
        <v>#NUM!</v>
      </c>
      <c r="AW106" s="4" t="e">
        <v>#NUM!</v>
      </c>
      <c r="AX106" s="4" t="e">
        <v>#NUM!</v>
      </c>
      <c r="AY106" s="4" t="e">
        <v>#NUM!</v>
      </c>
      <c r="AZ106" s="4" t="e">
        <v>#NUM!</v>
      </c>
      <c r="BA106" s="4" t="e">
        <v>#NUM!</v>
      </c>
      <c r="BB106" s="4" t="e">
        <v>#NUM!</v>
      </c>
    </row>
    <row r="107" spans="1:54" x14ac:dyDescent="0.2">
      <c r="G107" s="4" t="s">
        <v>134</v>
      </c>
      <c r="H107" s="4" t="e">
        <v>#NUM!</v>
      </c>
      <c r="I107" s="4" t="e">
        <v>#NUM!</v>
      </c>
      <c r="J107" s="4" t="e">
        <v>#NUM!</v>
      </c>
      <c r="K107" s="4" t="e">
        <v>#NUM!</v>
      </c>
      <c r="L107" s="4" t="e">
        <v>#NUM!</v>
      </c>
      <c r="M107" s="4" t="e">
        <v>#NUM!</v>
      </c>
      <c r="N107" s="4" t="e">
        <v>#NUM!</v>
      </c>
      <c r="O107" s="4" t="e">
        <v>#NUM!</v>
      </c>
      <c r="P107" s="4" t="e">
        <v>#NUM!</v>
      </c>
      <c r="Q107" s="4" t="e">
        <v>#NUM!</v>
      </c>
      <c r="R107" s="4" t="e">
        <v>#NUM!</v>
      </c>
      <c r="S107" s="4" t="e">
        <v>#NUM!</v>
      </c>
      <c r="T107" s="4" t="e">
        <v>#NUM!</v>
      </c>
      <c r="U107" s="4" t="e">
        <v>#NUM!</v>
      </c>
      <c r="V107" s="4" t="e">
        <v>#NUM!</v>
      </c>
      <c r="W107" s="4" t="e">
        <v>#NUM!</v>
      </c>
      <c r="X107" s="4" t="e">
        <v>#NUM!</v>
      </c>
      <c r="Y107" s="4" t="e">
        <v>#NUM!</v>
      </c>
      <c r="Z107" s="4" t="e">
        <v>#NUM!</v>
      </c>
      <c r="AA107" s="4" t="e">
        <v>#NUM!</v>
      </c>
      <c r="AB107" s="4" t="e">
        <v>#NUM!</v>
      </c>
      <c r="AC107" s="4" t="e">
        <v>#NUM!</v>
      </c>
      <c r="AD107" s="4" t="e">
        <v>#NUM!</v>
      </c>
      <c r="AE107" s="4" t="e">
        <v>#NUM!</v>
      </c>
      <c r="AF107" s="4" t="e">
        <v>#NUM!</v>
      </c>
      <c r="AG107" s="4" t="e">
        <v>#NUM!</v>
      </c>
      <c r="AH107" s="4" t="e">
        <v>#NUM!</v>
      </c>
      <c r="AI107" s="4" t="e">
        <v>#NUM!</v>
      </c>
      <c r="AJ107" s="4" t="e">
        <v>#NUM!</v>
      </c>
      <c r="AK107" s="4" t="e">
        <v>#NUM!</v>
      </c>
      <c r="AL107" s="4" t="e">
        <v>#NUM!</v>
      </c>
      <c r="AM107" s="4" t="e">
        <v>#NUM!</v>
      </c>
      <c r="AN107" s="4" t="e">
        <v>#NUM!</v>
      </c>
      <c r="AO107" s="4" t="e">
        <v>#NUM!</v>
      </c>
      <c r="AP107" s="4" t="e">
        <v>#NUM!</v>
      </c>
      <c r="AQ107" s="4" t="e">
        <v>#NUM!</v>
      </c>
      <c r="AR107" s="4" t="e">
        <v>#NUM!</v>
      </c>
      <c r="AS107" s="4" t="e">
        <v>#NUM!</v>
      </c>
      <c r="AT107" s="4" t="e">
        <v>#NUM!</v>
      </c>
      <c r="AU107" s="4" t="e">
        <v>#NUM!</v>
      </c>
      <c r="AV107" s="4" t="e">
        <v>#NUM!</v>
      </c>
      <c r="AW107" s="4" t="e">
        <v>#NUM!</v>
      </c>
      <c r="AX107" s="4" t="e">
        <v>#NUM!</v>
      </c>
      <c r="AY107" s="4" t="e">
        <v>#NUM!</v>
      </c>
      <c r="AZ107" s="4" t="e">
        <v>#NUM!</v>
      </c>
      <c r="BA107" s="4" t="e">
        <v>#NUM!</v>
      </c>
      <c r="BB107" s="4" t="e">
        <v>#NUM!</v>
      </c>
    </row>
    <row r="108" spans="1:54" x14ac:dyDescent="0.2">
      <c r="G108" s="4" t="s">
        <v>135</v>
      </c>
      <c r="H108" s="4" t="e">
        <v>#NUM!</v>
      </c>
      <c r="I108" s="4" t="e">
        <v>#NUM!</v>
      </c>
      <c r="J108" s="4" t="e">
        <v>#NUM!</v>
      </c>
      <c r="K108" s="4" t="e">
        <v>#NUM!</v>
      </c>
      <c r="L108" s="4" t="e">
        <v>#NUM!</v>
      </c>
      <c r="M108" s="4" t="e">
        <v>#NUM!</v>
      </c>
      <c r="N108" s="4" t="e">
        <v>#NUM!</v>
      </c>
      <c r="O108" s="4" t="e">
        <v>#NUM!</v>
      </c>
      <c r="P108" s="4" t="e">
        <v>#NUM!</v>
      </c>
      <c r="Q108" s="4" t="e">
        <v>#NUM!</v>
      </c>
      <c r="R108" s="4" t="e">
        <v>#NUM!</v>
      </c>
      <c r="S108" s="4" t="e">
        <v>#NUM!</v>
      </c>
      <c r="T108" s="4" t="e">
        <v>#NUM!</v>
      </c>
      <c r="U108" s="4" t="e">
        <v>#NUM!</v>
      </c>
      <c r="V108" s="4" t="e">
        <v>#NUM!</v>
      </c>
      <c r="W108" s="4" t="e">
        <v>#NUM!</v>
      </c>
      <c r="X108" s="4" t="e">
        <v>#NUM!</v>
      </c>
      <c r="Y108" s="4" t="e">
        <v>#NUM!</v>
      </c>
      <c r="Z108" s="4" t="e">
        <v>#NUM!</v>
      </c>
      <c r="AA108" s="4" t="e">
        <v>#NUM!</v>
      </c>
      <c r="AB108" s="4" t="e">
        <v>#NUM!</v>
      </c>
      <c r="AC108" s="4" t="e">
        <v>#NUM!</v>
      </c>
      <c r="AD108" s="4" t="e">
        <v>#NUM!</v>
      </c>
      <c r="AE108" s="4" t="e">
        <v>#NUM!</v>
      </c>
      <c r="AF108" s="4" t="e">
        <v>#NUM!</v>
      </c>
      <c r="AG108" s="4" t="e">
        <v>#NUM!</v>
      </c>
      <c r="AH108" s="4" t="e">
        <v>#NUM!</v>
      </c>
      <c r="AI108" s="4" t="e">
        <v>#NUM!</v>
      </c>
      <c r="AJ108" s="4" t="e">
        <v>#NUM!</v>
      </c>
      <c r="AK108" s="4" t="e">
        <v>#NUM!</v>
      </c>
      <c r="AL108" s="4" t="e">
        <v>#NUM!</v>
      </c>
      <c r="AM108" s="4" t="e">
        <v>#NUM!</v>
      </c>
      <c r="AN108" s="4" t="e">
        <v>#NUM!</v>
      </c>
      <c r="AO108" s="4" t="e">
        <v>#NUM!</v>
      </c>
      <c r="AP108" s="4" t="e">
        <v>#NUM!</v>
      </c>
      <c r="AQ108" s="4" t="e">
        <v>#NUM!</v>
      </c>
      <c r="AR108" s="4" t="e">
        <v>#NUM!</v>
      </c>
      <c r="AS108" s="4" t="e">
        <v>#NUM!</v>
      </c>
      <c r="AT108" s="4" t="e">
        <v>#NUM!</v>
      </c>
      <c r="AU108" s="4" t="e">
        <v>#NUM!</v>
      </c>
      <c r="AV108" s="4" t="e">
        <v>#NUM!</v>
      </c>
      <c r="AW108" s="4" t="e">
        <v>#NUM!</v>
      </c>
      <c r="AX108" s="4" t="e">
        <v>#NUM!</v>
      </c>
      <c r="AY108" s="4" t="e">
        <v>#NUM!</v>
      </c>
      <c r="AZ108" s="4" t="e">
        <v>#NUM!</v>
      </c>
      <c r="BA108" s="4" t="e">
        <v>#NUM!</v>
      </c>
      <c r="BB108" s="4" t="e">
        <v>#NUM!</v>
      </c>
    </row>
    <row r="109" spans="1:54" x14ac:dyDescent="0.2">
      <c r="G109" s="4" t="s">
        <v>136</v>
      </c>
      <c r="H109" s="4" t="e">
        <v>#NUM!</v>
      </c>
      <c r="I109" s="4" t="e">
        <v>#NUM!</v>
      </c>
      <c r="J109" s="4" t="e">
        <v>#NUM!</v>
      </c>
      <c r="K109" s="4" t="e">
        <v>#NUM!</v>
      </c>
      <c r="L109" s="4" t="e">
        <v>#NUM!</v>
      </c>
      <c r="M109" s="4" t="e">
        <v>#NUM!</v>
      </c>
      <c r="N109" s="4" t="e">
        <v>#NUM!</v>
      </c>
      <c r="O109" s="4" t="e">
        <v>#NUM!</v>
      </c>
      <c r="P109" s="4" t="e">
        <v>#NUM!</v>
      </c>
      <c r="Q109" s="4" t="e">
        <v>#NUM!</v>
      </c>
      <c r="R109" s="4" t="e">
        <v>#NUM!</v>
      </c>
      <c r="S109" s="4" t="e">
        <v>#NUM!</v>
      </c>
      <c r="T109" s="4" t="e">
        <v>#NUM!</v>
      </c>
      <c r="U109" s="4" t="e">
        <v>#NUM!</v>
      </c>
      <c r="V109" s="4" t="e">
        <v>#NUM!</v>
      </c>
      <c r="W109" s="4" t="e">
        <v>#NUM!</v>
      </c>
      <c r="X109" s="4" t="e">
        <v>#NUM!</v>
      </c>
      <c r="Y109" s="4" t="e">
        <v>#NUM!</v>
      </c>
      <c r="Z109" s="4" t="e">
        <v>#NUM!</v>
      </c>
      <c r="AA109" s="4" t="e">
        <v>#NUM!</v>
      </c>
      <c r="AB109" s="4" t="e">
        <v>#NUM!</v>
      </c>
      <c r="AC109" s="4" t="e">
        <v>#NUM!</v>
      </c>
      <c r="AD109" s="4" t="e">
        <v>#NUM!</v>
      </c>
      <c r="AE109" s="4" t="e">
        <v>#NUM!</v>
      </c>
      <c r="AF109" s="4" t="e">
        <v>#NUM!</v>
      </c>
      <c r="AG109" s="4" t="e">
        <v>#NUM!</v>
      </c>
      <c r="AH109" s="4" t="e">
        <v>#NUM!</v>
      </c>
      <c r="AI109" s="4" t="e">
        <v>#NUM!</v>
      </c>
      <c r="AJ109" s="4" t="e">
        <v>#NUM!</v>
      </c>
      <c r="AK109" s="4" t="e">
        <v>#NUM!</v>
      </c>
      <c r="AL109" s="4" t="e">
        <v>#NUM!</v>
      </c>
      <c r="AM109" s="4" t="e">
        <v>#NUM!</v>
      </c>
      <c r="AN109" s="4" t="e">
        <v>#NUM!</v>
      </c>
      <c r="AO109" s="4" t="e">
        <v>#NUM!</v>
      </c>
      <c r="AP109" s="4" t="e">
        <v>#NUM!</v>
      </c>
      <c r="AQ109" s="4" t="e">
        <v>#NUM!</v>
      </c>
      <c r="AR109" s="4" t="e">
        <v>#NUM!</v>
      </c>
      <c r="AS109" s="4" t="e">
        <v>#NUM!</v>
      </c>
      <c r="AT109" s="4" t="e">
        <v>#NUM!</v>
      </c>
      <c r="AU109" s="4" t="e">
        <v>#NUM!</v>
      </c>
      <c r="AV109" s="4" t="e">
        <v>#NUM!</v>
      </c>
      <c r="AW109" s="4" t="e">
        <v>#NUM!</v>
      </c>
      <c r="AX109" s="4" t="e">
        <v>#NUM!</v>
      </c>
      <c r="AY109" s="4" t="e">
        <v>#NUM!</v>
      </c>
      <c r="AZ109" s="4" t="e">
        <v>#NUM!</v>
      </c>
      <c r="BA109" s="4" t="e">
        <v>#NUM!</v>
      </c>
      <c r="BB109" s="4" t="e">
        <v>#NUM!</v>
      </c>
    </row>
    <row r="110" spans="1:54" x14ac:dyDescent="0.2">
      <c r="G110" s="4" t="s">
        <v>137</v>
      </c>
      <c r="H110" s="4" t="e">
        <v>#NUM!</v>
      </c>
      <c r="I110" s="4" t="e">
        <v>#NUM!</v>
      </c>
      <c r="J110" s="4" t="e">
        <v>#NUM!</v>
      </c>
      <c r="K110" s="4" t="e">
        <v>#NUM!</v>
      </c>
      <c r="L110" s="4" t="e">
        <v>#NUM!</v>
      </c>
      <c r="M110" s="4" t="e">
        <v>#NUM!</v>
      </c>
      <c r="N110" s="4" t="e">
        <v>#NUM!</v>
      </c>
      <c r="O110" s="4" t="e">
        <v>#NUM!</v>
      </c>
      <c r="P110" s="4" t="e">
        <v>#NUM!</v>
      </c>
      <c r="Q110" s="4" t="e">
        <v>#NUM!</v>
      </c>
      <c r="R110" s="4" t="e">
        <v>#NUM!</v>
      </c>
      <c r="S110" s="4" t="e">
        <v>#NUM!</v>
      </c>
      <c r="T110" s="4" t="e">
        <v>#NUM!</v>
      </c>
      <c r="U110" s="4" t="e">
        <v>#NUM!</v>
      </c>
      <c r="V110" s="4" t="e">
        <v>#NUM!</v>
      </c>
      <c r="W110" s="4" t="e">
        <v>#NUM!</v>
      </c>
      <c r="X110" s="4" t="e">
        <v>#NUM!</v>
      </c>
      <c r="Y110" s="4" t="e">
        <v>#NUM!</v>
      </c>
      <c r="Z110" s="4" t="e">
        <v>#NUM!</v>
      </c>
      <c r="AA110" s="4" t="e">
        <v>#NUM!</v>
      </c>
      <c r="AB110" s="4" t="e">
        <v>#NUM!</v>
      </c>
      <c r="AC110" s="4" t="e">
        <v>#NUM!</v>
      </c>
      <c r="AD110" s="4" t="e">
        <v>#NUM!</v>
      </c>
      <c r="AE110" s="4" t="e">
        <v>#NUM!</v>
      </c>
      <c r="AF110" s="4" t="e">
        <v>#NUM!</v>
      </c>
      <c r="AG110" s="4" t="e">
        <v>#NUM!</v>
      </c>
      <c r="AH110" s="4" t="e">
        <v>#NUM!</v>
      </c>
      <c r="AI110" s="4" t="e">
        <v>#NUM!</v>
      </c>
      <c r="AJ110" s="4" t="e">
        <v>#NUM!</v>
      </c>
      <c r="AK110" s="4" t="e">
        <v>#NUM!</v>
      </c>
      <c r="AL110" s="4" t="e">
        <v>#NUM!</v>
      </c>
      <c r="AM110" s="4" t="e">
        <v>#NUM!</v>
      </c>
      <c r="AN110" s="4" t="e">
        <v>#NUM!</v>
      </c>
      <c r="AO110" s="4" t="e">
        <v>#NUM!</v>
      </c>
      <c r="AP110" s="4" t="e">
        <v>#NUM!</v>
      </c>
      <c r="AQ110" s="4" t="e">
        <v>#NUM!</v>
      </c>
      <c r="AR110" s="4" t="e">
        <v>#NUM!</v>
      </c>
      <c r="AS110" s="4" t="e">
        <v>#NUM!</v>
      </c>
      <c r="AT110" s="4" t="e">
        <v>#NUM!</v>
      </c>
      <c r="AU110" s="4" t="e">
        <v>#NUM!</v>
      </c>
      <c r="AV110" s="4" t="e">
        <v>#NUM!</v>
      </c>
      <c r="AW110" s="4" t="e">
        <v>#NUM!</v>
      </c>
      <c r="AX110" s="4" t="e">
        <v>#NUM!</v>
      </c>
      <c r="AY110" s="4" t="e">
        <v>#NUM!</v>
      </c>
      <c r="AZ110" s="4" t="e">
        <v>#NUM!</v>
      </c>
      <c r="BA110" s="4" t="e">
        <v>#NUM!</v>
      </c>
      <c r="BB110" s="4" t="e">
        <v>#NUM!</v>
      </c>
    </row>
    <row r="111" spans="1:54" ht="15" thickBot="1" x14ac:dyDescent="0.25">
      <c r="A111"/>
      <c r="H111" s="7"/>
    </row>
    <row r="112" spans="1:54" x14ac:dyDescent="0.2">
      <c r="A112"/>
      <c r="F112" s="4" t="s">
        <v>146</v>
      </c>
      <c r="G112" s="10" t="s">
        <v>143</v>
      </c>
      <c r="H112" s="3">
        <f>AVERAGE(B$2:B$96)</f>
        <v>1</v>
      </c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</row>
    <row r="113" spans="1:54" x14ac:dyDescent="0.2">
      <c r="G113" s="11" t="s">
        <v>133</v>
      </c>
      <c r="H113" s="4">
        <f>AVERAGE(C$2:C$96)</f>
        <v>9.6789473684210561E-3</v>
      </c>
      <c r="AB113" s="18"/>
    </row>
    <row r="114" spans="1:54" x14ac:dyDescent="0.2">
      <c r="G114" s="11" t="s">
        <v>134</v>
      </c>
      <c r="H114" s="4">
        <f>AVERAGE(D$2:D$96)</f>
        <v>9.6789473684210561E-3</v>
      </c>
    </row>
    <row r="115" spans="1:54" x14ac:dyDescent="0.2">
      <c r="G115" s="11" t="s">
        <v>135</v>
      </c>
      <c r="H115" s="4">
        <f>AVERAGE(E$2:E$96)</f>
        <v>9.6789473684210561E-3</v>
      </c>
    </row>
    <row r="116" spans="1:54" x14ac:dyDescent="0.2">
      <c r="A116" s="4" t="s">
        <v>147</v>
      </c>
      <c r="B116" s="6">
        <f>AVERAGE(Table14[RF])</f>
        <v>9.6789473684210561E-3</v>
      </c>
      <c r="G116" s="11" t="s">
        <v>136</v>
      </c>
      <c r="H116" s="4">
        <f>AVERAGE(F$2:F$96)</f>
        <v>9.6789473684210561E-3</v>
      </c>
    </row>
    <row r="117" spans="1:54" ht="15" thickBot="1" x14ac:dyDescent="0.25">
      <c r="G117" s="12" t="s">
        <v>137</v>
      </c>
      <c r="H117" s="8">
        <f>AVERAGE(G$2:G$96)</f>
        <v>9.6789473684210561E-3</v>
      </c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</row>
    <row r="118" spans="1:54" ht="15" thickBot="1" x14ac:dyDescent="0.25">
      <c r="H118" s="7" t="str">
        <f t="shared" ref="H118:BB118" si="2">H$1</f>
        <v>EDV</v>
      </c>
      <c r="I118" s="4" t="str">
        <f t="shared" si="2"/>
        <v>BIV</v>
      </c>
      <c r="J118" s="4" t="str">
        <f t="shared" si="2"/>
        <v>VGIT</v>
      </c>
      <c r="K118" s="4" t="str">
        <f t="shared" si="2"/>
        <v>BLV</v>
      </c>
      <c r="L118" s="4" t="str">
        <f t="shared" si="2"/>
        <v>VGLT</v>
      </c>
      <c r="M118" s="4" t="str">
        <f t="shared" si="2"/>
        <v>VMBS</v>
      </c>
      <c r="N118" s="4" t="str">
        <f t="shared" si="2"/>
        <v>BSV</v>
      </c>
      <c r="O118" s="4" t="str">
        <f t="shared" si="2"/>
        <v>VGSH</v>
      </c>
      <c r="P118" s="4" t="str">
        <f t="shared" si="2"/>
        <v>BND</v>
      </c>
      <c r="Q118" s="4" t="str">
        <f t="shared" si="2"/>
        <v>VCIT</v>
      </c>
      <c r="R118" s="4" t="str">
        <f t="shared" si="2"/>
        <v>VCLT</v>
      </c>
      <c r="S118" s="4" t="str">
        <f t="shared" si="2"/>
        <v>VCSH</v>
      </c>
      <c r="T118" s="4" t="str">
        <f t="shared" si="2"/>
        <v>VIG</v>
      </c>
      <c r="U118" s="4" t="str">
        <f t="shared" si="2"/>
        <v>VUG</v>
      </c>
      <c r="V118" s="4" t="str">
        <f t="shared" si="2"/>
        <v>VYM</v>
      </c>
      <c r="W118" s="4" t="str">
        <f t="shared" si="2"/>
        <v>VV</v>
      </c>
      <c r="X118" s="4" t="str">
        <f t="shared" si="2"/>
        <v>MGC</v>
      </c>
      <c r="Y118" s="4" t="str">
        <f t="shared" si="2"/>
        <v>MGK</v>
      </c>
      <c r="Z118" s="4" t="str">
        <f t="shared" si="2"/>
        <v>MGV</v>
      </c>
      <c r="AA118" s="4" t="str">
        <f t="shared" si="2"/>
        <v>VOO</v>
      </c>
      <c r="AB118" s="4" t="str">
        <f t="shared" si="2"/>
        <v>VTI</v>
      </c>
      <c r="AC118" s="4" t="str">
        <f t="shared" si="2"/>
        <v>VTV</v>
      </c>
      <c r="AD118" s="4" t="str">
        <f t="shared" si="2"/>
        <v>VXF</v>
      </c>
      <c r="AE118" s="4" t="str">
        <f t="shared" si="2"/>
        <v>VOT</v>
      </c>
      <c r="AF118" s="4" t="str">
        <f t="shared" si="2"/>
        <v>VOE</v>
      </c>
      <c r="AG118" s="4" t="str">
        <f t="shared" si="2"/>
        <v>VB</v>
      </c>
      <c r="AH118" s="4" t="str">
        <f t="shared" si="2"/>
        <v>VBK</v>
      </c>
      <c r="AI118" s="4" t="str">
        <f t="shared" si="2"/>
        <v>VBR</v>
      </c>
      <c r="AJ118" s="4" t="str">
        <f t="shared" si="2"/>
        <v>VT</v>
      </c>
      <c r="AK118" s="4" t="str">
        <f t="shared" si="2"/>
        <v>VEU</v>
      </c>
      <c r="AL118" s="4" t="str">
        <f t="shared" si="2"/>
        <v>VSS</v>
      </c>
      <c r="AM118" s="4" t="str">
        <f t="shared" si="2"/>
        <v>VEA</v>
      </c>
      <c r="AN118" s="4" t="str">
        <f t="shared" si="2"/>
        <v>VGK</v>
      </c>
      <c r="AO118" s="4" t="str">
        <f t="shared" si="2"/>
        <v>VPL</v>
      </c>
      <c r="AP118" s="4" t="str">
        <f t="shared" si="2"/>
        <v>VNQI</v>
      </c>
      <c r="AQ118" s="4" t="str">
        <f t="shared" si="2"/>
        <v>VXUS</v>
      </c>
      <c r="AR118" s="4" t="str">
        <f t="shared" si="2"/>
        <v>VOX</v>
      </c>
      <c r="AS118" s="4" t="str">
        <f t="shared" si="2"/>
        <v>VCR</v>
      </c>
      <c r="AT118" s="4" t="str">
        <f t="shared" si="2"/>
        <v>VDC</v>
      </c>
      <c r="AU118" s="4" t="str">
        <f t="shared" si="2"/>
        <v>VDE</v>
      </c>
      <c r="AV118" s="4" t="str">
        <f t="shared" si="2"/>
        <v>VFH</v>
      </c>
      <c r="AW118" s="4" t="str">
        <f t="shared" si="2"/>
        <v>VHT</v>
      </c>
      <c r="AX118" s="4" t="str">
        <f t="shared" si="2"/>
        <v>VIS</v>
      </c>
      <c r="AY118" s="4" t="str">
        <f t="shared" si="2"/>
        <v>VGT</v>
      </c>
      <c r="AZ118" s="4" t="str">
        <f t="shared" si="2"/>
        <v>VAW</v>
      </c>
      <c r="BA118" s="4" t="str">
        <f t="shared" si="2"/>
        <v>VNQ</v>
      </c>
      <c r="BB118" s="4" t="str">
        <f t="shared" si="2"/>
        <v>VPU</v>
      </c>
    </row>
    <row r="119" spans="1:54" ht="15" thickBot="1" x14ac:dyDescent="0.25">
      <c r="F119" s="4" t="s">
        <v>148</v>
      </c>
      <c r="G119" s="14" t="s">
        <v>143</v>
      </c>
      <c r="H119" s="15" t="e">
        <f>($B$116+(H$106*$H$113)+(H$107*$H$114)+(H$108*$H$115)+(H$109*$H$116)+(H$110*$H$117))*12</f>
        <v>#NUM!</v>
      </c>
      <c r="I119" s="15" t="e">
        <f t="shared" ref="I119:BB119" si="3">($B$116+(I$106*$H$113)+(I$107*$H$114)+(I$108*$H$115)+(I$109*$H$116)+(I$110*$H$117))*12</f>
        <v>#NUM!</v>
      </c>
      <c r="J119" s="15" t="e">
        <f t="shared" si="3"/>
        <v>#NUM!</v>
      </c>
      <c r="K119" s="15" t="e">
        <f t="shared" si="3"/>
        <v>#NUM!</v>
      </c>
      <c r="L119" s="15" t="e">
        <f t="shared" si="3"/>
        <v>#NUM!</v>
      </c>
      <c r="M119" s="15" t="e">
        <f t="shared" si="3"/>
        <v>#NUM!</v>
      </c>
      <c r="N119" s="15" t="e">
        <f t="shared" si="3"/>
        <v>#NUM!</v>
      </c>
      <c r="O119" s="15" t="e">
        <f t="shared" si="3"/>
        <v>#NUM!</v>
      </c>
      <c r="P119" s="15" t="e">
        <f t="shared" si="3"/>
        <v>#NUM!</v>
      </c>
      <c r="Q119" s="15" t="e">
        <f t="shared" si="3"/>
        <v>#NUM!</v>
      </c>
      <c r="R119" s="15" t="e">
        <f t="shared" si="3"/>
        <v>#NUM!</v>
      </c>
      <c r="S119" s="15" t="e">
        <f t="shared" si="3"/>
        <v>#NUM!</v>
      </c>
      <c r="T119" s="15" t="e">
        <f t="shared" si="3"/>
        <v>#NUM!</v>
      </c>
      <c r="U119" s="15" t="e">
        <f t="shared" si="3"/>
        <v>#NUM!</v>
      </c>
      <c r="V119" s="15" t="e">
        <f t="shared" si="3"/>
        <v>#NUM!</v>
      </c>
      <c r="W119" s="15" t="e">
        <f t="shared" si="3"/>
        <v>#NUM!</v>
      </c>
      <c r="X119" s="15" t="e">
        <f t="shared" si="3"/>
        <v>#NUM!</v>
      </c>
      <c r="Y119" s="15" t="e">
        <f t="shared" si="3"/>
        <v>#NUM!</v>
      </c>
      <c r="Z119" s="15" t="e">
        <f t="shared" si="3"/>
        <v>#NUM!</v>
      </c>
      <c r="AA119" s="15" t="e">
        <f t="shared" si="3"/>
        <v>#NUM!</v>
      </c>
      <c r="AB119" s="15" t="e">
        <f t="shared" si="3"/>
        <v>#NUM!</v>
      </c>
      <c r="AC119" s="15" t="e">
        <f t="shared" si="3"/>
        <v>#NUM!</v>
      </c>
      <c r="AD119" s="15" t="e">
        <f t="shared" si="3"/>
        <v>#NUM!</v>
      </c>
      <c r="AE119" s="15" t="e">
        <f t="shared" si="3"/>
        <v>#NUM!</v>
      </c>
      <c r="AF119" s="15" t="e">
        <f t="shared" si="3"/>
        <v>#NUM!</v>
      </c>
      <c r="AG119" s="15" t="e">
        <f t="shared" si="3"/>
        <v>#NUM!</v>
      </c>
      <c r="AH119" s="15" t="e">
        <f t="shared" si="3"/>
        <v>#NUM!</v>
      </c>
      <c r="AI119" s="15" t="e">
        <f t="shared" si="3"/>
        <v>#NUM!</v>
      </c>
      <c r="AJ119" s="15" t="e">
        <f t="shared" si="3"/>
        <v>#NUM!</v>
      </c>
      <c r="AK119" s="15" t="e">
        <f t="shared" si="3"/>
        <v>#NUM!</v>
      </c>
      <c r="AL119" s="15" t="e">
        <f t="shared" si="3"/>
        <v>#NUM!</v>
      </c>
      <c r="AM119" s="15" t="e">
        <f t="shared" si="3"/>
        <v>#NUM!</v>
      </c>
      <c r="AN119" s="15" t="e">
        <f t="shared" si="3"/>
        <v>#NUM!</v>
      </c>
      <c r="AO119" s="15" t="e">
        <f t="shared" si="3"/>
        <v>#NUM!</v>
      </c>
      <c r="AP119" s="15" t="e">
        <f t="shared" si="3"/>
        <v>#NUM!</v>
      </c>
      <c r="AQ119" s="15" t="e">
        <f t="shared" si="3"/>
        <v>#NUM!</v>
      </c>
      <c r="AR119" s="15" t="e">
        <f t="shared" si="3"/>
        <v>#NUM!</v>
      </c>
      <c r="AS119" s="15" t="e">
        <f t="shared" si="3"/>
        <v>#NUM!</v>
      </c>
      <c r="AT119" s="15" t="e">
        <f t="shared" si="3"/>
        <v>#NUM!</v>
      </c>
      <c r="AU119" s="15" t="e">
        <f t="shared" si="3"/>
        <v>#NUM!</v>
      </c>
      <c r="AV119" s="15" t="e">
        <f t="shared" si="3"/>
        <v>#NUM!</v>
      </c>
      <c r="AW119" s="15" t="e">
        <f t="shared" si="3"/>
        <v>#NUM!</v>
      </c>
      <c r="AX119" s="15" t="e">
        <f t="shared" si="3"/>
        <v>#NUM!</v>
      </c>
      <c r="AY119" s="15" t="e">
        <f t="shared" si="3"/>
        <v>#NUM!</v>
      </c>
      <c r="AZ119" s="15" t="e">
        <f t="shared" si="3"/>
        <v>#NUM!</v>
      </c>
      <c r="BA119" s="15" t="e">
        <f t="shared" si="3"/>
        <v>#NUM!</v>
      </c>
      <c r="BB119" s="15" t="e">
        <f t="shared" si="3"/>
        <v>#NUM!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79998168889431442"/>
  </sheetPr>
  <dimension ref="A1:AW23"/>
  <sheetViews>
    <sheetView showGridLines="0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"/>
    </sheetView>
  </sheetViews>
  <sheetFormatPr defaultColWidth="9" defaultRowHeight="14.25" x14ac:dyDescent="0.2"/>
  <cols>
    <col min="1" max="1" width="24.875" style="4" bestFit="1" customWidth="1"/>
    <col min="2" max="2" width="14.5" style="4" customWidth="1"/>
    <col min="3" max="7" width="9" style="4"/>
    <col min="8" max="8" width="9.75" style="4" customWidth="1"/>
    <col min="9" max="9" width="9" style="4"/>
    <col min="10" max="10" width="9.125" style="4" customWidth="1"/>
    <col min="11" max="13" width="9" style="4"/>
    <col min="14" max="14" width="9.125" style="4" customWidth="1"/>
    <col min="15" max="25" width="9" style="4"/>
    <col min="26" max="26" width="9.375" style="4" customWidth="1"/>
    <col min="27" max="38" width="9" style="4"/>
    <col min="39" max="39" width="9.375" style="4" customWidth="1"/>
    <col min="40" max="16384" width="9" style="4"/>
  </cols>
  <sheetData>
    <row r="1" spans="1:49" ht="15" x14ac:dyDescent="0.25">
      <c r="A1" s="19" t="s">
        <v>160</v>
      </c>
      <c r="B1" s="19" t="s">
        <v>149</v>
      </c>
      <c r="C1" s="19" t="s">
        <v>73</v>
      </c>
      <c r="D1" s="19" t="s">
        <v>74</v>
      </c>
      <c r="E1" s="19" t="s">
        <v>75</v>
      </c>
      <c r="F1" s="19" t="s">
        <v>76</v>
      </c>
      <c r="G1" s="19" t="s">
        <v>77</v>
      </c>
      <c r="H1" s="19" t="s">
        <v>78</v>
      </c>
      <c r="I1" s="19" t="s">
        <v>79</v>
      </c>
      <c r="J1" s="19" t="s">
        <v>80</v>
      </c>
      <c r="K1" s="19" t="s">
        <v>81</v>
      </c>
      <c r="L1" s="19" t="s">
        <v>82</v>
      </c>
      <c r="M1" s="19" t="s">
        <v>83</v>
      </c>
      <c r="N1" s="19" t="s">
        <v>84</v>
      </c>
      <c r="O1" s="19" t="s">
        <v>86</v>
      </c>
      <c r="P1" s="19" t="s">
        <v>88</v>
      </c>
      <c r="Q1" s="19" t="s">
        <v>89</v>
      </c>
      <c r="R1" s="19" t="s">
        <v>90</v>
      </c>
      <c r="S1" s="19" t="s">
        <v>91</v>
      </c>
      <c r="T1" s="19" t="s">
        <v>92</v>
      </c>
      <c r="U1" s="19" t="s">
        <v>93</v>
      </c>
      <c r="V1" s="19" t="s">
        <v>94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106</v>
      </c>
      <c r="AF1" s="19" t="s">
        <v>108</v>
      </c>
      <c r="AG1" s="19" t="s">
        <v>109</v>
      </c>
      <c r="AH1" s="19" t="s">
        <v>110</v>
      </c>
      <c r="AI1" s="19" t="s">
        <v>111</v>
      </c>
      <c r="AJ1" s="19" t="s">
        <v>112</v>
      </c>
      <c r="AK1" s="19" t="s">
        <v>113</v>
      </c>
      <c r="AL1" s="19" t="s">
        <v>116</v>
      </c>
      <c r="AM1" s="19" t="s">
        <v>117</v>
      </c>
      <c r="AN1" s="19" t="s">
        <v>118</v>
      </c>
      <c r="AO1" s="19" t="s">
        <v>119</v>
      </c>
      <c r="AP1" s="19" t="s">
        <v>120</v>
      </c>
      <c r="AQ1" s="19" t="s">
        <v>121</v>
      </c>
      <c r="AR1" s="19" t="s">
        <v>122</v>
      </c>
      <c r="AS1" s="19" t="s">
        <v>123</v>
      </c>
      <c r="AT1" s="19" t="s">
        <v>124</v>
      </c>
      <c r="AU1" s="19" t="s">
        <v>125</v>
      </c>
      <c r="AV1" s="19" t="s">
        <v>126</v>
      </c>
      <c r="AW1" s="19" t="s">
        <v>127</v>
      </c>
    </row>
    <row r="2" spans="1:49" x14ac:dyDescent="0.2">
      <c r="A2" s="4" t="s">
        <v>154</v>
      </c>
      <c r="B2" s="22">
        <f>AVERAGE(Table14[RF])</f>
        <v>9.6789473684210561E-3</v>
      </c>
      <c r="C2" s="22">
        <f>AVERAGE(Table14[RF])</f>
        <v>9.6789473684210561E-3</v>
      </c>
      <c r="D2" s="22">
        <f>AVERAGE(Table14[RF])</f>
        <v>9.6789473684210561E-3</v>
      </c>
      <c r="E2" s="22">
        <f>AVERAGE(Table14[RF])</f>
        <v>9.6789473684210561E-3</v>
      </c>
      <c r="F2" s="22">
        <f>AVERAGE(Table14[RF])</f>
        <v>9.6789473684210561E-3</v>
      </c>
      <c r="G2" s="22">
        <f>AVERAGE(Table14[RF])</f>
        <v>9.6789473684210561E-3</v>
      </c>
      <c r="H2" s="22">
        <f>AVERAGE(Table14[RF])</f>
        <v>9.6789473684210561E-3</v>
      </c>
      <c r="I2" s="22">
        <f>AVERAGE(Table14[RF])</f>
        <v>9.6789473684210561E-3</v>
      </c>
      <c r="J2" s="22">
        <f>AVERAGE(Table14[RF])</f>
        <v>9.6789473684210561E-3</v>
      </c>
      <c r="K2" s="22">
        <f>AVERAGE(Table14[RF])</f>
        <v>9.6789473684210561E-3</v>
      </c>
      <c r="L2" s="22">
        <f>AVERAGE(Table14[RF])</f>
        <v>9.6789473684210561E-3</v>
      </c>
      <c r="M2" s="22">
        <f>AVERAGE(Table14[RF])</f>
        <v>9.6789473684210561E-3</v>
      </c>
      <c r="N2" s="22">
        <f>AVERAGE(Table14[RF])</f>
        <v>9.6789473684210561E-3</v>
      </c>
      <c r="O2" s="22">
        <f>AVERAGE(Table14[RF])</f>
        <v>9.6789473684210561E-3</v>
      </c>
      <c r="P2" s="22">
        <f>AVERAGE(Table14[RF])</f>
        <v>9.6789473684210561E-3</v>
      </c>
      <c r="Q2" s="22">
        <f>AVERAGE(Table14[RF])</f>
        <v>9.6789473684210561E-3</v>
      </c>
      <c r="R2" s="22">
        <f>AVERAGE(Table14[RF])</f>
        <v>9.6789473684210561E-3</v>
      </c>
      <c r="S2" s="22">
        <f>AVERAGE(Table14[RF])</f>
        <v>9.6789473684210561E-3</v>
      </c>
      <c r="T2" s="22">
        <f>AVERAGE(Table14[RF])</f>
        <v>9.6789473684210561E-3</v>
      </c>
      <c r="U2" s="22">
        <f>AVERAGE(Table14[RF])</f>
        <v>9.6789473684210561E-3</v>
      </c>
      <c r="V2" s="22">
        <f>AVERAGE(Table14[RF])</f>
        <v>9.6789473684210561E-3</v>
      </c>
      <c r="W2" s="22">
        <f>AVERAGE(Table14[RF])</f>
        <v>9.6789473684210561E-3</v>
      </c>
      <c r="X2" s="22">
        <f>AVERAGE(Table14[RF])</f>
        <v>9.6789473684210561E-3</v>
      </c>
      <c r="Y2" s="22">
        <f>AVERAGE(Table14[RF])</f>
        <v>9.6789473684210561E-3</v>
      </c>
      <c r="Z2" s="22">
        <f>AVERAGE(Table14[RF])</f>
        <v>9.6789473684210561E-3</v>
      </c>
      <c r="AA2" s="22">
        <f>AVERAGE(Table14[RF])</f>
        <v>9.6789473684210561E-3</v>
      </c>
      <c r="AB2" s="22">
        <f>AVERAGE(Table14[RF])</f>
        <v>9.6789473684210561E-3</v>
      </c>
      <c r="AC2" s="22">
        <f>AVERAGE(Table14[RF])</f>
        <v>9.6789473684210561E-3</v>
      </c>
      <c r="AD2" s="22">
        <f>AVERAGE(Table14[RF])</f>
        <v>9.6789473684210561E-3</v>
      </c>
      <c r="AE2" s="22">
        <f>AVERAGE(Table14[RF])</f>
        <v>9.6789473684210561E-3</v>
      </c>
      <c r="AF2" s="22">
        <f>AVERAGE(Table14[RF])</f>
        <v>9.6789473684210561E-3</v>
      </c>
      <c r="AG2" s="22">
        <f>AVERAGE(Table14[RF])</f>
        <v>9.6789473684210561E-3</v>
      </c>
      <c r="AH2" s="22">
        <f>AVERAGE(Table14[RF])</f>
        <v>9.6789473684210561E-3</v>
      </c>
      <c r="AI2" s="22">
        <f>AVERAGE(Table14[RF])</f>
        <v>9.6789473684210561E-3</v>
      </c>
      <c r="AJ2" s="22">
        <f>AVERAGE(Table14[RF])</f>
        <v>9.6789473684210561E-3</v>
      </c>
      <c r="AK2" s="22">
        <f>AVERAGE(Table14[RF])</f>
        <v>9.6789473684210561E-3</v>
      </c>
      <c r="AL2" s="22">
        <f>AVERAGE(Table14[RF])</f>
        <v>9.6789473684210561E-3</v>
      </c>
      <c r="AM2" s="22">
        <f>AVERAGE(Table14[RF])</f>
        <v>9.6789473684210561E-3</v>
      </c>
      <c r="AN2" s="22">
        <f>AVERAGE(Table14[RF])</f>
        <v>9.6789473684210561E-3</v>
      </c>
      <c r="AO2" s="22">
        <f>AVERAGE(Table14[RF])</f>
        <v>9.6789473684210561E-3</v>
      </c>
      <c r="AP2" s="22">
        <f>AVERAGE(Table14[RF])</f>
        <v>9.6789473684210561E-3</v>
      </c>
      <c r="AQ2" s="22">
        <f>AVERAGE(Table14[RF])</f>
        <v>9.6789473684210561E-3</v>
      </c>
      <c r="AR2" s="22">
        <f>AVERAGE(Table14[RF])</f>
        <v>9.6789473684210561E-3</v>
      </c>
      <c r="AS2" s="22">
        <f>AVERAGE(Table14[RF])</f>
        <v>9.6789473684210561E-3</v>
      </c>
      <c r="AT2" s="22">
        <f>AVERAGE(Table14[RF])</f>
        <v>9.6789473684210561E-3</v>
      </c>
      <c r="AU2" s="22">
        <f>AVERAGE(Table14[RF])</f>
        <v>9.6789473684210561E-3</v>
      </c>
      <c r="AV2" s="22">
        <f>AVERAGE(Table14[RF])</f>
        <v>9.6789473684210561E-3</v>
      </c>
      <c r="AW2" s="22">
        <f>AVERAGE(Table14[RF])</f>
        <v>9.6789473684210561E-3</v>
      </c>
    </row>
    <row r="3" spans="1:49" x14ac:dyDescent="0.2">
      <c r="A3" s="4" t="s">
        <v>161</v>
      </c>
      <c r="B3" s="4">
        <f>SQRT(12)</f>
        <v>3.4641016151377544</v>
      </c>
      <c r="C3" s="4">
        <f t="shared" ref="C3:AW3" si="0">SQRT(12)</f>
        <v>3.4641016151377544</v>
      </c>
      <c r="D3" s="4">
        <f t="shared" si="0"/>
        <v>3.4641016151377544</v>
      </c>
      <c r="E3" s="4">
        <f t="shared" si="0"/>
        <v>3.4641016151377544</v>
      </c>
      <c r="F3" s="4">
        <f t="shared" si="0"/>
        <v>3.4641016151377544</v>
      </c>
      <c r="G3" s="4">
        <f t="shared" si="0"/>
        <v>3.4641016151377544</v>
      </c>
      <c r="H3" s="4">
        <f t="shared" si="0"/>
        <v>3.4641016151377544</v>
      </c>
      <c r="I3" s="4">
        <f t="shared" si="0"/>
        <v>3.4641016151377544</v>
      </c>
      <c r="J3" s="4">
        <f t="shared" si="0"/>
        <v>3.4641016151377544</v>
      </c>
      <c r="K3" s="4">
        <f t="shared" si="0"/>
        <v>3.4641016151377544</v>
      </c>
      <c r="L3" s="4">
        <f t="shared" si="0"/>
        <v>3.4641016151377544</v>
      </c>
      <c r="M3" s="4">
        <f t="shared" si="0"/>
        <v>3.4641016151377544</v>
      </c>
      <c r="N3" s="4">
        <f t="shared" si="0"/>
        <v>3.4641016151377544</v>
      </c>
      <c r="O3" s="4">
        <f t="shared" si="0"/>
        <v>3.4641016151377544</v>
      </c>
      <c r="P3" s="4">
        <f t="shared" si="0"/>
        <v>3.4641016151377544</v>
      </c>
      <c r="Q3" s="4">
        <f t="shared" si="0"/>
        <v>3.4641016151377544</v>
      </c>
      <c r="R3" s="4">
        <f t="shared" si="0"/>
        <v>3.4641016151377544</v>
      </c>
      <c r="S3" s="4">
        <f t="shared" si="0"/>
        <v>3.4641016151377544</v>
      </c>
      <c r="T3" s="4">
        <f t="shared" si="0"/>
        <v>3.4641016151377544</v>
      </c>
      <c r="U3" s="4">
        <f t="shared" si="0"/>
        <v>3.4641016151377544</v>
      </c>
      <c r="V3" s="4">
        <f t="shared" si="0"/>
        <v>3.4641016151377544</v>
      </c>
      <c r="W3" s="4">
        <f t="shared" si="0"/>
        <v>3.4641016151377544</v>
      </c>
      <c r="X3" s="4">
        <f t="shared" si="0"/>
        <v>3.4641016151377544</v>
      </c>
      <c r="Y3" s="4">
        <f t="shared" si="0"/>
        <v>3.4641016151377544</v>
      </c>
      <c r="Z3" s="4">
        <f t="shared" si="0"/>
        <v>3.4641016151377544</v>
      </c>
      <c r="AA3" s="4">
        <f t="shared" si="0"/>
        <v>3.4641016151377544</v>
      </c>
      <c r="AB3" s="4">
        <f t="shared" si="0"/>
        <v>3.4641016151377544</v>
      </c>
      <c r="AC3" s="4">
        <f t="shared" si="0"/>
        <v>3.4641016151377544</v>
      </c>
      <c r="AD3" s="4">
        <f t="shared" si="0"/>
        <v>3.4641016151377544</v>
      </c>
      <c r="AE3" s="4">
        <f t="shared" si="0"/>
        <v>3.4641016151377544</v>
      </c>
      <c r="AF3" s="4">
        <f t="shared" si="0"/>
        <v>3.4641016151377544</v>
      </c>
      <c r="AG3" s="4">
        <f t="shared" si="0"/>
        <v>3.4641016151377544</v>
      </c>
      <c r="AH3" s="4">
        <f t="shared" si="0"/>
        <v>3.4641016151377544</v>
      </c>
      <c r="AI3" s="4">
        <f t="shared" si="0"/>
        <v>3.4641016151377544</v>
      </c>
      <c r="AJ3" s="4">
        <f t="shared" si="0"/>
        <v>3.4641016151377544</v>
      </c>
      <c r="AK3" s="4">
        <f t="shared" si="0"/>
        <v>3.4641016151377544</v>
      </c>
      <c r="AL3" s="4">
        <f t="shared" si="0"/>
        <v>3.4641016151377544</v>
      </c>
      <c r="AM3" s="4">
        <f t="shared" si="0"/>
        <v>3.4641016151377544</v>
      </c>
      <c r="AN3" s="4">
        <f t="shared" si="0"/>
        <v>3.4641016151377544</v>
      </c>
      <c r="AO3" s="4">
        <f t="shared" si="0"/>
        <v>3.4641016151377544</v>
      </c>
      <c r="AP3" s="4">
        <f t="shared" si="0"/>
        <v>3.4641016151377544</v>
      </c>
      <c r="AQ3" s="4">
        <f t="shared" si="0"/>
        <v>3.4641016151377544</v>
      </c>
      <c r="AR3" s="4">
        <f t="shared" si="0"/>
        <v>3.4641016151377544</v>
      </c>
      <c r="AS3" s="4">
        <f t="shared" si="0"/>
        <v>3.4641016151377544</v>
      </c>
      <c r="AT3" s="4">
        <f t="shared" si="0"/>
        <v>3.4641016151377544</v>
      </c>
      <c r="AU3" s="4">
        <f t="shared" si="0"/>
        <v>3.4641016151377544</v>
      </c>
      <c r="AV3" s="4">
        <f t="shared" si="0"/>
        <v>3.4641016151377544</v>
      </c>
      <c r="AW3" s="4">
        <f t="shared" si="0"/>
        <v>3.4641016151377544</v>
      </c>
    </row>
    <row r="4" spans="1:49" x14ac:dyDescent="0.2">
      <c r="A4" s="4" t="s">
        <v>165</v>
      </c>
      <c r="C4" s="4">
        <f>COUNT('raw-Return'!B$2:B$95)</f>
        <v>94</v>
      </c>
      <c r="D4" s="4">
        <f>COUNT('raw-Return'!C$2:C$95)</f>
        <v>94</v>
      </c>
      <c r="E4" s="4">
        <f>COUNT('raw-Return'!D$2:D$95)</f>
        <v>94</v>
      </c>
      <c r="F4" s="4">
        <f>COUNT('raw-Return'!#REF!)</f>
        <v>0</v>
      </c>
      <c r="G4" s="4">
        <f>COUNT('raw-Return'!E$2:E$95)</f>
        <v>68</v>
      </c>
      <c r="H4" s="4">
        <f>COUNT('raw-Return'!F$2:F$95)</f>
        <v>94</v>
      </c>
      <c r="I4" s="4">
        <f>COUNT('raw-Return'!G$2:G$95)</f>
        <v>94</v>
      </c>
      <c r="J4" s="4">
        <f>COUNT('raw-Return'!#REF!)</f>
        <v>0</v>
      </c>
      <c r="K4" s="4">
        <f>COUNT('raw-Return'!H$2:H$95)</f>
        <v>94</v>
      </c>
      <c r="L4" s="4">
        <f>COUNT('raw-Return'!I$2:I$95)</f>
        <v>94</v>
      </c>
      <c r="M4" s="4">
        <f>COUNT('raw-Return'!J$2:J$95)</f>
        <v>94</v>
      </c>
      <c r="N4" s="4">
        <f>COUNT('raw-Return'!K$2:K$95)</f>
        <v>94</v>
      </c>
      <c r="O4" s="4">
        <f>COUNT('raw-Return'!L$2:L$95)</f>
        <v>94</v>
      </c>
      <c r="P4" s="4">
        <f>COUNT('raw-Return'!M$2:M$95)</f>
        <v>94</v>
      </c>
      <c r="Q4" s="4">
        <f>COUNT('raw-Return'!N$2:N$95)</f>
        <v>94</v>
      </c>
      <c r="R4" s="4">
        <f>COUNT('raw-Return'!O$2:O$95)</f>
        <v>94</v>
      </c>
      <c r="S4" s="4">
        <f>COUNT('raw-Return'!P$2:P$95)</f>
        <v>94</v>
      </c>
      <c r="T4" s="4">
        <f>COUNT('raw-Return'!Q$2:Q$95)</f>
        <v>94</v>
      </c>
      <c r="U4" s="4">
        <f>COUNT('raw-Return'!R$2:R$95)</f>
        <v>94</v>
      </c>
      <c r="V4" s="4">
        <f>COUNT('raw-Return'!S$2:S$95)</f>
        <v>94</v>
      </c>
      <c r="W4" s="4">
        <f>COUNT('raw-Return'!T$2:T$95)</f>
        <v>94</v>
      </c>
      <c r="X4" s="4">
        <f>COUNT('raw-Return'!U$2:U$95)</f>
        <v>94</v>
      </c>
      <c r="Y4" s="4">
        <f>COUNT('raw-Return'!V$2:V$95)</f>
        <v>94</v>
      </c>
      <c r="Z4" s="4">
        <f>COUNT('raw-Return'!W$2:W$95)</f>
        <v>94</v>
      </c>
      <c r="AA4" s="4">
        <f>COUNT('raw-Return'!X$2:X$95)</f>
        <v>35</v>
      </c>
      <c r="AB4" s="4">
        <f>COUNT('raw-Return'!Y$2:Y$95)</f>
        <v>94</v>
      </c>
      <c r="AC4" s="4">
        <f>COUNT('raw-Return'!Z$2:Z$95)</f>
        <v>94</v>
      </c>
      <c r="AD4" s="4">
        <f>COUNT('raw-Return'!AA$2:AA$95)</f>
        <v>94</v>
      </c>
      <c r="AE4" s="4">
        <f>COUNT('raw-Return'!AB$2:AB$95)</f>
        <v>94</v>
      </c>
      <c r="AF4" s="4">
        <f>COUNT('raw-Return'!AC$2:AC$95)</f>
        <v>94</v>
      </c>
      <c r="AG4" s="4">
        <f>COUNT('raw-Return'!AD$2:AD$95)</f>
        <v>94</v>
      </c>
      <c r="AH4" s="4">
        <f>COUNT('raw-Return'!AE$2:AE$95)</f>
        <v>94</v>
      </c>
      <c r="AI4" s="4">
        <f>COUNT('raw-Return'!AF$2:AF$95)</f>
        <v>94</v>
      </c>
      <c r="AJ4" s="4">
        <f>COUNT('raw-Return'!#REF!)</f>
        <v>0</v>
      </c>
      <c r="AK4" s="4">
        <f>COUNT('raw-Return'!AG$2:AG$95)</f>
        <v>94</v>
      </c>
      <c r="AL4" s="4">
        <f>COUNT('raw-Return'!AH$2:AH$95)</f>
        <v>94</v>
      </c>
      <c r="AM4" s="4">
        <f>COUNT('raw-Return'!#REF!)</f>
        <v>0</v>
      </c>
      <c r="AN4" s="4">
        <f>COUNT('raw-Return'!AI$2:AI$95)</f>
        <v>42</v>
      </c>
      <c r="AO4" s="4">
        <f>COUNT('raw-Return'!AJ$2:AJ$95)</f>
        <v>94</v>
      </c>
      <c r="AP4" s="4">
        <f>COUNT('raw-Return'!AK$2:AK$95)</f>
        <v>76</v>
      </c>
      <c r="AQ4" s="4">
        <f>COUNT('raw-Return'!AL$2:AL$95)</f>
        <v>94</v>
      </c>
      <c r="AR4" s="4">
        <f>COUNT('raw-Return'!AM$2:AM$95)</f>
        <v>94</v>
      </c>
      <c r="AS4" s="4">
        <f>COUNT('raw-Return'!AN$2:AN$95)</f>
        <v>94</v>
      </c>
      <c r="AT4" s="4">
        <f>COUNT('raw-Return'!AO$2:AO$95)</f>
        <v>68</v>
      </c>
      <c r="AU4" s="4">
        <f>COUNT('raw-Return'!AP$2:AP$95)</f>
        <v>68</v>
      </c>
      <c r="AV4" s="4">
        <f>COUNT('raw-Return'!AQ$2:AQ$95)</f>
        <v>94</v>
      </c>
      <c r="AW4" s="4">
        <f>COUNT('raw-Return'!AR$2:AR$95)</f>
        <v>94</v>
      </c>
    </row>
    <row r="7" spans="1:49" ht="15" x14ac:dyDescent="0.25">
      <c r="A7" s="19" t="s">
        <v>158</v>
      </c>
      <c r="B7" s="4" t="s">
        <v>149</v>
      </c>
      <c r="C7" s="4" t="s">
        <v>73</v>
      </c>
      <c r="D7" s="4" t="s">
        <v>74</v>
      </c>
      <c r="E7" s="4" t="s">
        <v>75</v>
      </c>
      <c r="F7" s="4" t="s">
        <v>76</v>
      </c>
      <c r="G7" s="4" t="s">
        <v>77</v>
      </c>
      <c r="H7" s="4" t="s">
        <v>78</v>
      </c>
      <c r="I7" s="4" t="s">
        <v>79</v>
      </c>
      <c r="J7" s="4" t="s">
        <v>80</v>
      </c>
      <c r="K7" s="4" t="s">
        <v>81</v>
      </c>
      <c r="L7" s="4" t="s">
        <v>82</v>
      </c>
      <c r="M7" s="4" t="s">
        <v>83</v>
      </c>
      <c r="N7" s="4" t="s">
        <v>84</v>
      </c>
      <c r="O7" s="4" t="s">
        <v>86</v>
      </c>
      <c r="P7" s="4" t="s">
        <v>88</v>
      </c>
      <c r="Q7" s="4" t="s">
        <v>89</v>
      </c>
      <c r="R7" s="4" t="s">
        <v>90</v>
      </c>
      <c r="S7" s="4" t="s">
        <v>91</v>
      </c>
      <c r="T7" s="4" t="s">
        <v>92</v>
      </c>
      <c r="U7" s="4" t="s">
        <v>93</v>
      </c>
      <c r="V7" s="4" t="s">
        <v>94</v>
      </c>
      <c r="W7" s="4" t="s">
        <v>95</v>
      </c>
      <c r="X7" s="4" t="s">
        <v>96</v>
      </c>
      <c r="Y7" s="4" t="s">
        <v>97</v>
      </c>
      <c r="Z7" s="4" t="s">
        <v>98</v>
      </c>
      <c r="AA7" s="4" t="s">
        <v>99</v>
      </c>
      <c r="AB7" s="4" t="s">
        <v>100</v>
      </c>
      <c r="AC7" s="4" t="s">
        <v>101</v>
      </c>
      <c r="AD7" s="4" t="s">
        <v>102</v>
      </c>
      <c r="AE7" s="4" t="s">
        <v>106</v>
      </c>
      <c r="AF7" s="4" t="s">
        <v>108</v>
      </c>
      <c r="AG7" s="4" t="s">
        <v>109</v>
      </c>
      <c r="AH7" s="4" t="s">
        <v>110</v>
      </c>
      <c r="AI7" s="4" t="s">
        <v>111</v>
      </c>
      <c r="AJ7" s="4" t="s">
        <v>112</v>
      </c>
      <c r="AK7" s="4" t="s">
        <v>113</v>
      </c>
      <c r="AL7" s="4" t="s">
        <v>116</v>
      </c>
      <c r="AM7" s="4" t="s">
        <v>117</v>
      </c>
      <c r="AN7" s="4" t="s">
        <v>118</v>
      </c>
      <c r="AO7" s="4" t="s">
        <v>119</v>
      </c>
      <c r="AP7" s="4" t="s">
        <v>120</v>
      </c>
      <c r="AQ7" s="4" t="s">
        <v>121</v>
      </c>
      <c r="AR7" s="4" t="s">
        <v>122</v>
      </c>
      <c r="AS7" s="4" t="s">
        <v>123</v>
      </c>
      <c r="AT7" s="4" t="s">
        <v>124</v>
      </c>
      <c r="AU7" s="4" t="s">
        <v>125</v>
      </c>
      <c r="AV7" s="4" t="s">
        <v>126</v>
      </c>
      <c r="AW7" s="4" t="s">
        <v>127</v>
      </c>
    </row>
    <row r="8" spans="1:49" x14ac:dyDescent="0.2">
      <c r="A8" s="4" t="s">
        <v>151</v>
      </c>
      <c r="B8" s="21">
        <f>AVERAGE('raw-Return'!$S$2:$S$95)</f>
        <v>4.099296647759415E-4</v>
      </c>
      <c r="C8" s="21">
        <f>AVERAGE('raw-ExcessReturn'!B$2:B$95)</f>
        <v>-9.3209581583196862E-3</v>
      </c>
      <c r="D8" s="21">
        <f>AVERAGE('raw-ExcessReturn'!C$2:C$95)</f>
        <v>-7.7676906341369078E-3</v>
      </c>
      <c r="E8" s="21">
        <f>AVERAGE('raw-ExcessReturn'!D$2:D$95)</f>
        <v>-9.4278069713241985E-3</v>
      </c>
      <c r="F8" s="21">
        <f>AVERAGE('raw-ExcessReturn'!E$2:E$95)</f>
        <v>-7.6115228055566057E-3</v>
      </c>
      <c r="G8" s="21">
        <f>AVERAGE('raw-ExcessReturn'!F$2:F$95)</f>
        <v>-9.6126737014123539E-3</v>
      </c>
      <c r="H8" s="21">
        <f>AVERAGE('raw-ExcessReturn'!G$2:G$95)</f>
        <v>-4.0641963768998689E-3</v>
      </c>
      <c r="I8" s="21">
        <f>AVERAGE('raw-ExcessReturn'!H$2:H$95)</f>
        <v>-1.1198107770559909E-3</v>
      </c>
      <c r="J8" s="21">
        <f>AVERAGE('raw-ExcessReturn'!I$2:I$95)</f>
        <v>4.1361444379845418E-4</v>
      </c>
      <c r="K8" s="21">
        <f>AVERAGE('raw-ExcessReturn'!J$2:J$95)</f>
        <v>-2.3565173940100514E-3</v>
      </c>
      <c r="L8" s="21">
        <f>AVERAGE('raw-ExcessReturn'!K$2:K$95)</f>
        <v>-1.8377915529167674E-3</v>
      </c>
      <c r="M8" s="21">
        <f>AVERAGE('raw-ExcessReturn'!L$2:L$95)</f>
        <v>-1.2121946697635421E-3</v>
      </c>
      <c r="N8" s="21">
        <f>AVERAGE('raw-ExcessReturn'!M$2:M$95)</f>
        <v>-2.4122414751915297E-3</v>
      </c>
      <c r="O8" s="21">
        <f>AVERAGE('raw-ExcessReturn'!N$2:N$95)</f>
        <v>-8.5857261308282685E-3</v>
      </c>
      <c r="P8" s="21">
        <f>AVERAGE('raw-ExcessReturn'!O$2:O$95)</f>
        <v>-7.6376483636498068E-3</v>
      </c>
      <c r="Q8" s="21">
        <f>AVERAGE('raw-ExcessReturn'!P$2:P$95)</f>
        <v>-9.2503369702464037E-3</v>
      </c>
      <c r="R8" s="21">
        <f>AVERAGE('raw-ExcessReturn'!Q$2:Q$95)</f>
        <v>-7.9259636381483825E-3</v>
      </c>
      <c r="S8" s="21">
        <f>AVERAGE('raw-ExcessReturn'!R$2:R$95)</f>
        <v>-8.6376472256335744E-3</v>
      </c>
      <c r="T8" s="21">
        <f>AVERAGE('raw-ExcessReturn'!S$2:S$95)</f>
        <v>-8.8673764475485622E-3</v>
      </c>
      <c r="U8" s="21">
        <f>AVERAGE('raw-ExcessReturn'!T$2:T$95)</f>
        <v>-8.4373161665967852E-3</v>
      </c>
      <c r="V8" s="21">
        <f>AVERAGE('raw-ExcessReturn'!U$2:U$95)</f>
        <v>-6.4396690254251076E-3</v>
      </c>
      <c r="W8" s="21">
        <f>AVERAGE('raw-ExcessReturn'!V$2:V$95)</f>
        <v>-9.5179140219704573E-3</v>
      </c>
      <c r="X8" s="21">
        <f>AVERAGE('raw-ExcessReturn'!W$2:W$95)</f>
        <v>-2.2511936721156148E-3</v>
      </c>
      <c r="Y8" s="21">
        <f>AVERAGE('raw-ExcessReturn'!X$2:X$95)</f>
        <v>-5.9190321301509866E-3</v>
      </c>
      <c r="Z8" s="21">
        <f>AVERAGE('raw-ExcessReturn'!Y$2:Y$95)</f>
        <v>-9.0861999226651748E-3</v>
      </c>
      <c r="AA8" s="21">
        <f>AVERAGE('raw-ExcessReturn'!Z$2:Z$95)</f>
        <v>-7.1123964238960051E-3</v>
      </c>
      <c r="AB8" s="21">
        <f>AVERAGE('raw-ExcessReturn'!AA$2:AA$95)</f>
        <v>-2.2884402846600877E-3</v>
      </c>
      <c r="AC8" s="21">
        <f>AVERAGE('raw-ExcessReturn'!AB$2:AB$95)</f>
        <v>9.8608530011442125E-3</v>
      </c>
      <c r="AD8" s="21">
        <f>AVERAGE('raw-ExcessReturn'!AC$2:AC$95)</f>
        <v>9.8608530011442125E-3</v>
      </c>
      <c r="AE8" s="21">
        <f>AVERAGE('raw-ExcessReturn'!AD$2:AD$95)</f>
        <v>-1.4332741641977067E-3</v>
      </c>
      <c r="AF8" s="21">
        <f>AVERAGE('raw-ExcessReturn'!AE$2:AE$95)</f>
        <v>-6.8905660793763023E-3</v>
      </c>
      <c r="AG8" s="21">
        <f>AVERAGE('raw-ExcessReturn'!AF$2:AF$95)</f>
        <v>-7.0516416827622582E-3</v>
      </c>
      <c r="AH8" s="21">
        <f>AVERAGE('raw-ExcessReturn'!AG$2:AG$95)</f>
        <v>-8.5623386703014125E-3</v>
      </c>
      <c r="AI8" s="21">
        <f>AVERAGE('raw-ExcessReturn'!AH$2:AH$95)</f>
        <v>-5.0575240420798091E-3</v>
      </c>
      <c r="AJ8" s="21">
        <f>AVERAGE('raw-ExcessReturn'!AI$2:AI$95)</f>
        <v>-9.9171206460809576E-3</v>
      </c>
      <c r="AK8" s="21">
        <f>AVERAGE('raw-ExcessReturn'!AJ$2:AJ$95)</f>
        <v>-1.36191782574729E-3</v>
      </c>
      <c r="AL8" s="21">
        <f>AVERAGE('raw-ExcessReturn'!AK$2:AK$95)</f>
        <v>-1.1318375312187608E-2</v>
      </c>
      <c r="AM8" s="21">
        <f>AVERAGE('raw-ExcessReturn'!AL$2:AL$95)</f>
        <v>-2.3562630176375428E-3</v>
      </c>
      <c r="AN8" s="21">
        <f>AVERAGE('raw-ExcessReturn'!AM$2:AM$95)</f>
        <v>3.6307335474509036E-5</v>
      </c>
      <c r="AO8" s="21">
        <f>AVERAGE('raw-ExcessReturn'!AN$2:AN$95)</f>
        <v>-1.2582829077881141E-3</v>
      </c>
      <c r="AP8" s="21">
        <f>AVERAGE('raw-ExcessReturn'!AO$2:AO$95)</f>
        <v>-9.0103021542655946E-3</v>
      </c>
      <c r="AQ8" s="21">
        <f>AVERAGE('raw-ExcessReturn'!AP$2:AP$95)</f>
        <v>-9.0103021542655946E-3</v>
      </c>
      <c r="AR8" s="21">
        <f>AVERAGE('raw-ExcessReturn'!AQ$2:AQ$95)</f>
        <v>-1.7544442281369353E-3</v>
      </c>
      <c r="AS8" s="21">
        <f>AVERAGE('raw-ExcessReturn'!AR$2:AR$95)</f>
        <v>-8.6313771418895877E-3</v>
      </c>
      <c r="AT8" s="21">
        <f>AVERAGE('raw-ExcessReturn'!AS$2:AS$95)</f>
        <v>-2.3528320390632323E-3</v>
      </c>
      <c r="AU8" s="21">
        <f>AVERAGE('raw-ExcessReturn'!AT$2:AT$95)</f>
        <v>-9.4734042553191525E-3</v>
      </c>
      <c r="AV8" s="21">
        <f>AVERAGE('raw-ExcessReturn'!AU$2:AU$95)</f>
        <v>-9.4734042553191525E-3</v>
      </c>
      <c r="AW8" s="21">
        <f>AVERAGE('raw-ExcessReturn'!AV$2:AV$95)</f>
        <v>-9.4734042553191525E-3</v>
      </c>
    </row>
    <row r="9" spans="1:49" x14ac:dyDescent="0.2">
      <c r="A9" s="4" t="s">
        <v>152</v>
      </c>
      <c r="B9" s="4">
        <f>_xlfn.STDEV.P('raw-Return'!$S$2:$S$95)</f>
        <v>9.8112959398122847E-3</v>
      </c>
      <c r="C9" s="4">
        <f>_xlfn.STDEV.P('raw-Return'!B$2:B$95)</f>
        <v>1.1844821248434346E-2</v>
      </c>
      <c r="D9" s="4">
        <f>_xlfn.STDEV.P('raw-Return'!C$2:C$95)</f>
        <v>2.4990383321959408E-2</v>
      </c>
      <c r="E9" s="4">
        <f>_xlfn.STDEV.P('raw-Return'!D$2:D$95)</f>
        <v>8.4155995208360004E-3</v>
      </c>
      <c r="F9" s="4" t="e">
        <f>_xlfn.STDEV.P('raw-Return'!#REF!)</f>
        <v>#REF!</v>
      </c>
      <c r="G9" s="4">
        <f>_xlfn.STDEV.P('raw-Return'!E$2:E$95)</f>
        <v>7.4521636506226386E-3</v>
      </c>
      <c r="H9" s="4">
        <f>_xlfn.STDEV.P('raw-Return'!F$2:F$95)</f>
        <v>3.6985368756151356E-3</v>
      </c>
      <c r="I9" s="4">
        <f>_xlfn.STDEV.P('raw-Return'!G$2:G$95)</f>
        <v>5.6020767652988308E-2</v>
      </c>
      <c r="J9" s="4" t="e">
        <f>_xlfn.STDEV.P('raw-Return'!#REF!)</f>
        <v>#REF!</v>
      </c>
      <c r="K9" s="4">
        <f>_xlfn.STDEV.P('raw-Return'!H$2:H$95)</f>
        <v>3.3848972715471527E-2</v>
      </c>
      <c r="L9" s="4">
        <f>_xlfn.STDEV.P('raw-Return'!I$2:I$95)</f>
        <v>3.6869364729636415E-2</v>
      </c>
      <c r="M9" s="4">
        <f>_xlfn.STDEV.P('raw-Return'!J$2:J$95)</f>
        <v>3.3331145099777679E-2</v>
      </c>
      <c r="N9" s="4">
        <f>_xlfn.STDEV.P('raw-Return'!K$2:K$95)</f>
        <v>4.4263216510492212E-2</v>
      </c>
      <c r="O9" s="4">
        <f>_xlfn.STDEV.P('raw-Return'!L$2:L$95)</f>
        <v>4.6106723816284785E-2</v>
      </c>
      <c r="P9" s="4">
        <f>_xlfn.STDEV.P('raw-Return'!M$2:M$95)</f>
        <v>4.3507244488465317E-2</v>
      </c>
      <c r="Q9" s="4">
        <f>_xlfn.STDEV.P('raw-Return'!N$2:N$95)</f>
        <v>1.233087561653568E-2</v>
      </c>
      <c r="R9" s="4">
        <f>_xlfn.STDEV.P('raw-Return'!O$2:O$95)</f>
        <v>2.4152007926161716E-2</v>
      </c>
      <c r="S9" s="4">
        <f>_xlfn.STDEV.P('raw-Return'!P$2:P$95)</f>
        <v>4.7997250705972168E-3</v>
      </c>
      <c r="T9" s="4">
        <f>_xlfn.STDEV.P('raw-Return'!Q$2:Q$95)</f>
        <v>4.0385664261012887E-2</v>
      </c>
      <c r="U9" s="4">
        <f>_xlfn.STDEV.P('raw-Return'!R$2:R$95)</f>
        <v>4.184824117380101E-2</v>
      </c>
      <c r="V9" s="4">
        <f>_xlfn.STDEV.P('raw-Return'!S$2:S$95)</f>
        <v>9.8112959398122847E-3</v>
      </c>
      <c r="W9" s="4">
        <f>_xlfn.STDEV.P('raw-Return'!T$2:T$95)</f>
        <v>4.5065561723682125E-2</v>
      </c>
      <c r="X9" s="4">
        <f>_xlfn.STDEV.P('raw-Return'!U$2:U$95)</f>
        <v>3.1822994336111798E-2</v>
      </c>
      <c r="Y9" s="4">
        <f>_xlfn.STDEV.P('raw-Return'!V$2:V$95)</f>
        <v>2.0345504729778309E-3</v>
      </c>
      <c r="Z9" s="4">
        <f>_xlfn.STDEV.P('raw-Return'!W$2:W$95)</f>
        <v>3.1915700378629203E-2</v>
      </c>
      <c r="AA9" s="4">
        <f>_xlfn.STDEV.P('raw-Return'!X$2:X$95)</f>
        <v>3.156055114000262E-2</v>
      </c>
      <c r="AB9" s="4">
        <f>_xlfn.STDEV.P('raw-Return'!Y$2:Y$95)</f>
        <v>6.127071969458768E-3</v>
      </c>
      <c r="AC9" s="4">
        <f>_xlfn.STDEV.P('raw-Return'!Z$2:Z$95)</f>
        <v>4.4768651970675054E-2</v>
      </c>
      <c r="AD9" s="4">
        <f>_xlfn.STDEV.P('raw-Return'!AA$2:AA$95)</f>
        <v>3.7555929024490509E-2</v>
      </c>
      <c r="AE9" s="4">
        <f>_xlfn.STDEV.P('raw-Return'!AB$2:AB$95)</f>
        <v>0.1160029718514865</v>
      </c>
      <c r="AF9" s="4">
        <f>_xlfn.STDEV.P('raw-Return'!AC$2:AC$95)</f>
        <v>0.1160029718514865</v>
      </c>
      <c r="AG9" s="4">
        <f>_xlfn.STDEV.P('raw-Return'!AD$2:AD$95)</f>
        <v>4.1204850453894604E-2</v>
      </c>
      <c r="AH9" s="4">
        <f>_xlfn.STDEV.P('raw-Return'!AE$2:AE$95)</f>
        <v>3.7328120232625869E-2</v>
      </c>
      <c r="AI9" s="4">
        <f>_xlfn.STDEV.P('raw-Return'!AF$2:AF$95)</f>
        <v>3.9274171600018913E-2</v>
      </c>
      <c r="AJ9" s="4" t="e">
        <f>_xlfn.STDEV.P('raw-Return'!#REF!)</f>
        <v>#REF!</v>
      </c>
      <c r="AK9" s="4">
        <f>_xlfn.STDEV.P('raw-Return'!AG$2:AG$95)</f>
        <v>4.242774621343464E-2</v>
      </c>
      <c r="AL9" s="4">
        <f>_xlfn.STDEV.P('raw-Return'!AH$2:AH$95)</f>
        <v>3.705245973799056E-2</v>
      </c>
      <c r="AM9" s="4" t="e">
        <f>_xlfn.STDEV.P('raw-Return'!#REF!)</f>
        <v>#REF!</v>
      </c>
      <c r="AN9" s="4">
        <f>_xlfn.STDEV.P('raw-Return'!AI$2:AI$95)</f>
        <v>8.9204447671053025E-3</v>
      </c>
      <c r="AO9" s="4">
        <f>_xlfn.STDEV.P('raw-Return'!AJ$2:AJ$95)</f>
        <v>3.5346999897813758E-2</v>
      </c>
      <c r="AP9" s="4">
        <f>_xlfn.STDEV.P('raw-Return'!AK$2:AK$95)</f>
        <v>5.4796900518740794E-3</v>
      </c>
      <c r="AQ9" s="4">
        <f>_xlfn.STDEV.P('raw-Return'!AL$2:AL$95)</f>
        <v>3.3704978772796129E-2</v>
      </c>
      <c r="AR9" s="4">
        <f>_xlfn.STDEV.P('raw-Return'!AM$2:AM$95)</f>
        <v>3.7433403044874941E-2</v>
      </c>
      <c r="AS9" s="4">
        <f>_xlfn.STDEV.P('raw-Return'!AN$2:AN$95)</f>
        <v>3.4346759562796002E-2</v>
      </c>
      <c r="AT9" s="4">
        <f>_xlfn.STDEV.P('raw-Return'!AO$2:AO$95)</f>
        <v>1.5676224173606351E-2</v>
      </c>
      <c r="AU9" s="4">
        <f>_xlfn.STDEV.P('raw-Return'!AP$2:AP$95)</f>
        <v>1.5676224173606351E-2</v>
      </c>
      <c r="AV9" s="4">
        <f>_xlfn.STDEV.P('raw-Return'!AQ$2:AQ$95)</f>
        <v>4.3706939085635152E-2</v>
      </c>
      <c r="AW9" s="4">
        <f>_xlfn.STDEV.P('raw-Return'!AR$2:AR$95)</f>
        <v>4.0876693460860015E-2</v>
      </c>
    </row>
    <row r="10" spans="1:49" x14ac:dyDescent="0.2">
      <c r="A10" s="4" t="s">
        <v>150</v>
      </c>
      <c r="B10" s="4">
        <f>((B8-B2)/B9)*B3</f>
        <v>-3.2726379262138341</v>
      </c>
      <c r="C10" s="4">
        <f t="shared" ref="C10:AW10" si="1">((C8-C2)/C9)*C3</f>
        <v>-5.5566565372480534</v>
      </c>
      <c r="D10" s="4">
        <f t="shared" si="1"/>
        <v>-2.4184073571323723</v>
      </c>
      <c r="E10" s="4">
        <f t="shared" si="1"/>
        <v>-7.8648869167881692</v>
      </c>
      <c r="F10" s="4" t="e">
        <f t="shared" si="1"/>
        <v>#REF!</v>
      </c>
      <c r="G10" s="4">
        <f t="shared" si="1"/>
        <v>-8.9676151571164002</v>
      </c>
      <c r="H10" s="4">
        <f t="shared" si="1"/>
        <v>-12.872021571318932</v>
      </c>
      <c r="I10" s="4">
        <f t="shared" si="1"/>
        <v>-0.66775228366999306</v>
      </c>
      <c r="J10" s="4" t="e">
        <f t="shared" si="1"/>
        <v>#REF!</v>
      </c>
      <c r="K10" s="4">
        <f t="shared" si="1"/>
        <v>-1.2317086628574319</v>
      </c>
      <c r="L10" s="4">
        <f t="shared" si="1"/>
        <v>-1.0820678411759448</v>
      </c>
      <c r="M10" s="4">
        <f t="shared" si="1"/>
        <v>-1.1319149885859039</v>
      </c>
      <c r="N10" s="4">
        <f t="shared" si="1"/>
        <v>-0.94627345466783808</v>
      </c>
      <c r="O10" s="4">
        <f t="shared" si="1"/>
        <v>-1.3722659024922146</v>
      </c>
      <c r="P10" s="4">
        <f t="shared" si="1"/>
        <v>-1.3787691670534981</v>
      </c>
      <c r="Q10" s="4">
        <f t="shared" si="1"/>
        <v>-5.3177865457540205</v>
      </c>
      <c r="R10" s="4">
        <f t="shared" si="1"/>
        <v>-2.5250571645496107</v>
      </c>
      <c r="S10" s="4">
        <f t="shared" si="1"/>
        <v>-13.219620704065269</v>
      </c>
      <c r="T10" s="4">
        <f t="shared" si="1"/>
        <v>-1.590820689998893</v>
      </c>
      <c r="U10" s="4">
        <f t="shared" si="1"/>
        <v>-1.499622827905253</v>
      </c>
      <c r="V10" s="4">
        <f t="shared" si="1"/>
        <v>-5.6910448350798273</v>
      </c>
      <c r="W10" s="4">
        <f t="shared" si="1"/>
        <v>-1.4756252003641375</v>
      </c>
      <c r="X10" s="4">
        <f t="shared" si="1"/>
        <v>-1.2986590894260184</v>
      </c>
      <c r="Y10" s="4">
        <f t="shared" si="1"/>
        <v>-26.557702397426713</v>
      </c>
      <c r="Z10" s="4">
        <f t="shared" si="1"/>
        <v>-2.0367523277940252</v>
      </c>
      <c r="AA10" s="4">
        <f t="shared" si="1"/>
        <v>-1.8430261529106493</v>
      </c>
      <c r="AB10" s="4">
        <f t="shared" si="1"/>
        <v>-6.7660780066991819</v>
      </c>
      <c r="AC10" s="4">
        <f t="shared" si="1"/>
        <v>1.4075465049331919E-2</v>
      </c>
      <c r="AD10" s="4">
        <f t="shared" si="1"/>
        <v>1.6778698130673918E-2</v>
      </c>
      <c r="AE10" s="4">
        <f t="shared" si="1"/>
        <v>-0.3318351585698614</v>
      </c>
      <c r="AF10" s="4">
        <f t="shared" si="1"/>
        <v>-0.49480179154415382</v>
      </c>
      <c r="AG10" s="4">
        <f t="shared" si="1"/>
        <v>-1.4065446158883514</v>
      </c>
      <c r="AH10" s="4">
        <f t="shared" si="1"/>
        <v>-1.6928167835705441</v>
      </c>
      <c r="AI10" s="4">
        <f t="shared" si="1"/>
        <v>-1.2998016847928322</v>
      </c>
      <c r="AJ10" s="4" t="e">
        <f t="shared" si="1"/>
        <v>#REF!</v>
      </c>
      <c r="AK10" s="4">
        <f t="shared" si="1"/>
        <v>-0.90145441049909159</v>
      </c>
      <c r="AL10" s="4">
        <f t="shared" si="1"/>
        <v>-1.963077753158899</v>
      </c>
      <c r="AM10" s="4" t="e">
        <f t="shared" si="1"/>
        <v>#REF!</v>
      </c>
      <c r="AN10" s="4">
        <f t="shared" si="1"/>
        <v>-3.7445537508957032</v>
      </c>
      <c r="AO10" s="4">
        <f t="shared" si="1"/>
        <v>-1.071878155840126</v>
      </c>
      <c r="AP10" s="4">
        <f t="shared" si="1"/>
        <v>-11.814803181269248</v>
      </c>
      <c r="AQ10" s="4">
        <f t="shared" si="1"/>
        <v>-1.9208277772156699</v>
      </c>
      <c r="AR10" s="4">
        <f t="shared" si="1"/>
        <v>-1.0580504863172342</v>
      </c>
      <c r="AS10" s="4">
        <f t="shared" si="1"/>
        <v>-1.8467193271579789</v>
      </c>
      <c r="AT10" s="4">
        <f t="shared" si="1"/>
        <v>-2.6587592788205887</v>
      </c>
      <c r="AU10" s="4">
        <f t="shared" si="1"/>
        <v>-4.2322495174054193</v>
      </c>
      <c r="AV10" s="4">
        <f t="shared" si="1"/>
        <v>-1.5179670226618551</v>
      </c>
      <c r="AW10" s="4">
        <f t="shared" si="1"/>
        <v>-1.6230689563237679</v>
      </c>
    </row>
    <row r="11" spans="1:49" x14ac:dyDescent="0.2">
      <c r="A11" s="4" t="s">
        <v>153</v>
      </c>
      <c r="B11" s="23">
        <f>_xlfn.COVARIANCE.P('raw-Return'!S2:S95,'raw-Return'!$S$2:$S$95)/_xlfn.VAR.P('raw-Return'!$S$2:$S$95)</f>
        <v>1.0000000000000002</v>
      </c>
      <c r="C11" s="23">
        <f>_xlfn.COVARIANCE.P('raw-Return'!B$2:B$95,'raw-Return'!$S$2:$S$95)/_xlfn.VAR.P('raw-Return'!$S$2:$S$95)</f>
        <v>1.1224560028248327</v>
      </c>
      <c r="D11" s="23">
        <f>_xlfn.COVARIANCE.P('raw-Return'!C$2:C$95,'raw-Return'!$S$2:$S$95)/_xlfn.VAR.P('raw-Return'!$S$2:$S$95)</f>
        <v>2.0979313868685834</v>
      </c>
      <c r="E11" s="23">
        <f>_xlfn.COVARIANCE.P('raw-Return'!D$2:D$95,'raw-Return'!$S$2:$S$95)/_xlfn.VAR.P('raw-Return'!$S$2:$S$95)</f>
        <v>0.79490177236560544</v>
      </c>
      <c r="F11" s="23" t="e">
        <f>_xlfn.COVARIANCE.P('raw-Return'!#REF!,'raw-Return'!$S$2:$S$95)/_xlfn.VAR.P('raw-Return'!$S$2:$S$95)</f>
        <v>#REF!</v>
      </c>
      <c r="G11" s="23">
        <f>_xlfn.COVARIANCE.P('raw-Return'!E$2:E$95,'raw-Return'!$S$2:$S$95)/_xlfn.VAR.P('raw-Return'!$S$2:$S$95)</f>
        <v>0.48345833571786634</v>
      </c>
      <c r="H11" s="23">
        <f>_xlfn.COVARIANCE.P('raw-Return'!F$2:F$95,'raw-Return'!$S$2:$S$95)/_xlfn.VAR.P('raw-Return'!$S$2:$S$95)</f>
        <v>0.32732697823895451</v>
      </c>
      <c r="I11" s="23">
        <f>_xlfn.COVARIANCE.P('raw-Return'!G$2:G$95,'raw-Return'!$S$2:$S$95)/_xlfn.VAR.P('raw-Return'!$S$2:$S$95)</f>
        <v>4.5717820633448882</v>
      </c>
      <c r="J11" s="23" t="e">
        <f>_xlfn.COVARIANCE.P('raw-Return'!#REF!,'raw-Return'!$S$2:$S$95)/_xlfn.VAR.P('raw-Return'!$S$2:$S$95)</f>
        <v>#REF!</v>
      </c>
      <c r="K11" s="23">
        <f>_xlfn.COVARIANCE.P('raw-Return'!H$2:H$95,'raw-Return'!$S$2:$S$95)/_xlfn.VAR.P('raw-Return'!$S$2:$S$95)</f>
        <v>-1.0878828338901498</v>
      </c>
      <c r="L11" s="23">
        <f>_xlfn.COVARIANCE.P('raw-Return'!I$2:I$95,'raw-Return'!$S$2:$S$95)/_xlfn.VAR.P('raw-Return'!$S$2:$S$95)</f>
        <v>-0.78356512271779288</v>
      </c>
      <c r="M11" s="23">
        <f>_xlfn.COVARIANCE.P('raw-Return'!J$2:J$95,'raw-Return'!$S$2:$S$95)/_xlfn.VAR.P('raw-Return'!$S$2:$S$95)</f>
        <v>-1.3648050670219138</v>
      </c>
      <c r="N11" s="23">
        <f>_xlfn.COVARIANCE.P('raw-Return'!K$2:K$95,'raw-Return'!$S$2:$S$95)/_xlfn.VAR.P('raw-Return'!$S$2:$S$95)</f>
        <v>-1.3677082120581454</v>
      </c>
      <c r="O11" s="23">
        <f>_xlfn.COVARIANCE.P('raw-Return'!L$2:L$95,'raw-Return'!$S$2:$S$95)/_xlfn.VAR.P('raw-Return'!$S$2:$S$95)</f>
        <v>-1.3549684200120493</v>
      </c>
      <c r="P11" s="23">
        <f>_xlfn.COVARIANCE.P('raw-Return'!M$2:M$95,'raw-Return'!$S$2:$S$95)/_xlfn.VAR.P('raw-Return'!$S$2:$S$95)</f>
        <v>-1.408946336880045</v>
      </c>
      <c r="Q11" s="23">
        <f>_xlfn.COVARIANCE.P('raw-Return'!N$2:N$95,'raw-Return'!$S$2:$S$95)/_xlfn.VAR.P('raw-Return'!$S$2:$S$95)</f>
        <v>0.89068068050640126</v>
      </c>
      <c r="R11" s="23">
        <f>_xlfn.COVARIANCE.P('raw-Return'!O$2:O$95,'raw-Return'!$S$2:$S$95)/_xlfn.VAR.P('raw-Return'!$S$2:$S$95)</f>
        <v>1.5062574406589324</v>
      </c>
      <c r="S11" s="23">
        <f>_xlfn.COVARIANCE.P('raw-Return'!P$2:P$95,'raw-Return'!$S$2:$S$95)/_xlfn.VAR.P('raw-Return'!$S$2:$S$95)</f>
        <v>0.26763619223654994</v>
      </c>
      <c r="T11" s="23">
        <f>_xlfn.COVARIANCE.P('raw-Return'!Q$2:Q$95,'raw-Return'!$S$2:$S$95)/_xlfn.VAR.P('raw-Return'!$S$2:$S$95)</f>
        <v>-0.9886537775923061</v>
      </c>
      <c r="U11" s="23">
        <f>_xlfn.COVARIANCE.P('raw-Return'!R$2:R$95,'raw-Return'!$S$2:$S$95)/_xlfn.VAR.P('raw-Return'!$S$2:$S$95)</f>
        <v>-0.9283660453105862</v>
      </c>
      <c r="V11" s="23">
        <f>_xlfn.COVARIANCE.P('raw-Return'!S$2:S$95,'raw-Return'!$S$2:$S$95)/_xlfn.VAR.P('raw-Return'!$S$2:$S$95)</f>
        <v>1.0000000000000002</v>
      </c>
      <c r="W11" s="23">
        <f>_xlfn.COVARIANCE.P('raw-Return'!T$2:T$95,'raw-Return'!$S$2:$S$95)/_xlfn.VAR.P('raw-Return'!$S$2:$S$95)</f>
        <v>-1.1949852745435972</v>
      </c>
      <c r="X11" s="23">
        <f>_xlfn.COVARIANCE.P('raw-Return'!U$2:U$95,'raw-Return'!$S$2:$S$95)/_xlfn.VAR.P('raw-Return'!$S$2:$S$95)</f>
        <v>2.7662102811787026</v>
      </c>
      <c r="Y11" s="23">
        <f>_xlfn.COVARIANCE.P('raw-Return'!V$2:V$95,'raw-Return'!$S$2:$S$95)/_xlfn.VAR.P('raw-Return'!$S$2:$S$95)</f>
        <v>0.16624309332062867</v>
      </c>
      <c r="Z11" s="23">
        <f>_xlfn.COVARIANCE.P('raw-Return'!W$2:W$95,'raw-Return'!$S$2:$S$95)/_xlfn.VAR.P('raw-Return'!$S$2:$S$95)</f>
        <v>-0.77211514835933037</v>
      </c>
      <c r="AA11" s="23">
        <f>_xlfn.COVARIANCE.P('raw-Return'!X$2:X$95,'raw-Return'!$S$2:$S$95)/_xlfn.VAR.P('raw-Return'!$S$2:$S$95)</f>
        <v>0.65462472304882269</v>
      </c>
      <c r="AB11" s="23">
        <f>_xlfn.COVARIANCE.P('raw-Return'!Y$2:Y$95,'raw-Return'!$S$2:$S$95)/_xlfn.VAR.P('raw-Return'!$S$2:$S$95)</f>
        <v>0.54958013056548904</v>
      </c>
      <c r="AC11" s="23">
        <f>_xlfn.COVARIANCE.P('raw-Return'!Z$2:Z$95,'raw-Return'!$S$2:$S$95)/_xlfn.VAR.P('raw-Return'!$S$2:$S$95)</f>
        <v>0.26102181838836308</v>
      </c>
      <c r="AD11" s="23">
        <f>_xlfn.COVARIANCE.P('raw-Return'!AA$2:AA$95,'raw-Return'!$S$2:$S$95)/_xlfn.VAR.P('raw-Return'!$S$2:$S$95)</f>
        <v>-1.2113419461330281</v>
      </c>
      <c r="AE11" s="23">
        <f>_xlfn.COVARIANCE.P('raw-Return'!AB$2:AB$95,'raw-Return'!$S$2:$S$95)/_xlfn.VAR.P('raw-Return'!$S$2:$S$95)</f>
        <v>-0.56955791512926113</v>
      </c>
      <c r="AF11" s="23">
        <f>_xlfn.COVARIANCE.P('raw-Return'!AC$2:AC$95,'raw-Return'!$S$2:$S$95)/_xlfn.VAR.P('raw-Return'!$S$2:$S$95)</f>
        <v>-0.56955791512926113</v>
      </c>
      <c r="AG11" s="23">
        <f>_xlfn.COVARIANCE.P('raw-Return'!AD$2:AD$95,'raw-Return'!$S$2:$S$95)/_xlfn.VAR.P('raw-Return'!$S$2:$S$95)</f>
        <v>-1.0345700303313998</v>
      </c>
      <c r="AH11" s="23">
        <f>_xlfn.COVARIANCE.P('raw-Return'!AE$2:AE$95,'raw-Return'!$S$2:$S$95)/_xlfn.VAR.P('raw-Return'!$S$2:$S$95)</f>
        <v>-0.28878899829506016</v>
      </c>
      <c r="AI11" s="23">
        <f>_xlfn.COVARIANCE.P('raw-Return'!AF$2:AF$95,'raw-Return'!$S$2:$S$95)/_xlfn.VAR.P('raw-Return'!$S$2:$S$95)</f>
        <v>-0.69413304952815025</v>
      </c>
      <c r="AJ11" s="23" t="e">
        <f>_xlfn.COVARIANCE.P('raw-Return'!#REF!,'raw-Return'!$S$2:$S$95)/_xlfn.VAR.P('raw-Return'!$S$2:$S$95)</f>
        <v>#REF!</v>
      </c>
      <c r="AK11" s="23">
        <f>_xlfn.COVARIANCE.P('raw-Return'!AG$2:AG$95,'raw-Return'!$S$2:$S$95)/_xlfn.VAR.P('raw-Return'!$S$2:$S$95)</f>
        <v>-0.8202325142603476</v>
      </c>
      <c r="AL11" s="23">
        <f>_xlfn.COVARIANCE.P('raw-Return'!AH$2:AH$95,'raw-Return'!$S$2:$S$95)/_xlfn.VAR.P('raw-Return'!$S$2:$S$95)</f>
        <v>-1.061490090764682</v>
      </c>
      <c r="AM11" s="23" t="e">
        <f>_xlfn.COVARIANCE.P('raw-Return'!#REF!,'raw-Return'!$S$2:$S$95)/_xlfn.VAR.P('raw-Return'!$S$2:$S$95)</f>
        <v>#REF!</v>
      </c>
      <c r="AN11" s="23">
        <f>_xlfn.COVARIANCE.P('raw-Return'!AI$2:AI$95,'raw-Return'!$S$2:$S$95)/_xlfn.VAR.P('raw-Return'!$S$2:$S$95)</f>
        <v>0.60385525078782953</v>
      </c>
      <c r="AO11" s="23">
        <f>_xlfn.COVARIANCE.P('raw-Return'!AJ$2:AJ$95,'raw-Return'!$S$2:$S$95)/_xlfn.VAR.P('raw-Return'!$S$2:$S$95)</f>
        <v>-1.1356652645746246</v>
      </c>
      <c r="AP11" s="23">
        <f>_xlfn.COVARIANCE.P('raw-Return'!AK$2:AK$95,'raw-Return'!$S$2:$S$95)/_xlfn.VAR.P('raw-Return'!$S$2:$S$95)</f>
        <v>0.25978655461227568</v>
      </c>
      <c r="AQ11" s="23">
        <f>_xlfn.COVARIANCE.P('raw-Return'!AL$2:AL$95,'raw-Return'!$S$2:$S$95)/_xlfn.VAR.P('raw-Return'!$S$2:$S$95)</f>
        <v>-1.3552193167439572</v>
      </c>
      <c r="AR11" s="23">
        <f>_xlfn.COVARIANCE.P('raw-Return'!AM$2:AM$95,'raw-Return'!$S$2:$S$95)/_xlfn.VAR.P('raw-Return'!$S$2:$S$95)</f>
        <v>-0.85156568123042564</v>
      </c>
      <c r="AS11" s="23">
        <f>_xlfn.COVARIANCE.P('raw-Return'!AN$2:AN$95,'raw-Return'!$S$2:$S$95)/_xlfn.VAR.P('raw-Return'!$S$2:$S$95)</f>
        <v>-1.0969847359244014</v>
      </c>
      <c r="AT11" s="23">
        <f>_xlfn.COVARIANCE.P('raw-Return'!AO$2:AO$95,'raw-Return'!$S$2:$S$95)/_xlfn.VAR.P('raw-Return'!$S$2:$S$95)</f>
        <v>0.57335268261455075</v>
      </c>
      <c r="AU11" s="23">
        <f>_xlfn.COVARIANCE.P('raw-Return'!AP$2:AP$95,'raw-Return'!$S$2:$S$95)/_xlfn.VAR.P('raw-Return'!$S$2:$S$95)</f>
        <v>0.57335268261455075</v>
      </c>
      <c r="AV11" s="23">
        <f>_xlfn.COVARIANCE.P('raw-Return'!AQ$2:AQ$95,'raw-Return'!$S$2:$S$95)/_xlfn.VAR.P('raw-Return'!$S$2:$S$95)</f>
        <v>-1.3578242093174833</v>
      </c>
      <c r="AW11" s="23">
        <f>_xlfn.COVARIANCE.P('raw-Return'!AR$2:AR$95,'raw-Return'!$S$2:$S$95)/_xlfn.VAR.P('raw-Return'!$S$2:$S$95)</f>
        <v>-0.86230777628248434</v>
      </c>
    </row>
    <row r="12" spans="1:49" x14ac:dyDescent="0.2">
      <c r="A12" s="4" t="s">
        <v>155</v>
      </c>
      <c r="B12" s="4">
        <f>((B8-B2)/B11)*B3</f>
        <v>-3.2108819197937476E-2</v>
      </c>
      <c r="C12" s="4">
        <f t="shared" ref="C12:AW12" si="2">((C8-C2)/C11)*C3</f>
        <v>-5.863713433489353E-2</v>
      </c>
      <c r="D12" s="4">
        <f t="shared" si="2"/>
        <v>-2.8807866292326272E-2</v>
      </c>
      <c r="E12" s="4">
        <f t="shared" si="2"/>
        <v>-8.3265305059490535E-2</v>
      </c>
      <c r="F12" s="4" t="e">
        <f t="shared" si="2"/>
        <v>#REF!</v>
      </c>
      <c r="G12" s="4">
        <f t="shared" si="2"/>
        <v>-0.13822935870452052</v>
      </c>
      <c r="H12" s="4">
        <f t="shared" si="2"/>
        <v>-0.14544369884013081</v>
      </c>
      <c r="I12" s="4">
        <f t="shared" si="2"/>
        <v>-8.1823663103179328E-3</v>
      </c>
      <c r="J12" s="4" t="e">
        <f t="shared" si="2"/>
        <v>#REF!</v>
      </c>
      <c r="K12" s="4">
        <f t="shared" si="2"/>
        <v>3.8324047060642408E-2</v>
      </c>
      <c r="L12" s="4">
        <f t="shared" si="2"/>
        <v>5.0914917907716455E-2</v>
      </c>
      <c r="M12" s="4">
        <f t="shared" si="2"/>
        <v>2.7643524805703396E-2</v>
      </c>
      <c r="N12" s="4">
        <f t="shared" si="2"/>
        <v>3.0624300148834153E-2</v>
      </c>
      <c r="O12" s="4">
        <f t="shared" si="2"/>
        <v>4.6695320742715665E-2</v>
      </c>
      <c r="P12" s="4">
        <f t="shared" si="2"/>
        <v>4.2575395296450783E-2</v>
      </c>
      <c r="Q12" s="4">
        <f t="shared" si="2"/>
        <v>-7.3621181963549373E-2</v>
      </c>
      <c r="R12" s="4">
        <f t="shared" si="2"/>
        <v>-4.0487900013648957E-2</v>
      </c>
      <c r="S12" s="4">
        <f t="shared" si="2"/>
        <v>-0.23707759547336341</v>
      </c>
      <c r="T12" s="4">
        <f t="shared" si="2"/>
        <v>6.4983669452241349E-2</v>
      </c>
      <c r="U12" s="4">
        <f t="shared" si="2"/>
        <v>6.7598958502323531E-2</v>
      </c>
      <c r="V12" s="4">
        <f t="shared" si="2"/>
        <v>-5.5836525083708365E-2</v>
      </c>
      <c r="W12" s="4">
        <f t="shared" si="2"/>
        <v>5.5649119670892387E-2</v>
      </c>
      <c r="X12" s="4">
        <f t="shared" si="2"/>
        <v>-1.4940014187834796E-2</v>
      </c>
      <c r="Y12" s="4">
        <f t="shared" si="2"/>
        <v>-0.3250239447221846</v>
      </c>
      <c r="Z12" s="4">
        <f t="shared" si="2"/>
        <v>8.4190003495563645E-2</v>
      </c>
      <c r="AA12" s="4">
        <f t="shared" si="2"/>
        <v>-8.8855368737670901E-2</v>
      </c>
      <c r="AB12" s="4">
        <f t="shared" si="2"/>
        <v>-7.5432579513676573E-2</v>
      </c>
      <c r="AC12" s="4">
        <f t="shared" si="2"/>
        <v>2.4141261447400688E-3</v>
      </c>
      <c r="AD12" s="4">
        <f t="shared" si="2"/>
        <v>-5.2019960022893497E-4</v>
      </c>
      <c r="AE12" s="4">
        <f t="shared" si="2"/>
        <v>6.7585514196878499E-2</v>
      </c>
      <c r="AF12" s="4">
        <f t="shared" si="2"/>
        <v>0.10077724630257309</v>
      </c>
      <c r="AG12" s="4">
        <f t="shared" si="2"/>
        <v>5.601985255250936E-2</v>
      </c>
      <c r="AH12" s="4">
        <f t="shared" si="2"/>
        <v>0.21880912639326525</v>
      </c>
      <c r="AI12" s="4">
        <f t="shared" si="2"/>
        <v>7.3543010881341311E-2</v>
      </c>
      <c r="AJ12" s="4" t="e">
        <f t="shared" si="2"/>
        <v>#REF!</v>
      </c>
      <c r="AK12" s="4">
        <f t="shared" si="2"/>
        <v>4.6629069546366482E-2</v>
      </c>
      <c r="AL12" s="4">
        <f t="shared" si="2"/>
        <v>6.8523352261410667E-2</v>
      </c>
      <c r="AM12" s="4" t="e">
        <f t="shared" si="2"/>
        <v>#REF!</v>
      </c>
      <c r="AN12" s="4">
        <f t="shared" si="2"/>
        <v>-5.5316377341659666E-2</v>
      </c>
      <c r="AO12" s="4">
        <f t="shared" si="2"/>
        <v>3.3361658797533937E-2</v>
      </c>
      <c r="AP12" s="4">
        <f t="shared" si="2"/>
        <v>-0.24921020086615406</v>
      </c>
      <c r="AQ12" s="4">
        <f t="shared" si="2"/>
        <v>4.7771942634937357E-2</v>
      </c>
      <c r="AR12" s="4">
        <f t="shared" si="2"/>
        <v>4.6510129716490822E-2</v>
      </c>
      <c r="AS12" s="4">
        <f t="shared" si="2"/>
        <v>5.7821064079267827E-2</v>
      </c>
      <c r="AT12" s="4">
        <f t="shared" si="2"/>
        <v>-7.269401145623898E-2</v>
      </c>
      <c r="AU12" s="4">
        <f t="shared" si="2"/>
        <v>-0.11571532532287294</v>
      </c>
      <c r="AV12" s="4">
        <f t="shared" si="2"/>
        <v>4.8861768510397696E-2</v>
      </c>
      <c r="AW12" s="4">
        <f t="shared" si="2"/>
        <v>7.6939689074252762E-2</v>
      </c>
    </row>
    <row r="14" spans="1:49" ht="15" x14ac:dyDescent="0.25">
      <c r="A14" s="19" t="s">
        <v>159</v>
      </c>
      <c r="B14" s="4" t="s">
        <v>149</v>
      </c>
      <c r="C14" s="4" t="s">
        <v>73</v>
      </c>
      <c r="D14" s="4" t="s">
        <v>74</v>
      </c>
      <c r="E14" s="4" t="s">
        <v>75</v>
      </c>
      <c r="F14" s="4" t="s">
        <v>76</v>
      </c>
      <c r="G14" s="4" t="s">
        <v>77</v>
      </c>
      <c r="H14" s="4" t="s">
        <v>78</v>
      </c>
      <c r="I14" s="4" t="s">
        <v>79</v>
      </c>
      <c r="J14" s="4" t="s">
        <v>80</v>
      </c>
      <c r="K14" s="4" t="s">
        <v>81</v>
      </c>
      <c r="L14" s="4" t="s">
        <v>82</v>
      </c>
      <c r="M14" s="4" t="s">
        <v>83</v>
      </c>
      <c r="N14" s="4" t="s">
        <v>84</v>
      </c>
      <c r="O14" s="4" t="s">
        <v>86</v>
      </c>
      <c r="P14" s="4" t="s">
        <v>88</v>
      </c>
      <c r="Q14" s="4" t="s">
        <v>89</v>
      </c>
      <c r="R14" s="4" t="s">
        <v>90</v>
      </c>
      <c r="S14" s="4" t="s">
        <v>91</v>
      </c>
      <c r="T14" s="4" t="s">
        <v>92</v>
      </c>
      <c r="U14" s="4" t="s">
        <v>93</v>
      </c>
      <c r="V14" s="4" t="s">
        <v>94</v>
      </c>
      <c r="W14" s="4" t="s">
        <v>95</v>
      </c>
      <c r="X14" s="4" t="s">
        <v>96</v>
      </c>
      <c r="Y14" s="4" t="s">
        <v>97</v>
      </c>
      <c r="Z14" s="4" t="s">
        <v>98</v>
      </c>
      <c r="AA14" s="4" t="s">
        <v>99</v>
      </c>
      <c r="AB14" s="4" t="s">
        <v>100</v>
      </c>
      <c r="AC14" s="4" t="s">
        <v>101</v>
      </c>
      <c r="AD14" s="4" t="s">
        <v>102</v>
      </c>
      <c r="AE14" s="4" t="s">
        <v>106</v>
      </c>
      <c r="AF14" s="4" t="s">
        <v>108</v>
      </c>
      <c r="AG14" s="4" t="s">
        <v>109</v>
      </c>
      <c r="AH14" s="4" t="s">
        <v>110</v>
      </c>
      <c r="AI14" s="4" t="s">
        <v>111</v>
      </c>
      <c r="AJ14" s="4" t="s">
        <v>112</v>
      </c>
      <c r="AK14" s="4" t="s">
        <v>113</v>
      </c>
      <c r="AL14" s="4" t="s">
        <v>116</v>
      </c>
      <c r="AM14" s="4" t="s">
        <v>117</v>
      </c>
      <c r="AN14" s="4" t="s">
        <v>118</v>
      </c>
      <c r="AO14" s="4" t="s">
        <v>119</v>
      </c>
      <c r="AP14" s="4" t="s">
        <v>120</v>
      </c>
      <c r="AQ14" s="4" t="s">
        <v>121</v>
      </c>
      <c r="AR14" s="4" t="s">
        <v>122</v>
      </c>
      <c r="AS14" s="4" t="s">
        <v>123</v>
      </c>
      <c r="AT14" s="4" t="s">
        <v>124</v>
      </c>
      <c r="AU14" s="4" t="s">
        <v>125</v>
      </c>
      <c r="AV14" s="4" t="s">
        <v>126</v>
      </c>
      <c r="AW14" s="4" t="s">
        <v>127</v>
      </c>
    </row>
    <row r="15" spans="1:49" x14ac:dyDescent="0.2">
      <c r="A15" s="4" t="s">
        <v>151</v>
      </c>
      <c r="B15" s="21">
        <f>B8-$B8</f>
        <v>0</v>
      </c>
      <c r="C15" s="21">
        <f>C8-$B8</f>
        <v>-9.7308878230956269E-3</v>
      </c>
      <c r="D15" s="21">
        <f t="shared" ref="D15:AW15" si="3">D8-$B8</f>
        <v>-8.1776202989128494E-3</v>
      </c>
      <c r="E15" s="21">
        <f t="shared" si="3"/>
        <v>-9.8377366361001393E-3</v>
      </c>
      <c r="F15" s="21">
        <f t="shared" si="3"/>
        <v>-8.0214524703325473E-3</v>
      </c>
      <c r="G15" s="21">
        <f t="shared" si="3"/>
        <v>-1.0022603366188295E-2</v>
      </c>
      <c r="H15" s="21">
        <f t="shared" si="3"/>
        <v>-4.4741260416758105E-3</v>
      </c>
      <c r="I15" s="21">
        <f t="shared" si="3"/>
        <v>-1.5297404418319325E-3</v>
      </c>
      <c r="J15" s="21">
        <f t="shared" si="3"/>
        <v>3.6847790225126771E-6</v>
      </c>
      <c r="K15" s="21">
        <f t="shared" si="3"/>
        <v>-2.766447058785993E-3</v>
      </c>
      <c r="L15" s="21">
        <f t="shared" si="3"/>
        <v>-2.2477212176927087E-3</v>
      </c>
      <c r="M15" s="21">
        <f t="shared" si="3"/>
        <v>-1.6221243345394838E-3</v>
      </c>
      <c r="N15" s="21">
        <f t="shared" si="3"/>
        <v>-2.8221711399674713E-3</v>
      </c>
      <c r="O15" s="21">
        <f t="shared" si="3"/>
        <v>-8.9956557956042092E-3</v>
      </c>
      <c r="P15" s="21">
        <f t="shared" si="3"/>
        <v>-8.0475780284257475E-3</v>
      </c>
      <c r="Q15" s="21">
        <f t="shared" si="3"/>
        <v>-9.6602666350223444E-3</v>
      </c>
      <c r="R15" s="21">
        <f t="shared" si="3"/>
        <v>-8.3358933029243232E-3</v>
      </c>
      <c r="S15" s="21">
        <f t="shared" si="3"/>
        <v>-9.0475768904095151E-3</v>
      </c>
      <c r="T15" s="21">
        <f t="shared" si="3"/>
        <v>-9.2773061123245029E-3</v>
      </c>
      <c r="U15" s="21">
        <f t="shared" si="3"/>
        <v>-8.847245831372726E-3</v>
      </c>
      <c r="V15" s="21">
        <f t="shared" si="3"/>
        <v>-6.8495986902010492E-3</v>
      </c>
      <c r="W15" s="21">
        <f t="shared" si="3"/>
        <v>-9.927843686746398E-3</v>
      </c>
      <c r="X15" s="21">
        <f t="shared" si="3"/>
        <v>-2.6611233368915564E-3</v>
      </c>
      <c r="Y15" s="21">
        <f t="shared" si="3"/>
        <v>-6.3289617949269282E-3</v>
      </c>
      <c r="Z15" s="21">
        <f t="shared" si="3"/>
        <v>-9.4961295874411156E-3</v>
      </c>
      <c r="AA15" s="21">
        <f t="shared" si="3"/>
        <v>-7.5223260886719467E-3</v>
      </c>
      <c r="AB15" s="21">
        <f t="shared" si="3"/>
        <v>-2.6983699494360293E-3</v>
      </c>
      <c r="AC15" s="21">
        <f t="shared" si="3"/>
        <v>9.4509233363682717E-3</v>
      </c>
      <c r="AD15" s="21">
        <f t="shared" si="3"/>
        <v>9.4509233363682717E-3</v>
      </c>
      <c r="AE15" s="21">
        <f t="shared" si="3"/>
        <v>-1.8432038289736483E-3</v>
      </c>
      <c r="AF15" s="21">
        <f t="shared" si="3"/>
        <v>-7.3004957441522439E-3</v>
      </c>
      <c r="AG15" s="21">
        <f t="shared" si="3"/>
        <v>-7.4615713475381998E-3</v>
      </c>
      <c r="AH15" s="21">
        <f t="shared" si="3"/>
        <v>-8.9722683350773533E-3</v>
      </c>
      <c r="AI15" s="21">
        <f t="shared" si="3"/>
        <v>-5.4674537068557507E-3</v>
      </c>
      <c r="AJ15" s="21">
        <f t="shared" si="3"/>
        <v>-1.0327050310856898E-2</v>
      </c>
      <c r="AK15" s="21">
        <f t="shared" si="3"/>
        <v>-1.7718474905232314E-3</v>
      </c>
      <c r="AL15" s="21">
        <f t="shared" si="3"/>
        <v>-1.1728304976963548E-2</v>
      </c>
      <c r="AM15" s="21">
        <f t="shared" si="3"/>
        <v>-2.7661926824134844E-3</v>
      </c>
      <c r="AN15" s="21">
        <f t="shared" si="3"/>
        <v>-3.7362232930143247E-4</v>
      </c>
      <c r="AO15" s="21">
        <f t="shared" si="3"/>
        <v>-1.6682125725640557E-3</v>
      </c>
      <c r="AP15" s="21">
        <f t="shared" si="3"/>
        <v>-9.4202318190415354E-3</v>
      </c>
      <c r="AQ15" s="21">
        <f t="shared" si="3"/>
        <v>-9.4202318190415354E-3</v>
      </c>
      <c r="AR15" s="21">
        <f t="shared" si="3"/>
        <v>-2.1643738929128767E-3</v>
      </c>
      <c r="AS15" s="21">
        <f t="shared" si="3"/>
        <v>-9.0413068066655285E-3</v>
      </c>
      <c r="AT15" s="21">
        <f t="shared" si="3"/>
        <v>-2.7627617038391739E-3</v>
      </c>
      <c r="AU15" s="21">
        <f t="shared" si="3"/>
        <v>-9.8833339200950932E-3</v>
      </c>
      <c r="AV15" s="21">
        <f t="shared" si="3"/>
        <v>-9.8833339200950932E-3</v>
      </c>
      <c r="AW15" s="21">
        <f t="shared" si="3"/>
        <v>-9.8833339200950932E-3</v>
      </c>
    </row>
    <row r="16" spans="1:49" x14ac:dyDescent="0.2">
      <c r="A16" s="4" t="s">
        <v>152</v>
      </c>
      <c r="B16" s="21">
        <f t="shared" ref="B16:C17" si="4">B9-$B9</f>
        <v>0</v>
      </c>
      <c r="C16" s="21">
        <f t="shared" si="4"/>
        <v>2.0335253086220615E-3</v>
      </c>
      <c r="D16" s="21">
        <f t="shared" ref="D16:AW16" si="5">D9-$B9</f>
        <v>1.5179087382147124E-2</v>
      </c>
      <c r="E16" s="21">
        <f t="shared" si="5"/>
        <v>-1.3956964189762843E-3</v>
      </c>
      <c r="F16" s="21" t="e">
        <f t="shared" si="5"/>
        <v>#REF!</v>
      </c>
      <c r="G16" s="21">
        <f t="shared" si="5"/>
        <v>-2.3591322891896461E-3</v>
      </c>
      <c r="H16" s="21">
        <f t="shared" si="5"/>
        <v>-6.1127590641971491E-3</v>
      </c>
      <c r="I16" s="21">
        <f t="shared" si="5"/>
        <v>4.620947171317602E-2</v>
      </c>
      <c r="J16" s="21" t="e">
        <f t="shared" si="5"/>
        <v>#REF!</v>
      </c>
      <c r="K16" s="21">
        <f t="shared" si="5"/>
        <v>2.4037676775659243E-2</v>
      </c>
      <c r="L16" s="21">
        <f t="shared" si="5"/>
        <v>2.7058068789824131E-2</v>
      </c>
      <c r="M16" s="21">
        <f t="shared" si="5"/>
        <v>2.3519849159965394E-2</v>
      </c>
      <c r="N16" s="21">
        <f t="shared" si="5"/>
        <v>3.4451920570679931E-2</v>
      </c>
      <c r="O16" s="21">
        <f t="shared" si="5"/>
        <v>3.6295427876472497E-2</v>
      </c>
      <c r="P16" s="21">
        <f t="shared" si="5"/>
        <v>3.3695948548653029E-2</v>
      </c>
      <c r="Q16" s="21">
        <f t="shared" si="5"/>
        <v>2.5195796767233953E-3</v>
      </c>
      <c r="R16" s="21">
        <f t="shared" si="5"/>
        <v>1.4340711986349432E-2</v>
      </c>
      <c r="S16" s="21">
        <f t="shared" si="5"/>
        <v>-5.0115708692150679E-3</v>
      </c>
      <c r="T16" s="21">
        <f t="shared" si="5"/>
        <v>3.0574368321200602E-2</v>
      </c>
      <c r="U16" s="21">
        <f t="shared" si="5"/>
        <v>3.2036945233988728E-2</v>
      </c>
      <c r="V16" s="21">
        <f t="shared" si="5"/>
        <v>0</v>
      </c>
      <c r="W16" s="21">
        <f t="shared" si="5"/>
        <v>3.5254265783869837E-2</v>
      </c>
      <c r="X16" s="21">
        <f t="shared" si="5"/>
        <v>2.2011698396299514E-2</v>
      </c>
      <c r="Y16" s="21">
        <f t="shared" si="5"/>
        <v>-7.7767454668344537E-3</v>
      </c>
      <c r="Z16" s="21">
        <f t="shared" si="5"/>
        <v>2.2104404438816918E-2</v>
      </c>
      <c r="AA16" s="21">
        <f t="shared" si="5"/>
        <v>2.1749255200190335E-2</v>
      </c>
      <c r="AB16" s="21">
        <f t="shared" si="5"/>
        <v>-3.6842239703535166E-3</v>
      </c>
      <c r="AC16" s="21">
        <f t="shared" si="5"/>
        <v>3.4957356030862766E-2</v>
      </c>
      <c r="AD16" s="21">
        <f t="shared" si="5"/>
        <v>2.7744633084678224E-2</v>
      </c>
      <c r="AE16" s="21">
        <f t="shared" si="5"/>
        <v>0.10619167591167422</v>
      </c>
      <c r="AF16" s="21">
        <f t="shared" si="5"/>
        <v>0.10619167591167422</v>
      </c>
      <c r="AG16" s="21">
        <f t="shared" si="5"/>
        <v>3.1393554514082322E-2</v>
      </c>
      <c r="AH16" s="21">
        <f t="shared" si="5"/>
        <v>2.7516824292813585E-2</v>
      </c>
      <c r="AI16" s="21">
        <f t="shared" si="5"/>
        <v>2.9462875660206628E-2</v>
      </c>
      <c r="AJ16" s="21" t="e">
        <f t="shared" si="5"/>
        <v>#REF!</v>
      </c>
      <c r="AK16" s="21">
        <f t="shared" si="5"/>
        <v>3.2616450273622352E-2</v>
      </c>
      <c r="AL16" s="21">
        <f t="shared" si="5"/>
        <v>2.7241163798178276E-2</v>
      </c>
      <c r="AM16" s="21" t="e">
        <f t="shared" si="5"/>
        <v>#REF!</v>
      </c>
      <c r="AN16" s="21">
        <f t="shared" si="5"/>
        <v>-8.9085117270698219E-4</v>
      </c>
      <c r="AO16" s="21">
        <f t="shared" si="5"/>
        <v>2.5535703958001473E-2</v>
      </c>
      <c r="AP16" s="21">
        <f t="shared" si="5"/>
        <v>-4.3316058879382053E-3</v>
      </c>
      <c r="AQ16" s="21">
        <f t="shared" si="5"/>
        <v>2.3893682832983845E-2</v>
      </c>
      <c r="AR16" s="21">
        <f t="shared" si="5"/>
        <v>2.7622107105062656E-2</v>
      </c>
      <c r="AS16" s="21">
        <f t="shared" si="5"/>
        <v>2.4535463622983717E-2</v>
      </c>
      <c r="AT16" s="21">
        <f t="shared" si="5"/>
        <v>5.8649282337940659E-3</v>
      </c>
      <c r="AU16" s="21">
        <f t="shared" si="5"/>
        <v>5.8649282337940659E-3</v>
      </c>
      <c r="AV16" s="21">
        <f t="shared" si="5"/>
        <v>3.3895643145822871E-2</v>
      </c>
      <c r="AW16" s="21">
        <f t="shared" si="5"/>
        <v>3.1065397521047731E-2</v>
      </c>
    </row>
    <row r="17" spans="1:49" x14ac:dyDescent="0.2">
      <c r="A17" s="4" t="s">
        <v>150</v>
      </c>
      <c r="B17" s="24">
        <f t="shared" si="4"/>
        <v>0</v>
      </c>
      <c r="C17" s="24">
        <f t="shared" si="4"/>
        <v>-2.2840186110342193</v>
      </c>
      <c r="D17" s="24">
        <f t="shared" ref="D17:AW17" si="6">D10-$B10</f>
        <v>0.85423056908146178</v>
      </c>
      <c r="E17" s="24">
        <f t="shared" si="6"/>
        <v>-4.5922489905743351</v>
      </c>
      <c r="F17" s="24" t="e">
        <f t="shared" si="6"/>
        <v>#REF!</v>
      </c>
      <c r="G17" s="24">
        <f t="shared" si="6"/>
        <v>-5.6949772309025661</v>
      </c>
      <c r="H17" s="24">
        <f t="shared" si="6"/>
        <v>-9.5993836451050978</v>
      </c>
      <c r="I17" s="24">
        <f t="shared" si="6"/>
        <v>2.6048856425438411</v>
      </c>
      <c r="J17" s="24" t="e">
        <f t="shared" si="6"/>
        <v>#REF!</v>
      </c>
      <c r="K17" s="24">
        <f t="shared" si="6"/>
        <v>2.0409292633564022</v>
      </c>
      <c r="L17" s="24">
        <f t="shared" si="6"/>
        <v>2.1905700850378893</v>
      </c>
      <c r="M17" s="24">
        <f t="shared" si="6"/>
        <v>2.1407229376279302</v>
      </c>
      <c r="N17" s="24">
        <f t="shared" si="6"/>
        <v>2.3263644715459959</v>
      </c>
      <c r="O17" s="24">
        <f t="shared" si="6"/>
        <v>1.9003720237216195</v>
      </c>
      <c r="P17" s="24">
        <f t="shared" si="6"/>
        <v>1.893868759160336</v>
      </c>
      <c r="Q17" s="24">
        <f t="shared" si="6"/>
        <v>-2.0451486195401865</v>
      </c>
      <c r="R17" s="24">
        <f t="shared" si="6"/>
        <v>0.74758076166422338</v>
      </c>
      <c r="S17" s="24">
        <f t="shared" si="6"/>
        <v>-9.946982777851435</v>
      </c>
      <c r="T17" s="24">
        <f t="shared" si="6"/>
        <v>1.6818172362149411</v>
      </c>
      <c r="U17" s="24">
        <f t="shared" si="6"/>
        <v>1.7730150983085811</v>
      </c>
      <c r="V17" s="24">
        <f t="shared" si="6"/>
        <v>-2.4184069088659932</v>
      </c>
      <c r="W17" s="24">
        <f t="shared" si="6"/>
        <v>1.7970127258496966</v>
      </c>
      <c r="X17" s="24">
        <f t="shared" si="6"/>
        <v>1.9739788367878157</v>
      </c>
      <c r="Y17" s="24">
        <f t="shared" si="6"/>
        <v>-23.285064471212877</v>
      </c>
      <c r="Z17" s="24">
        <f t="shared" si="6"/>
        <v>1.2358855984198089</v>
      </c>
      <c r="AA17" s="24">
        <f t="shared" si="6"/>
        <v>1.4296117733031848</v>
      </c>
      <c r="AB17" s="24">
        <f t="shared" si="6"/>
        <v>-3.4934400804853478</v>
      </c>
      <c r="AC17" s="24">
        <f t="shared" si="6"/>
        <v>3.2867133912631661</v>
      </c>
      <c r="AD17" s="24">
        <f t="shared" si="6"/>
        <v>3.2894166243445082</v>
      </c>
      <c r="AE17" s="24">
        <f t="shared" si="6"/>
        <v>2.9408027676439725</v>
      </c>
      <c r="AF17" s="24">
        <f t="shared" si="6"/>
        <v>2.7778361346696805</v>
      </c>
      <c r="AG17" s="24">
        <f t="shared" si="6"/>
        <v>1.8660933103254826</v>
      </c>
      <c r="AH17" s="24">
        <f t="shared" si="6"/>
        <v>1.57982114264329</v>
      </c>
      <c r="AI17" s="24">
        <f t="shared" si="6"/>
        <v>1.9728362414210019</v>
      </c>
      <c r="AJ17" s="24" t="e">
        <f t="shared" si="6"/>
        <v>#REF!</v>
      </c>
      <c r="AK17" s="24">
        <f t="shared" si="6"/>
        <v>2.3711835157147423</v>
      </c>
      <c r="AL17" s="24">
        <f t="shared" si="6"/>
        <v>1.3095601730549351</v>
      </c>
      <c r="AM17" s="24" t="e">
        <f t="shared" si="6"/>
        <v>#REF!</v>
      </c>
      <c r="AN17" s="24">
        <f t="shared" si="6"/>
        <v>-0.4719158246818691</v>
      </c>
      <c r="AO17" s="24">
        <f t="shared" si="6"/>
        <v>2.2007597703737081</v>
      </c>
      <c r="AP17" s="24">
        <f t="shared" si="6"/>
        <v>-8.5421652550554139</v>
      </c>
      <c r="AQ17" s="24">
        <f t="shared" si="6"/>
        <v>1.3518101489981642</v>
      </c>
      <c r="AR17" s="24">
        <f t="shared" si="6"/>
        <v>2.2145874398965999</v>
      </c>
      <c r="AS17" s="24">
        <f t="shared" si="6"/>
        <v>1.4259185990558552</v>
      </c>
      <c r="AT17" s="24">
        <f t="shared" si="6"/>
        <v>0.61387864739324538</v>
      </c>
      <c r="AU17" s="24">
        <f t="shared" si="6"/>
        <v>-0.95961159119158523</v>
      </c>
      <c r="AV17" s="24">
        <f t="shared" si="6"/>
        <v>1.754670903551979</v>
      </c>
      <c r="AW17" s="24">
        <f t="shared" si="6"/>
        <v>1.6495689698900662</v>
      </c>
    </row>
    <row r="19" spans="1:49" ht="15" x14ac:dyDescent="0.25">
      <c r="A19" s="19" t="s">
        <v>162</v>
      </c>
      <c r="B19" s="4" t="s">
        <v>149</v>
      </c>
      <c r="C19" s="4" t="s">
        <v>73</v>
      </c>
      <c r="D19" s="4" t="s">
        <v>74</v>
      </c>
      <c r="E19" s="4" t="s">
        <v>75</v>
      </c>
      <c r="F19" s="4" t="s">
        <v>76</v>
      </c>
      <c r="G19" s="4" t="s">
        <v>77</v>
      </c>
      <c r="H19" s="4" t="s">
        <v>78</v>
      </c>
      <c r="I19" s="4" t="s">
        <v>79</v>
      </c>
      <c r="J19" s="4" t="s">
        <v>80</v>
      </c>
      <c r="K19" s="4" t="s">
        <v>81</v>
      </c>
      <c r="L19" s="4" t="s">
        <v>82</v>
      </c>
      <c r="M19" s="4" t="s">
        <v>83</v>
      </c>
      <c r="N19" s="4" t="s">
        <v>84</v>
      </c>
      <c r="O19" s="4" t="s">
        <v>86</v>
      </c>
      <c r="P19" s="4" t="s">
        <v>88</v>
      </c>
      <c r="Q19" s="4" t="s">
        <v>89</v>
      </c>
      <c r="R19" s="4" t="s">
        <v>90</v>
      </c>
      <c r="S19" s="4" t="s">
        <v>91</v>
      </c>
      <c r="T19" s="4" t="s">
        <v>92</v>
      </c>
      <c r="U19" s="4" t="s">
        <v>93</v>
      </c>
      <c r="V19" s="4" t="s">
        <v>94</v>
      </c>
      <c r="W19" s="4" t="s">
        <v>95</v>
      </c>
      <c r="X19" s="4" t="s">
        <v>96</v>
      </c>
      <c r="Y19" s="4" t="s">
        <v>97</v>
      </c>
      <c r="Z19" s="4" t="s">
        <v>98</v>
      </c>
      <c r="AA19" s="4" t="s">
        <v>99</v>
      </c>
      <c r="AB19" s="4" t="s">
        <v>100</v>
      </c>
      <c r="AC19" s="4" t="s">
        <v>101</v>
      </c>
      <c r="AD19" s="4" t="s">
        <v>102</v>
      </c>
      <c r="AE19" s="4" t="s">
        <v>106</v>
      </c>
      <c r="AF19" s="4" t="s">
        <v>108</v>
      </c>
      <c r="AG19" s="4" t="s">
        <v>109</v>
      </c>
      <c r="AH19" s="4" t="s">
        <v>110</v>
      </c>
      <c r="AI19" s="4" t="s">
        <v>111</v>
      </c>
      <c r="AJ19" s="4" t="s">
        <v>112</v>
      </c>
      <c r="AK19" s="4" t="s">
        <v>113</v>
      </c>
      <c r="AL19" s="4" t="s">
        <v>116</v>
      </c>
      <c r="AM19" s="4" t="s">
        <v>117</v>
      </c>
      <c r="AN19" s="4" t="s">
        <v>118</v>
      </c>
      <c r="AO19" s="4" t="s">
        <v>119</v>
      </c>
      <c r="AP19" s="4" t="s">
        <v>120</v>
      </c>
      <c r="AQ19" s="4" t="s">
        <v>121</v>
      </c>
      <c r="AR19" s="4" t="s">
        <v>122</v>
      </c>
      <c r="AS19" s="4" t="s">
        <v>123</v>
      </c>
      <c r="AT19" s="4" t="s">
        <v>124</v>
      </c>
      <c r="AU19" s="4" t="s">
        <v>125</v>
      </c>
      <c r="AV19" s="4" t="s">
        <v>126</v>
      </c>
      <c r="AW19" s="4" t="s">
        <v>127</v>
      </c>
    </row>
    <row r="20" spans="1:49" x14ac:dyDescent="0.2">
      <c r="A20" s="4" t="s">
        <v>156</v>
      </c>
      <c r="C20" s="22">
        <v>4.2137785753255337E-2</v>
      </c>
      <c r="D20" s="22">
        <v>4.0294786958725216E-2</v>
      </c>
      <c r="E20" s="22">
        <v>4.4849800642427114E-2</v>
      </c>
      <c r="F20" s="22">
        <v>3.8740127687341842E-2</v>
      </c>
      <c r="G20" s="22">
        <v>4.384790199273926E-2</v>
      </c>
      <c r="H20" s="22">
        <v>4.5017335793557774E-2</v>
      </c>
      <c r="I20" s="22">
        <v>4.5451621399489245E-2</v>
      </c>
      <c r="J20" s="22">
        <v>4.8026346961265003E-2</v>
      </c>
      <c r="K20" s="22">
        <v>4.2979150763403424E-2</v>
      </c>
      <c r="L20" s="22">
        <v>3.9712686715927314E-2</v>
      </c>
      <c r="M20" s="22">
        <v>3.5357269308316924E-2</v>
      </c>
      <c r="N20" s="22">
        <v>4.427722054490435E-2</v>
      </c>
      <c r="O20" s="22">
        <v>3.6546706741254466E-2</v>
      </c>
      <c r="P20" s="22">
        <v>4.0231761975178526E-2</v>
      </c>
      <c r="Q20" s="22">
        <v>4.1467799565947483E-2</v>
      </c>
      <c r="R20" s="22">
        <v>4.2449113514324725E-2</v>
      </c>
      <c r="S20" s="22">
        <v>4.3280979879593111E-2</v>
      </c>
      <c r="T20" s="22">
        <v>3.843012292706377E-2</v>
      </c>
      <c r="U20" s="22">
        <v>4.5127629151839904E-2</v>
      </c>
      <c r="V20" s="22">
        <v>2.0812766629929917E-2</v>
      </c>
      <c r="W20" s="22">
        <v>4.5069349791569541E-2</v>
      </c>
      <c r="X20" s="22">
        <v>4.6639847930557567E-2</v>
      </c>
      <c r="Y20" s="22">
        <v>5.092601410484654E-2</v>
      </c>
      <c r="Z20" s="22">
        <v>3.6647063095525817E-2</v>
      </c>
      <c r="AA20" s="22">
        <v>4.1696347009617267E-2</v>
      </c>
      <c r="AB20" s="22">
        <v>5.2224657878177122E-2</v>
      </c>
      <c r="AC20" s="22">
        <v>5.217485998601322E-2</v>
      </c>
      <c r="AD20" s="22">
        <v>5.3362810029663546E-2</v>
      </c>
      <c r="AE20" s="22">
        <v>3.7050260166730971E-2</v>
      </c>
      <c r="AF20" s="22">
        <v>2.8332533714445048E-2</v>
      </c>
      <c r="AG20" s="22">
        <v>2.8342113810750066E-2</v>
      </c>
      <c r="AH20" s="22">
        <v>3.1747705204401358E-2</v>
      </c>
      <c r="AI20" s="22">
        <v>2.3279325850807882E-2</v>
      </c>
      <c r="AJ20" s="22">
        <v>4.6309783930074171E-2</v>
      </c>
      <c r="AK20" s="22">
        <v>1.2616372275481767E-2</v>
      </c>
      <c r="AL20" s="22">
        <v>3.0895070444591395E-2</v>
      </c>
      <c r="AM20" s="22">
        <v>2.9678441296888493E-2</v>
      </c>
      <c r="AN20" s="22">
        <v>4.6531606988200885E-2</v>
      </c>
      <c r="AO20" s="22">
        <v>2.6742373270268387E-2</v>
      </c>
      <c r="AP20" s="22">
        <v>6.1599878290702362E-2</v>
      </c>
      <c r="AQ20" s="22">
        <v>5.8566532883379249E-2</v>
      </c>
      <c r="AR20" s="22">
        <v>5.3617811059197884E-2</v>
      </c>
      <c r="AS20" s="22">
        <v>3.6314268482881149E-2</v>
      </c>
      <c r="AT20" s="22">
        <v>3.5632323615885142E-2</v>
      </c>
      <c r="AU20" s="22">
        <v>3.9716143230521965E-2</v>
      </c>
      <c r="AV20" s="22">
        <v>3.4141652706560319E-2</v>
      </c>
      <c r="AW20" s="22">
        <v>2.783203123848868E-2</v>
      </c>
    </row>
    <row r="21" spans="1:49" x14ac:dyDescent="0.2">
      <c r="A21" s="4" t="s">
        <v>157</v>
      </c>
      <c r="C21" s="4">
        <v>2.1748584099566103E-3</v>
      </c>
      <c r="D21" s="4">
        <v>-3.3220022488032971E-3</v>
      </c>
      <c r="E21" s="4">
        <v>-3.1160035682715631E-3</v>
      </c>
      <c r="F21" s="4">
        <v>-1.5270498631187702E-3</v>
      </c>
      <c r="G21" s="4">
        <v>-4.5184656586007413E-4</v>
      </c>
      <c r="H21" s="4">
        <v>-3.3096909221853538E-3</v>
      </c>
      <c r="I21" s="4">
        <v>-3.8844574319173071E-3</v>
      </c>
      <c r="J21" s="4">
        <v>-3.9103062673862482E-3</v>
      </c>
      <c r="K21" s="4">
        <v>-3.512218137477905E-3</v>
      </c>
      <c r="L21" s="4">
        <v>-2.5618805079117598E-3</v>
      </c>
      <c r="M21" s="4">
        <v>-1.3475481459507147E-3</v>
      </c>
      <c r="N21" s="4">
        <v>-3.4630940324870138E-3</v>
      </c>
      <c r="O21" s="4">
        <v>4.0385781679003249E-3</v>
      </c>
      <c r="P21" s="4">
        <v>5.5641688798777856E-3</v>
      </c>
      <c r="Q21" s="4">
        <v>3.5006583455711843E-3</v>
      </c>
      <c r="R21" s="4">
        <v>4.2546767053447511E-3</v>
      </c>
      <c r="S21" s="4">
        <v>4.3208766850999633E-3</v>
      </c>
      <c r="T21" s="4">
        <v>6.0476398267178882E-3</v>
      </c>
      <c r="U21" s="4">
        <v>3.1226134174264127E-3</v>
      </c>
      <c r="V21" s="4">
        <v>1.7063355830723902E-2</v>
      </c>
      <c r="W21" s="4">
        <v>3.9446378037902661E-3</v>
      </c>
      <c r="X21" s="4">
        <v>2.9700684374923399E-3</v>
      </c>
      <c r="Y21" s="4">
        <v>3.0742905490254296E-3</v>
      </c>
      <c r="Z21" s="4">
        <v>4.5914107365875867E-3</v>
      </c>
      <c r="AA21" s="4">
        <v>3.3100615669919503E-3</v>
      </c>
      <c r="AB21" s="4">
        <v>2.9828118973887732E-3</v>
      </c>
      <c r="AC21" s="4">
        <v>3.6788876389273707E-3</v>
      </c>
      <c r="AD21" s="4">
        <v>2.1971098228513362E-3</v>
      </c>
      <c r="AE21" s="4">
        <v>9.2728033320741332E-4</v>
      </c>
      <c r="AF21" s="4">
        <v>-1.8812256689625141E-3</v>
      </c>
      <c r="AG21" s="4">
        <v>-1.7391440909759954E-3</v>
      </c>
      <c r="AH21" s="4">
        <v>-1.5991204223611171E-3</v>
      </c>
      <c r="AI21" s="4">
        <v>-1.2120931881348471E-3</v>
      </c>
      <c r="AJ21" s="4">
        <v>-2.2396937586398641E-3</v>
      </c>
      <c r="AK21" s="4">
        <v>5.8070997015794595E-4</v>
      </c>
      <c r="AL21" s="4">
        <v>-2.390273994650216E-3</v>
      </c>
      <c r="AM21" s="4">
        <v>-1.9910491985489844E-4</v>
      </c>
      <c r="AN21" s="4">
        <v>6.8278548051878716E-3</v>
      </c>
      <c r="AO21" s="4">
        <v>4.7306242928183513E-3</v>
      </c>
      <c r="AP21" s="4">
        <v>-6.6649975059695039E-3</v>
      </c>
      <c r="AQ21" s="4">
        <v>2.2722616343149797E-3</v>
      </c>
      <c r="AR21" s="4">
        <v>7.4554413286728322E-3</v>
      </c>
      <c r="AS21" s="4">
        <v>4.2357764199644479E-3</v>
      </c>
      <c r="AT21" s="4">
        <v>8.2352333294047914E-3</v>
      </c>
      <c r="AU21" s="4">
        <v>1.1962264621414825E-3</v>
      </c>
      <c r="AV21" s="4">
        <v>1.0747929959690735E-3</v>
      </c>
      <c r="AW21" s="4">
        <v>4.2414781803501835E-3</v>
      </c>
    </row>
    <row r="22" spans="1:49" x14ac:dyDescent="0.2">
      <c r="A22" s="25" t="s">
        <v>163</v>
      </c>
      <c r="C22" s="4">
        <f>C9/SQRT(C4)</f>
        <v>1.2217000293772789E-3</v>
      </c>
      <c r="D22" s="4">
        <f t="shared" ref="D22:AW22" si="7">D9/SQRT(D4)</f>
        <v>2.5775612310420335E-3</v>
      </c>
      <c r="E22" s="4">
        <f t="shared" si="7"/>
        <v>8.6800281457955712E-4</v>
      </c>
      <c r="F22" s="4" t="e">
        <f t="shared" si="7"/>
        <v>#REF!</v>
      </c>
      <c r="G22" s="4">
        <f t="shared" si="7"/>
        <v>9.0370758443840122E-4</v>
      </c>
      <c r="H22" s="4">
        <f t="shared" si="7"/>
        <v>3.8147495135810669E-4</v>
      </c>
      <c r="I22" s="4">
        <f t="shared" si="7"/>
        <v>5.7781009989019494E-3</v>
      </c>
      <c r="J22" s="4" t="e">
        <f t="shared" si="7"/>
        <v>#REF!</v>
      </c>
      <c r="K22" s="4">
        <f t="shared" si="7"/>
        <v>3.4912549622771534E-3</v>
      </c>
      <c r="L22" s="4">
        <f t="shared" si="7"/>
        <v>3.8027846118211589E-3</v>
      </c>
      <c r="M22" s="4">
        <f t="shared" si="7"/>
        <v>3.4378451218045366E-3</v>
      </c>
      <c r="N22" s="4">
        <f t="shared" si="7"/>
        <v>4.5654021936674671E-3</v>
      </c>
      <c r="O22" s="4">
        <f t="shared" si="7"/>
        <v>4.7555454539502445E-3</v>
      </c>
      <c r="P22" s="4">
        <f t="shared" si="7"/>
        <v>4.4874296331578918E-3</v>
      </c>
      <c r="Q22" s="4">
        <f t="shared" si="7"/>
        <v>1.2718327095869399E-3</v>
      </c>
      <c r="R22" s="4">
        <f t="shared" si="7"/>
        <v>2.4910894114853971E-3</v>
      </c>
      <c r="S22" s="4">
        <f t="shared" si="7"/>
        <v>4.9505384140149564E-4</v>
      </c>
      <c r="T22" s="4">
        <f t="shared" si="7"/>
        <v>4.1654632163083119E-3</v>
      </c>
      <c r="U22" s="4">
        <f t="shared" si="7"/>
        <v>4.3163165065220385E-3</v>
      </c>
      <c r="V22" s="4">
        <f t="shared" si="7"/>
        <v>1.0119579085655025E-3</v>
      </c>
      <c r="W22" s="4">
        <f t="shared" si="7"/>
        <v>4.6481577836392793E-3</v>
      </c>
      <c r="X22" s="4">
        <f t="shared" si="7"/>
        <v>3.2822912477838951E-3</v>
      </c>
      <c r="Y22" s="4">
        <f t="shared" si="7"/>
        <v>2.0984785844152119E-4</v>
      </c>
      <c r="Z22" s="4">
        <f t="shared" si="7"/>
        <v>3.2918531459747973E-3</v>
      </c>
      <c r="AA22" s="4">
        <f t="shared" si="7"/>
        <v>5.33470681551003E-3</v>
      </c>
      <c r="AB22" s="4">
        <f t="shared" si="7"/>
        <v>6.3195922066564816E-4</v>
      </c>
      <c r="AC22" s="4">
        <f t="shared" si="7"/>
        <v>4.6175338808919844E-3</v>
      </c>
      <c r="AD22" s="4">
        <f t="shared" si="7"/>
        <v>3.8735983118846789E-3</v>
      </c>
      <c r="AE22" s="4">
        <f t="shared" si="7"/>
        <v>1.1964792979678392E-2</v>
      </c>
      <c r="AF22" s="4">
        <f t="shared" si="7"/>
        <v>1.1964792979678392E-2</v>
      </c>
      <c r="AG22" s="4">
        <f t="shared" si="7"/>
        <v>4.2499558207063177E-3</v>
      </c>
      <c r="AH22" s="4">
        <f t="shared" si="7"/>
        <v>3.8501016290833053E-3</v>
      </c>
      <c r="AI22" s="4">
        <f t="shared" si="7"/>
        <v>4.0508215017473212E-3</v>
      </c>
      <c r="AJ22" s="4" t="e">
        <f t="shared" si="7"/>
        <v>#REF!</v>
      </c>
      <c r="AK22" s="4">
        <f t="shared" si="7"/>
        <v>4.3760878875412556E-3</v>
      </c>
      <c r="AL22" s="4">
        <f t="shared" si="7"/>
        <v>3.8216694199911987E-3</v>
      </c>
      <c r="AM22" s="4" t="e">
        <f t="shared" si="7"/>
        <v>#REF!</v>
      </c>
      <c r="AN22" s="4">
        <f t="shared" si="7"/>
        <v>1.376454510716161E-3</v>
      </c>
      <c r="AO22" s="4">
        <f t="shared" si="7"/>
        <v>3.6457646686112507E-3</v>
      </c>
      <c r="AP22" s="4">
        <f t="shared" si="7"/>
        <v>6.2856355731695426E-4</v>
      </c>
      <c r="AQ22" s="4">
        <f t="shared" si="7"/>
        <v>3.4764031210963559E-3</v>
      </c>
      <c r="AR22" s="4">
        <f t="shared" si="7"/>
        <v>3.8609607220252621E-3</v>
      </c>
      <c r="AS22" s="4">
        <f t="shared" si="7"/>
        <v>3.5425977553210182E-3</v>
      </c>
      <c r="AT22" s="4">
        <f t="shared" si="7"/>
        <v>1.9010214140776443E-3</v>
      </c>
      <c r="AU22" s="4">
        <f t="shared" si="7"/>
        <v>1.9010214140776443E-3</v>
      </c>
      <c r="AV22" s="4">
        <f t="shared" si="7"/>
        <v>4.5080265581862976E-3</v>
      </c>
      <c r="AW22" s="4">
        <f t="shared" si="7"/>
        <v>4.2161090112338906E-3</v>
      </c>
    </row>
    <row r="23" spans="1:49" x14ac:dyDescent="0.2">
      <c r="A23" s="4" t="s">
        <v>164</v>
      </c>
      <c r="C23" s="4">
        <f>(C21/C22)*C3</f>
        <v>6.1667597196234771</v>
      </c>
      <c r="D23" s="4">
        <f t="shared" ref="D23:AW23" si="8">(D21/D22)*D3</f>
        <v>-4.4645897125471974</v>
      </c>
      <c r="E23" s="4">
        <f t="shared" si="8"/>
        <v>-12.435619807123546</v>
      </c>
      <c r="F23" s="4" t="e">
        <f t="shared" si="8"/>
        <v>#REF!</v>
      </c>
      <c r="G23" s="4">
        <f t="shared" si="8"/>
        <v>-1.7320231074114893</v>
      </c>
      <c r="H23" s="4">
        <f t="shared" si="8"/>
        <v>-30.054674961833253</v>
      </c>
      <c r="I23" s="4">
        <f t="shared" si="8"/>
        <v>-2.32881967040655</v>
      </c>
      <c r="J23" s="4" t="e">
        <f t="shared" si="8"/>
        <v>#REF!</v>
      </c>
      <c r="K23" s="4">
        <f t="shared" si="8"/>
        <v>-3.4849017485728604</v>
      </c>
      <c r="L23" s="4">
        <f t="shared" si="8"/>
        <v>-2.3337147146487984</v>
      </c>
      <c r="M23" s="4">
        <f t="shared" si="8"/>
        <v>-1.3578400257931007</v>
      </c>
      <c r="N23" s="4">
        <f t="shared" si="8"/>
        <v>-2.6277005009442944</v>
      </c>
      <c r="O23" s="4">
        <f t="shared" si="8"/>
        <v>2.9418381739286303</v>
      </c>
      <c r="P23" s="4">
        <f t="shared" si="8"/>
        <v>4.2952977493531819</v>
      </c>
      <c r="Q23" s="4">
        <f t="shared" si="8"/>
        <v>9.5347730385681242</v>
      </c>
      <c r="R23" s="4">
        <f t="shared" si="8"/>
        <v>5.9165409233887427</v>
      </c>
      <c r="S23" s="4">
        <f t="shared" si="8"/>
        <v>30.235006077907848</v>
      </c>
      <c r="T23" s="4">
        <f t="shared" si="8"/>
        <v>5.0293659561040842</v>
      </c>
      <c r="U23" s="4">
        <f t="shared" si="8"/>
        <v>2.5060836401623661</v>
      </c>
      <c r="V23" s="4">
        <f t="shared" si="8"/>
        <v>58.410728344097755</v>
      </c>
      <c r="W23" s="4">
        <f t="shared" si="8"/>
        <v>2.9397939621026752</v>
      </c>
      <c r="X23" s="4">
        <f t="shared" si="8"/>
        <v>3.1345843786207115</v>
      </c>
      <c r="Y23" s="4">
        <f t="shared" si="8"/>
        <v>50.749409288108076</v>
      </c>
      <c r="Z23" s="4">
        <f t="shared" si="8"/>
        <v>4.8316594462369302</v>
      </c>
      <c r="AA23" s="4">
        <f t="shared" si="8"/>
        <v>2.1493945247534594</v>
      </c>
      <c r="AB23" s="4">
        <f t="shared" si="8"/>
        <v>16.350364348688462</v>
      </c>
      <c r="AC23" s="4">
        <f t="shared" si="8"/>
        <v>2.7599235740652142</v>
      </c>
      <c r="AD23" s="4">
        <f t="shared" si="8"/>
        <v>1.9648427826454831</v>
      </c>
      <c r="AE23" s="4">
        <f t="shared" si="8"/>
        <v>0.26847044536458142</v>
      </c>
      <c r="AF23" s="4">
        <f t="shared" si="8"/>
        <v>-0.54466106428753402</v>
      </c>
      <c r="AG23" s="4">
        <f t="shared" si="8"/>
        <v>-1.4175610544360857</v>
      </c>
      <c r="AH23" s="4">
        <f t="shared" si="8"/>
        <v>-1.438797250455919</v>
      </c>
      <c r="AI23" s="4">
        <f t="shared" si="8"/>
        <v>-1.0365339398204134</v>
      </c>
      <c r="AJ23" s="4" t="e">
        <f t="shared" si="8"/>
        <v>#REF!</v>
      </c>
      <c r="AK23" s="4">
        <f t="shared" si="8"/>
        <v>0.45968874420412864</v>
      </c>
      <c r="AL23" s="4">
        <f t="shared" si="8"/>
        <v>-2.1666321953897976</v>
      </c>
      <c r="AM23" s="4" t="e">
        <f t="shared" si="8"/>
        <v>#REF!</v>
      </c>
      <c r="AN23" s="4">
        <f t="shared" si="8"/>
        <v>17.183555776406436</v>
      </c>
      <c r="AO23" s="4">
        <f t="shared" si="8"/>
        <v>4.4949042911220722</v>
      </c>
      <c r="AP23" s="4">
        <f t="shared" si="8"/>
        <v>-36.731732784304235</v>
      </c>
      <c r="AQ23" s="4">
        <f t="shared" si="8"/>
        <v>2.2642210708186461</v>
      </c>
      <c r="AR23" s="4">
        <f t="shared" si="8"/>
        <v>6.689113981629192</v>
      </c>
      <c r="AS23" s="4">
        <f t="shared" si="8"/>
        <v>4.1419209718975356</v>
      </c>
      <c r="AT23" s="4">
        <f t="shared" si="8"/>
        <v>15.006503801677972</v>
      </c>
      <c r="AU23" s="4">
        <f t="shared" si="8"/>
        <v>2.1798018627714324</v>
      </c>
      <c r="AV23" s="4">
        <f t="shared" si="8"/>
        <v>0.82590288793088995</v>
      </c>
      <c r="AW23" s="4">
        <f t="shared" si="8"/>
        <v>3.4849458057116443</v>
      </c>
    </row>
  </sheetData>
  <conditionalFormatting sqref="B9:AW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79998168889431442"/>
  </sheetPr>
  <dimension ref="A1:AW48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15" sqref="N15"/>
    </sheetView>
  </sheetViews>
  <sheetFormatPr defaultRowHeight="14.25" x14ac:dyDescent="0.2"/>
  <cols>
    <col min="1" max="1" width="12.5" bestFit="1" customWidth="1"/>
  </cols>
  <sheetData>
    <row r="1" spans="1:49" ht="15" x14ac:dyDescent="0.25">
      <c r="A1" s="28" t="s">
        <v>166</v>
      </c>
      <c r="B1" s="28" t="s">
        <v>73</v>
      </c>
      <c r="C1" s="28" t="s">
        <v>74</v>
      </c>
      <c r="D1" s="28" t="s">
        <v>75</v>
      </c>
      <c r="E1" s="28" t="s">
        <v>76</v>
      </c>
      <c r="F1" s="28" t="s">
        <v>77</v>
      </c>
      <c r="G1" s="28" t="s">
        <v>78</v>
      </c>
      <c r="H1" s="28" t="s">
        <v>79</v>
      </c>
      <c r="I1" s="28" t="s">
        <v>80</v>
      </c>
      <c r="J1" s="28" t="s">
        <v>81</v>
      </c>
      <c r="K1" s="28" t="s">
        <v>82</v>
      </c>
      <c r="L1" s="28" t="s">
        <v>83</v>
      </c>
      <c r="M1" s="28" t="s">
        <v>84</v>
      </c>
      <c r="N1" s="28" t="s">
        <v>86</v>
      </c>
      <c r="O1" s="28" t="s">
        <v>88</v>
      </c>
      <c r="P1" s="28" t="s">
        <v>89</v>
      </c>
      <c r="Q1" s="28" t="s">
        <v>90</v>
      </c>
      <c r="R1" s="28" t="s">
        <v>91</v>
      </c>
      <c r="S1" s="28" t="s">
        <v>92</v>
      </c>
      <c r="T1" s="28" t="s">
        <v>93</v>
      </c>
      <c r="U1" s="28" t="s">
        <v>94</v>
      </c>
      <c r="V1" s="28" t="s">
        <v>95</v>
      </c>
      <c r="W1" s="28" t="s">
        <v>96</v>
      </c>
      <c r="X1" s="28" t="s">
        <v>97</v>
      </c>
      <c r="Y1" s="28" t="s">
        <v>98</v>
      </c>
      <c r="Z1" s="28" t="s">
        <v>99</v>
      </c>
      <c r="AA1" s="28" t="s">
        <v>100</v>
      </c>
      <c r="AB1" s="28" t="s">
        <v>101</v>
      </c>
      <c r="AC1" s="28" t="s">
        <v>102</v>
      </c>
      <c r="AD1" s="28" t="s">
        <v>106</v>
      </c>
      <c r="AE1" s="28" t="s">
        <v>108</v>
      </c>
      <c r="AF1" s="28" t="s">
        <v>109</v>
      </c>
      <c r="AG1" s="28" t="s">
        <v>110</v>
      </c>
      <c r="AH1" s="28" t="s">
        <v>111</v>
      </c>
      <c r="AI1" s="28" t="s">
        <v>112</v>
      </c>
      <c r="AJ1" s="28" t="s">
        <v>113</v>
      </c>
      <c r="AK1" s="28" t="s">
        <v>116</v>
      </c>
      <c r="AL1" s="28" t="s">
        <v>117</v>
      </c>
      <c r="AM1" s="28" t="s">
        <v>118</v>
      </c>
      <c r="AN1" s="28" t="s">
        <v>119</v>
      </c>
      <c r="AO1" s="28" t="s">
        <v>120</v>
      </c>
      <c r="AP1" s="28" t="s">
        <v>121</v>
      </c>
      <c r="AQ1" s="28" t="s">
        <v>122</v>
      </c>
      <c r="AR1" s="28" t="s">
        <v>123</v>
      </c>
      <c r="AS1" s="28" t="s">
        <v>124</v>
      </c>
      <c r="AT1" s="28" t="s">
        <v>125</v>
      </c>
      <c r="AU1" s="28" t="s">
        <v>126</v>
      </c>
      <c r="AV1" s="28" t="s">
        <v>127</v>
      </c>
      <c r="AW1" s="20" t="s">
        <v>181</v>
      </c>
    </row>
    <row r="2" spans="1:49" x14ac:dyDescent="0.2">
      <c r="A2" s="26" t="s">
        <v>73</v>
      </c>
      <c r="B2" s="26">
        <v>1</v>
      </c>
      <c r="C2" s="26">
        <v>0.74836159170515038</v>
      </c>
      <c r="D2" s="26">
        <v>0.79249231853503765</v>
      </c>
      <c r="E2" s="26">
        <v>0.91198370302042508</v>
      </c>
      <c r="F2" s="26">
        <v>0.98105952325830958</v>
      </c>
      <c r="G2" s="26">
        <v>0.64954468114726627</v>
      </c>
      <c r="H2" s="26">
        <v>0.54596180494304214</v>
      </c>
      <c r="I2" s="26">
        <v>0.49382569637611845</v>
      </c>
      <c r="J2" s="26">
        <v>0.80325460870684484</v>
      </c>
      <c r="K2" s="26">
        <v>0.49309789409094856</v>
      </c>
      <c r="L2" s="26">
        <v>0.66609829221997385</v>
      </c>
      <c r="M2" s="26">
        <v>0.24114629335460819</v>
      </c>
      <c r="N2" s="26">
        <v>-0.32152060001824095</v>
      </c>
      <c r="O2" s="26">
        <v>-0.34129493585688808</v>
      </c>
      <c r="P2" s="26">
        <v>-0.31337546172464492</v>
      </c>
      <c r="Q2" s="26">
        <v>-0.41121524703027257</v>
      </c>
      <c r="R2" s="26">
        <v>-0.40277619322390235</v>
      </c>
      <c r="S2" s="26">
        <v>-0.31712639459504832</v>
      </c>
      <c r="T2" s="26">
        <v>-0.46179427341617446</v>
      </c>
      <c r="U2" s="26">
        <v>-9.334267499677236E-2</v>
      </c>
      <c r="V2" s="26">
        <v>-0.41869816877549215</v>
      </c>
      <c r="W2" s="26">
        <v>-0.46004214841525753</v>
      </c>
      <c r="X2" s="26">
        <v>-0.44192470995783678</v>
      </c>
      <c r="Y2" s="26">
        <v>-0.40182749983474664</v>
      </c>
      <c r="Z2" s="26">
        <v>-0.42076639536133553</v>
      </c>
      <c r="AA2" s="26">
        <v>-0.43629545525575653</v>
      </c>
      <c r="AB2" s="26">
        <v>-0.42627612646838126</v>
      </c>
      <c r="AC2" s="26">
        <v>-0.44628186397231967</v>
      </c>
      <c r="AD2" s="26">
        <v>-0.43340948369650734</v>
      </c>
      <c r="AE2" s="26">
        <v>-0.4005404586831996</v>
      </c>
      <c r="AF2" s="26">
        <v>-0.41171406499127178</v>
      </c>
      <c r="AG2" s="26">
        <v>-0.39518752501143428</v>
      </c>
      <c r="AH2" s="26">
        <v>-0.40563219016357344</v>
      </c>
      <c r="AI2" s="26">
        <v>-0.30308646665896072</v>
      </c>
      <c r="AJ2" s="26">
        <v>-0.17511800662423621</v>
      </c>
      <c r="AK2" s="26">
        <v>-0.39698403795200826</v>
      </c>
      <c r="AL2" s="26">
        <v>-0.15797238279942241</v>
      </c>
      <c r="AM2" s="26">
        <v>-0.40071932681098243</v>
      </c>
      <c r="AN2" s="26">
        <v>-1.8253834554355631E-2</v>
      </c>
      <c r="AO2" s="26">
        <v>-0.43871179596879262</v>
      </c>
      <c r="AP2" s="26">
        <v>-0.56834646470597283</v>
      </c>
      <c r="AQ2" s="26">
        <v>-0.21051139840075947</v>
      </c>
      <c r="AR2" s="26">
        <v>-0.4571866747168325</v>
      </c>
      <c r="AS2" s="26">
        <v>-0.33539573948227758</v>
      </c>
      <c r="AT2" s="26">
        <v>-0.46099466892459212</v>
      </c>
      <c r="AU2" s="26">
        <v>9.2943753344528118E-2</v>
      </c>
      <c r="AV2" s="26">
        <v>0.32788265659126808</v>
      </c>
      <c r="AW2">
        <f>SUM(B2:AV2)</f>
        <v>-3.3366698517547277</v>
      </c>
    </row>
    <row r="3" spans="1:49" x14ac:dyDescent="0.2">
      <c r="A3" s="26" t="s">
        <v>74</v>
      </c>
      <c r="B3" s="26">
        <v>0.74836159170515038</v>
      </c>
      <c r="C3" s="26">
        <v>1</v>
      </c>
      <c r="D3" s="26">
        <v>0.93319641602953574</v>
      </c>
      <c r="E3" s="26">
        <v>0.86855936505774445</v>
      </c>
      <c r="F3" s="26">
        <v>0.79536400436552923</v>
      </c>
      <c r="G3" s="26">
        <v>0.88556123873852355</v>
      </c>
      <c r="H3" s="26">
        <v>0.90426071585711043</v>
      </c>
      <c r="I3" s="26">
        <v>0.73331216102577357</v>
      </c>
      <c r="J3" s="26">
        <v>0.96632133843798507</v>
      </c>
      <c r="K3" s="26">
        <v>0.865308305028609</v>
      </c>
      <c r="L3" s="26">
        <v>0.75236592754150533</v>
      </c>
      <c r="M3" s="26">
        <v>0.72952712197340386</v>
      </c>
      <c r="N3" s="26">
        <v>-8.460567256865896E-2</v>
      </c>
      <c r="O3" s="26">
        <v>-4.4709586133821491E-2</v>
      </c>
      <c r="P3" s="26">
        <v>-9.6536328453941431E-2</v>
      </c>
      <c r="Q3" s="26">
        <v>-0.13229680199779112</v>
      </c>
      <c r="R3" s="26">
        <v>-0.13376642469917713</v>
      </c>
      <c r="S3" s="26">
        <v>-2.5385424259170616E-2</v>
      </c>
      <c r="T3" s="26">
        <v>-0.22305601412858547</v>
      </c>
      <c r="U3" s="26">
        <v>2.82171806406907E-2</v>
      </c>
      <c r="V3" s="26">
        <v>-0.14051886296657204</v>
      </c>
      <c r="W3" s="26">
        <v>-0.21964779055484904</v>
      </c>
      <c r="X3" s="26">
        <v>-0.15362562985494127</v>
      </c>
      <c r="Y3" s="26">
        <v>-8.4749062784293894E-2</v>
      </c>
      <c r="Z3" s="26">
        <v>-0.1464969396487345</v>
      </c>
      <c r="AA3" s="26">
        <v>-0.1557854828914905</v>
      </c>
      <c r="AB3" s="26">
        <v>-0.14848956399413041</v>
      </c>
      <c r="AC3" s="26">
        <v>-0.16687018381155047</v>
      </c>
      <c r="AD3" s="26">
        <v>-7.1038828307448204E-2</v>
      </c>
      <c r="AE3" s="26">
        <v>2.9088432375239926E-3</v>
      </c>
      <c r="AF3" s="26">
        <v>2.5228289617515554E-2</v>
      </c>
      <c r="AG3" s="26">
        <v>-2.1128182546608892E-2</v>
      </c>
      <c r="AH3" s="26">
        <v>-4.7216304362535773E-2</v>
      </c>
      <c r="AI3" s="26">
        <v>3.1388165332659396E-2</v>
      </c>
      <c r="AJ3" s="26">
        <v>0.26970109152165289</v>
      </c>
      <c r="AK3" s="26">
        <v>1.3705877843891726E-2</v>
      </c>
      <c r="AL3" s="26">
        <v>4.1905006053822927E-2</v>
      </c>
      <c r="AM3" s="26">
        <v>-0.14435238552842214</v>
      </c>
      <c r="AN3" s="26">
        <v>0.17126293270684079</v>
      </c>
      <c r="AO3" s="26">
        <v>-0.18685844406261018</v>
      </c>
      <c r="AP3" s="26">
        <v>-0.32772611467665741</v>
      </c>
      <c r="AQ3" s="26">
        <v>-2.6751138657565777E-2</v>
      </c>
      <c r="AR3" s="26">
        <v>-0.20486186176704649</v>
      </c>
      <c r="AS3" s="26">
        <v>-8.3473569308026976E-2</v>
      </c>
      <c r="AT3" s="26">
        <v>-0.13204748444840939</v>
      </c>
      <c r="AU3" s="26">
        <v>0.38955480347495619</v>
      </c>
      <c r="AV3" s="26">
        <v>0.44518798928875047</v>
      </c>
      <c r="AW3">
        <f t="shared" ref="AW3:AW48" si="0">SUM(B3:AV3)</f>
        <v>8.3992042830661369</v>
      </c>
    </row>
    <row r="4" spans="1:49" x14ac:dyDescent="0.2">
      <c r="A4" s="26" t="s">
        <v>75</v>
      </c>
      <c r="B4" s="26">
        <v>0.79249231853503765</v>
      </c>
      <c r="C4" s="26">
        <v>0.93319641602953574</v>
      </c>
      <c r="D4" s="26">
        <v>1</v>
      </c>
      <c r="E4" s="26">
        <v>0.81673722211868327</v>
      </c>
      <c r="F4" s="26">
        <v>0.8451387915997749</v>
      </c>
      <c r="G4" s="26">
        <v>0.88187420779333547</v>
      </c>
      <c r="H4" s="26">
        <v>0.8773276248882298</v>
      </c>
      <c r="I4" s="26">
        <v>0.8065044210894321</v>
      </c>
      <c r="J4" s="26">
        <v>0.92775108979765075</v>
      </c>
      <c r="K4" s="26">
        <v>0.7210419322326227</v>
      </c>
      <c r="L4" s="26">
        <v>0.61106728591157677</v>
      </c>
      <c r="M4" s="26">
        <v>0.57087063726749643</v>
      </c>
      <c r="N4" s="26">
        <v>-0.23382289527515812</v>
      </c>
      <c r="O4" s="26">
        <v>-0.22660256812718654</v>
      </c>
      <c r="P4" s="26">
        <v>-0.25830353263825478</v>
      </c>
      <c r="Q4" s="26">
        <v>-0.31739169925098354</v>
      </c>
      <c r="R4" s="26">
        <v>-0.31684330387025844</v>
      </c>
      <c r="S4" s="26">
        <v>-0.21000583061213182</v>
      </c>
      <c r="T4" s="26">
        <v>-0.40093517793535272</v>
      </c>
      <c r="U4" s="26">
        <v>-4.832801771285921E-2</v>
      </c>
      <c r="V4" s="26">
        <v>-0.32155739339735895</v>
      </c>
      <c r="W4" s="26">
        <v>-0.39624087451268308</v>
      </c>
      <c r="X4" s="26">
        <v>-0.31924472918151936</v>
      </c>
      <c r="Y4" s="26">
        <v>-0.26017982427930447</v>
      </c>
      <c r="Z4" s="26">
        <v>-0.32754632898530522</v>
      </c>
      <c r="AA4" s="26">
        <v>-0.31817475368287929</v>
      </c>
      <c r="AB4" s="26">
        <v>-0.30379435842560015</v>
      </c>
      <c r="AC4" s="26">
        <v>-0.33293908349250168</v>
      </c>
      <c r="AD4" s="26">
        <v>-0.27724050504379577</v>
      </c>
      <c r="AE4" s="26">
        <v>-0.20864453786115628</v>
      </c>
      <c r="AF4" s="26">
        <v>-0.18105585380549175</v>
      </c>
      <c r="AG4" s="26">
        <v>-0.22515500536906521</v>
      </c>
      <c r="AH4" s="26">
        <v>-0.23632949271354048</v>
      </c>
      <c r="AI4" s="26">
        <v>-0.16733162976739732</v>
      </c>
      <c r="AJ4" s="26">
        <v>6.0100779789306349E-2</v>
      </c>
      <c r="AK4" s="26">
        <v>-0.19378915722366061</v>
      </c>
      <c r="AL4" s="26">
        <v>-9.1223364970928145E-2</v>
      </c>
      <c r="AM4" s="26">
        <v>-0.30472311719067707</v>
      </c>
      <c r="AN4" s="26">
        <v>7.3309627361738183E-2</v>
      </c>
      <c r="AO4" s="26">
        <v>-0.36181485825344856</v>
      </c>
      <c r="AP4" s="26">
        <v>-0.50296403470687523</v>
      </c>
      <c r="AQ4" s="26">
        <v>-0.14591070049097477</v>
      </c>
      <c r="AR4" s="26">
        <v>-0.3673806691863481</v>
      </c>
      <c r="AS4" s="26">
        <v>-0.26315026196147451</v>
      </c>
      <c r="AT4" s="26">
        <v>-0.32595477776481524</v>
      </c>
      <c r="AU4" s="26">
        <v>0.24890879970301447</v>
      </c>
      <c r="AV4" s="26">
        <v>0.41571483946211685</v>
      </c>
      <c r="AW4">
        <f t="shared" si="0"/>
        <v>2.1374576558905654</v>
      </c>
    </row>
    <row r="5" spans="1:49" x14ac:dyDescent="0.2">
      <c r="A5" s="26" t="s">
        <v>76</v>
      </c>
      <c r="B5" s="26">
        <v>0.91198370302042508</v>
      </c>
      <c r="C5" s="26">
        <v>0.86855936505774445</v>
      </c>
      <c r="D5" s="26">
        <v>0.81673722211868327</v>
      </c>
      <c r="E5" s="26">
        <v>1</v>
      </c>
      <c r="F5" s="26">
        <v>0.93794714120777034</v>
      </c>
      <c r="G5" s="26">
        <v>0.74514583565567782</v>
      </c>
      <c r="H5" s="26">
        <v>0.66651873609134915</v>
      </c>
      <c r="I5" s="26">
        <v>0.55099912731490641</v>
      </c>
      <c r="J5" s="26">
        <v>0.92077056689025061</v>
      </c>
      <c r="K5" s="26">
        <v>0.75518866385797412</v>
      </c>
      <c r="L5" s="26">
        <v>0.88633961241910997</v>
      </c>
      <c r="M5" s="26">
        <v>0.52730047311034645</v>
      </c>
      <c r="N5" s="26">
        <v>-0.14878001599491503</v>
      </c>
      <c r="O5" s="26">
        <v>-0.14116081452740323</v>
      </c>
      <c r="P5" s="26">
        <v>-0.13588065614472422</v>
      </c>
      <c r="Q5" s="26">
        <v>-0.20480163987895422</v>
      </c>
      <c r="R5" s="26">
        <v>-0.20463259335908338</v>
      </c>
      <c r="S5" s="26">
        <v>-0.11792338532950812</v>
      </c>
      <c r="T5" s="26">
        <v>-0.26842222449530317</v>
      </c>
      <c r="U5" s="26">
        <v>-5.2261265367889234E-3</v>
      </c>
      <c r="V5" s="26">
        <v>-0.2123939863561824</v>
      </c>
      <c r="W5" s="26">
        <v>-0.26485147170092765</v>
      </c>
      <c r="X5" s="26">
        <v>-0.23634259202091668</v>
      </c>
      <c r="Y5" s="26">
        <v>-0.18620967259652776</v>
      </c>
      <c r="Z5" s="26">
        <v>-0.21858682504330509</v>
      </c>
      <c r="AA5" s="26">
        <v>-0.23422590266543955</v>
      </c>
      <c r="AB5" s="26">
        <v>-0.23048790794509577</v>
      </c>
      <c r="AC5" s="26">
        <v>-0.24396369296478571</v>
      </c>
      <c r="AD5" s="26">
        <v>-0.18633465004712238</v>
      </c>
      <c r="AE5" s="26">
        <v>-0.13325189809673146</v>
      </c>
      <c r="AF5" s="26">
        <v>-0.14061530882262283</v>
      </c>
      <c r="AG5" s="26">
        <v>-0.14843367724234974</v>
      </c>
      <c r="AH5" s="26">
        <v>-0.16958411091530512</v>
      </c>
      <c r="AI5" s="26">
        <v>-8.7976513765243625E-2</v>
      </c>
      <c r="AJ5" s="26">
        <v>9.6208065252144787E-2</v>
      </c>
      <c r="AK5" s="26">
        <v>-0.12882372900519781</v>
      </c>
      <c r="AL5" s="26">
        <v>-2.557749358569035E-2</v>
      </c>
      <c r="AM5" s="26">
        <v>-0.23561746702007208</v>
      </c>
      <c r="AN5" s="26">
        <v>8.8575719354609755E-2</v>
      </c>
      <c r="AO5" s="26">
        <v>-0.23398978817637262</v>
      </c>
      <c r="AP5" s="26">
        <v>-0.37047847286725827</v>
      </c>
      <c r="AQ5" s="26">
        <v>-8.1731579962184109E-2</v>
      </c>
      <c r="AR5" s="26">
        <v>-0.26397977571324777</v>
      </c>
      <c r="AS5" s="26">
        <v>-0.17706064197899146</v>
      </c>
      <c r="AT5" s="26">
        <v>-0.23421600313602073</v>
      </c>
      <c r="AU5" s="26">
        <v>0.33486309324706348</v>
      </c>
      <c r="AV5" s="26">
        <v>0.43257344919635576</v>
      </c>
      <c r="AW5">
        <f t="shared" si="0"/>
        <v>4.868150155900139</v>
      </c>
    </row>
    <row r="6" spans="1:49" x14ac:dyDescent="0.2">
      <c r="A6" s="26" t="s">
        <v>77</v>
      </c>
      <c r="B6" s="26">
        <v>0.98105952325830958</v>
      </c>
      <c r="C6" s="26">
        <v>0.79536400436552923</v>
      </c>
      <c r="D6" s="26">
        <v>0.8451387915997749</v>
      </c>
      <c r="E6" s="26">
        <v>0.93794714120777034</v>
      </c>
      <c r="F6" s="26">
        <v>1</v>
      </c>
      <c r="G6" s="26">
        <v>0.71534904696283264</v>
      </c>
      <c r="H6" s="26">
        <v>0.61145536247366128</v>
      </c>
      <c r="I6" s="26">
        <v>0.56629594088803292</v>
      </c>
      <c r="J6" s="26">
        <v>0.86385483996561574</v>
      </c>
      <c r="K6" s="26">
        <v>0.57373912008880568</v>
      </c>
      <c r="L6" s="26">
        <v>0.70597085911386503</v>
      </c>
      <c r="M6" s="26">
        <v>0.32742987104256838</v>
      </c>
      <c r="N6" s="26">
        <v>-0.31991815446157623</v>
      </c>
      <c r="O6" s="26">
        <v>-0.33549685738107032</v>
      </c>
      <c r="P6" s="26">
        <v>-0.32264816262647356</v>
      </c>
      <c r="Q6" s="26">
        <v>-0.40875206969502453</v>
      </c>
      <c r="R6" s="26">
        <v>-0.40476671844467393</v>
      </c>
      <c r="S6" s="26">
        <v>-0.31641921373511173</v>
      </c>
      <c r="T6" s="26">
        <v>-0.46462920427227117</v>
      </c>
      <c r="U6" s="26">
        <v>-0.10136156665316885</v>
      </c>
      <c r="V6" s="26">
        <v>-0.41334653277593414</v>
      </c>
      <c r="W6" s="26">
        <v>-0.46138984395169708</v>
      </c>
      <c r="X6" s="26">
        <v>-0.42293713124665089</v>
      </c>
      <c r="Y6" s="26">
        <v>-0.37719352551707491</v>
      </c>
      <c r="Z6" s="26">
        <v>-0.41849224734207047</v>
      </c>
      <c r="AA6" s="26">
        <v>-0.41855788397017019</v>
      </c>
      <c r="AB6" s="26">
        <v>-0.40403637145780669</v>
      </c>
      <c r="AC6" s="26">
        <v>-0.43315718123682256</v>
      </c>
      <c r="AD6" s="26">
        <v>-0.41258037541692971</v>
      </c>
      <c r="AE6" s="26">
        <v>-0.3662278809126947</v>
      </c>
      <c r="AF6" s="26">
        <v>-0.36522645658412861</v>
      </c>
      <c r="AG6" s="26">
        <v>-0.37003523525562559</v>
      </c>
      <c r="AH6" s="26">
        <v>-0.38250381256234223</v>
      </c>
      <c r="AI6" s="26">
        <v>-0.28165544223165551</v>
      </c>
      <c r="AJ6" s="26">
        <v>-0.12340078323067162</v>
      </c>
      <c r="AK6" s="26">
        <v>-0.36037058145142686</v>
      </c>
      <c r="AL6" s="26">
        <v>-0.15319115152166357</v>
      </c>
      <c r="AM6" s="26">
        <v>-0.40572116459502544</v>
      </c>
      <c r="AN6" s="26">
        <v>-2.6760088311792621E-2</v>
      </c>
      <c r="AO6" s="26">
        <v>-0.43568607260028835</v>
      </c>
      <c r="AP6" s="26">
        <v>-0.56763863557552985</v>
      </c>
      <c r="AQ6" s="26">
        <v>-0.20999259487903668</v>
      </c>
      <c r="AR6" s="26">
        <v>-0.45086365617908331</v>
      </c>
      <c r="AS6" s="26">
        <v>-0.35101662153581642</v>
      </c>
      <c r="AT6" s="26">
        <v>-0.43897825682554442</v>
      </c>
      <c r="AU6" s="26">
        <v>0.16125967518990614</v>
      </c>
      <c r="AV6" s="26">
        <v>0.3647787589230439</v>
      </c>
      <c r="AW6">
        <f t="shared" si="0"/>
        <v>-2.2753085393571397</v>
      </c>
    </row>
    <row r="7" spans="1:49" x14ac:dyDescent="0.2">
      <c r="A7" s="26" t="s">
        <v>78</v>
      </c>
      <c r="B7" s="26">
        <v>0.64954468114726627</v>
      </c>
      <c r="C7" s="26">
        <v>0.88556123873852355</v>
      </c>
      <c r="D7" s="26">
        <v>0.88187420779333547</v>
      </c>
      <c r="E7" s="26">
        <v>0.74514583565567782</v>
      </c>
      <c r="F7" s="26">
        <v>0.71534904696283264</v>
      </c>
      <c r="G7" s="26">
        <v>1</v>
      </c>
      <c r="H7" s="26">
        <v>0.83527726691199977</v>
      </c>
      <c r="I7" s="26">
        <v>0.74560748675749844</v>
      </c>
      <c r="J7" s="26">
        <v>0.89663094451461267</v>
      </c>
      <c r="K7" s="26">
        <v>0.75145683006314534</v>
      </c>
      <c r="L7" s="26">
        <v>0.61401801457760286</v>
      </c>
      <c r="M7" s="26">
        <v>0.65585888959142846</v>
      </c>
      <c r="N7" s="26">
        <v>-5.2475066644754445E-2</v>
      </c>
      <c r="O7" s="26">
        <v>-1.9801089197396333E-2</v>
      </c>
      <c r="P7" s="26">
        <v>-7.1992600119942268E-2</v>
      </c>
      <c r="Q7" s="26">
        <v>-0.10690325165329238</v>
      </c>
      <c r="R7" s="26">
        <v>-0.11088219683868972</v>
      </c>
      <c r="S7" s="26">
        <v>-8.2835934313155966E-3</v>
      </c>
      <c r="T7" s="26">
        <v>-0.19913576212515574</v>
      </c>
      <c r="U7" s="26">
        <v>4.6146481344520734E-2</v>
      </c>
      <c r="V7" s="26">
        <v>-0.11320647668663293</v>
      </c>
      <c r="W7" s="26">
        <v>-0.194681657720471</v>
      </c>
      <c r="X7" s="26">
        <v>-0.12385866380069632</v>
      </c>
      <c r="Y7" s="26">
        <v>-5.0991452743764029E-2</v>
      </c>
      <c r="Z7" s="26">
        <v>-0.12576711729598453</v>
      </c>
      <c r="AA7" s="26">
        <v>-0.12544832056355384</v>
      </c>
      <c r="AB7" s="26">
        <v>-0.10952158410727689</v>
      </c>
      <c r="AC7" s="26">
        <v>-0.14465581423263929</v>
      </c>
      <c r="AD7" s="26">
        <v>-4.0960867168149159E-2</v>
      </c>
      <c r="AE7" s="26">
        <v>3.1190373217814024E-2</v>
      </c>
      <c r="AF7" s="26">
        <v>5.4438194603721894E-2</v>
      </c>
      <c r="AG7" s="26">
        <v>2.2402499966147814E-2</v>
      </c>
      <c r="AH7" s="26">
        <v>9.1357203946297698E-3</v>
      </c>
      <c r="AI7" s="26">
        <v>4.2338640012799175E-2</v>
      </c>
      <c r="AJ7" s="26">
        <v>0.2516959858138843</v>
      </c>
      <c r="AK7" s="26">
        <v>3.7687372800537834E-2</v>
      </c>
      <c r="AL7" s="26">
        <v>3.6250624463072229E-2</v>
      </c>
      <c r="AM7" s="26">
        <v>-0.1234722227472668</v>
      </c>
      <c r="AN7" s="26">
        <v>0.1628348166040052</v>
      </c>
      <c r="AO7" s="26">
        <v>-0.19181184420580402</v>
      </c>
      <c r="AP7" s="26">
        <v>-0.30552134722549007</v>
      </c>
      <c r="AQ7" s="26">
        <v>-9.6761995956662795E-4</v>
      </c>
      <c r="AR7" s="26">
        <v>-0.17356007282776933</v>
      </c>
      <c r="AS7" s="26">
        <v>-5.9151392551100565E-2</v>
      </c>
      <c r="AT7" s="26">
        <v>-0.12705003795362008</v>
      </c>
      <c r="AU7" s="26">
        <v>0.37114115232124834</v>
      </c>
      <c r="AV7" s="26">
        <v>0.44921018886134872</v>
      </c>
      <c r="AW7">
        <f t="shared" si="0"/>
        <v>8.3106964413173188</v>
      </c>
    </row>
    <row r="8" spans="1:49" x14ac:dyDescent="0.2">
      <c r="A8" s="26" t="s">
        <v>79</v>
      </c>
      <c r="B8" s="26">
        <v>0.54596180494304214</v>
      </c>
      <c r="C8" s="26">
        <v>0.90426071585711043</v>
      </c>
      <c r="D8" s="26">
        <v>0.8773276248882298</v>
      </c>
      <c r="E8" s="26">
        <v>0.66651873609134915</v>
      </c>
      <c r="F8" s="26">
        <v>0.61145536247366128</v>
      </c>
      <c r="G8" s="26">
        <v>0.83527726691199977</v>
      </c>
      <c r="H8" s="26">
        <v>1</v>
      </c>
      <c r="I8" s="26">
        <v>0.85312512089979187</v>
      </c>
      <c r="J8" s="26">
        <v>0.86841053624382047</v>
      </c>
      <c r="K8" s="26">
        <v>0.76430016853039839</v>
      </c>
      <c r="L8" s="26">
        <v>0.55275997800841492</v>
      </c>
      <c r="M8" s="26">
        <v>0.74687097733287067</v>
      </c>
      <c r="N8" s="26">
        <v>-6.498166147703334E-2</v>
      </c>
      <c r="O8" s="26">
        <v>-2.0474644849057561E-2</v>
      </c>
      <c r="P8" s="26">
        <v>-0.10661333151421987</v>
      </c>
      <c r="Q8" s="26">
        <v>-0.10654200309849622</v>
      </c>
      <c r="R8" s="26">
        <v>-0.11450955295767805</v>
      </c>
      <c r="S8" s="26">
        <v>-3.3942189981939551E-3</v>
      </c>
      <c r="T8" s="26">
        <v>-0.206773652387686</v>
      </c>
      <c r="U8" s="26">
        <v>4.7891402611456232E-3</v>
      </c>
      <c r="V8" s="26">
        <v>-0.11208340105189202</v>
      </c>
      <c r="W8" s="26">
        <v>-0.20088022559409016</v>
      </c>
      <c r="X8" s="26">
        <v>-9.5734325150598931E-2</v>
      </c>
      <c r="Y8" s="26">
        <v>-1.7132242969492451E-2</v>
      </c>
      <c r="Z8" s="26">
        <v>-0.11012166656017285</v>
      </c>
      <c r="AA8" s="26">
        <v>-9.8990410935700407E-2</v>
      </c>
      <c r="AB8" s="26">
        <v>-8.6053659371414862E-2</v>
      </c>
      <c r="AC8" s="26">
        <v>-0.11803286344597408</v>
      </c>
      <c r="AD8" s="26">
        <v>-1.3642125220905419E-2</v>
      </c>
      <c r="AE8" s="26">
        <v>7.5778948133907467E-2</v>
      </c>
      <c r="AF8" s="26">
        <v>9.9716486563071666E-2</v>
      </c>
      <c r="AG8" s="26">
        <v>4.9519530357381165E-2</v>
      </c>
      <c r="AH8" s="26">
        <v>3.8821550375661866E-2</v>
      </c>
      <c r="AI8" s="26">
        <v>7.2045760915233278E-2</v>
      </c>
      <c r="AJ8" s="26">
        <v>0.31680719052300005</v>
      </c>
      <c r="AK8" s="26">
        <v>9.0512691311005186E-2</v>
      </c>
      <c r="AL8" s="26">
        <v>5.0427987832787742E-2</v>
      </c>
      <c r="AM8" s="26">
        <v>-9.0710397028715931E-2</v>
      </c>
      <c r="AN8" s="26">
        <v>0.15660550736796308</v>
      </c>
      <c r="AO8" s="26">
        <v>-0.1679098157602204</v>
      </c>
      <c r="AP8" s="26">
        <v>-0.29879125833293552</v>
      </c>
      <c r="AQ8" s="26">
        <v>7.5249498257154539E-3</v>
      </c>
      <c r="AR8" s="26">
        <v>-0.15532295595165921</v>
      </c>
      <c r="AS8" s="26">
        <v>-5.6684301984779251E-2</v>
      </c>
      <c r="AT8" s="26">
        <v>-8.2271506084401633E-2</v>
      </c>
      <c r="AU8" s="26">
        <v>0.36270722446753556</v>
      </c>
      <c r="AV8" s="26">
        <v>0.39676666108924019</v>
      </c>
      <c r="AW8">
        <f t="shared" si="0"/>
        <v>8.6206417004790215</v>
      </c>
    </row>
    <row r="9" spans="1:49" x14ac:dyDescent="0.2">
      <c r="A9" s="26" t="s">
        <v>80</v>
      </c>
      <c r="B9" s="26">
        <v>0.49382569637611845</v>
      </c>
      <c r="C9" s="26">
        <v>0.73331216102577357</v>
      </c>
      <c r="D9" s="26">
        <v>0.8065044210894321</v>
      </c>
      <c r="E9" s="26">
        <v>0.55099912731490641</v>
      </c>
      <c r="F9" s="26">
        <v>0.56629594088803292</v>
      </c>
      <c r="G9" s="26">
        <v>0.74560748675749844</v>
      </c>
      <c r="H9" s="26">
        <v>0.85312512089979187</v>
      </c>
      <c r="I9" s="26">
        <v>1</v>
      </c>
      <c r="J9" s="26">
        <v>0.75113695528424052</v>
      </c>
      <c r="K9" s="26">
        <v>0.57408027372297943</v>
      </c>
      <c r="L9" s="26">
        <v>0.41425400965029707</v>
      </c>
      <c r="M9" s="26">
        <v>0.57525779478353845</v>
      </c>
      <c r="N9" s="26">
        <v>-0.16378210352131795</v>
      </c>
      <c r="O9" s="26">
        <v>-0.1530356853979534</v>
      </c>
      <c r="P9" s="26">
        <v>-0.17488799759186199</v>
      </c>
      <c r="Q9" s="26">
        <v>-0.22335197162497167</v>
      </c>
      <c r="R9" s="26">
        <v>-0.22727861941652402</v>
      </c>
      <c r="S9" s="26">
        <v>-0.14600236006930517</v>
      </c>
      <c r="T9" s="26">
        <v>-0.28721243075865538</v>
      </c>
      <c r="U9" s="26">
        <v>-3.6297565620995509E-2</v>
      </c>
      <c r="V9" s="26">
        <v>-0.22544176449486178</v>
      </c>
      <c r="W9" s="26">
        <v>-0.28671109879340773</v>
      </c>
      <c r="X9" s="26">
        <v>-0.21069638280807215</v>
      </c>
      <c r="Y9" s="26">
        <v>-0.15537985776387286</v>
      </c>
      <c r="Z9" s="26">
        <v>-0.24422741887007957</v>
      </c>
      <c r="AA9" s="26">
        <v>-0.2078995029421177</v>
      </c>
      <c r="AB9" s="26">
        <v>-0.19726469879296074</v>
      </c>
      <c r="AC9" s="26">
        <v>-0.21904660389094291</v>
      </c>
      <c r="AD9" s="26">
        <v>-0.16523834117082892</v>
      </c>
      <c r="AE9" s="26">
        <v>-9.4096954061198876E-2</v>
      </c>
      <c r="AF9" s="26">
        <v>-9.4934503264191686E-2</v>
      </c>
      <c r="AG9" s="26">
        <v>-0.11262671095403963</v>
      </c>
      <c r="AH9" s="26">
        <v>-0.10233747657644097</v>
      </c>
      <c r="AI9" s="26">
        <v>-0.11446760806127908</v>
      </c>
      <c r="AJ9" s="26">
        <v>0.11099827452805211</v>
      </c>
      <c r="AK9" s="26">
        <v>-8.652401291301777E-2</v>
      </c>
      <c r="AL9" s="26">
        <v>4.9069185206229896E-2</v>
      </c>
      <c r="AM9" s="26">
        <v>-0.20911037028132723</v>
      </c>
      <c r="AN9" s="26">
        <v>9.1699929581416151E-2</v>
      </c>
      <c r="AO9" s="26">
        <v>-0.22940054764293777</v>
      </c>
      <c r="AP9" s="26">
        <v>-0.38654925888707437</v>
      </c>
      <c r="AQ9" s="26">
        <v>-0.1221933866538685</v>
      </c>
      <c r="AR9" s="26">
        <v>-0.25990991413169168</v>
      </c>
      <c r="AS9" s="26">
        <v>-0.19350667113876216</v>
      </c>
      <c r="AT9" s="26">
        <v>-0.23688647851638284</v>
      </c>
      <c r="AU9" s="26">
        <v>0.24402738606620669</v>
      </c>
      <c r="AV9" s="26">
        <v>0.36187743887001117</v>
      </c>
      <c r="AW9">
        <f t="shared" si="0"/>
        <v>3.3557729054335854</v>
      </c>
    </row>
    <row r="10" spans="1:49" x14ac:dyDescent="0.2">
      <c r="A10" s="26" t="s">
        <v>81</v>
      </c>
      <c r="B10" s="26">
        <v>0.80325460870684484</v>
      </c>
      <c r="C10" s="26">
        <v>0.96632133843798507</v>
      </c>
      <c r="D10" s="26">
        <v>0.92775108979765075</v>
      </c>
      <c r="E10" s="26">
        <v>0.92077056689025061</v>
      </c>
      <c r="F10" s="26">
        <v>0.86385483996561574</v>
      </c>
      <c r="G10" s="26">
        <v>0.89663094451461267</v>
      </c>
      <c r="H10" s="26">
        <v>0.86841053624382047</v>
      </c>
      <c r="I10" s="26">
        <v>0.75113695528424052</v>
      </c>
      <c r="J10" s="26">
        <v>1</v>
      </c>
      <c r="K10" s="26">
        <v>0.84040789498924628</v>
      </c>
      <c r="L10" s="26">
        <v>0.79300893548586626</v>
      </c>
      <c r="M10" s="26">
        <v>0.68289851029173365</v>
      </c>
      <c r="N10" s="26">
        <v>-0.103400364402693</v>
      </c>
      <c r="O10" s="26">
        <v>-7.328704420620033E-2</v>
      </c>
      <c r="P10" s="26">
        <v>-0.11742937604236522</v>
      </c>
      <c r="Q10" s="26">
        <v>-0.15982642773935754</v>
      </c>
      <c r="R10" s="26">
        <v>-0.16389464236069248</v>
      </c>
      <c r="S10" s="26">
        <v>-5.631065388658698E-2</v>
      </c>
      <c r="T10" s="26">
        <v>-0.25002487394825329</v>
      </c>
      <c r="U10" s="26">
        <v>3.9368940454264402E-3</v>
      </c>
      <c r="V10" s="26">
        <v>-0.16582769468783107</v>
      </c>
      <c r="W10" s="26">
        <v>-0.24545292164891452</v>
      </c>
      <c r="X10" s="26">
        <v>-0.17129291820427137</v>
      </c>
      <c r="Y10" s="26">
        <v>-9.982916827093781E-2</v>
      </c>
      <c r="Z10" s="26">
        <v>-0.17331520231411357</v>
      </c>
      <c r="AA10" s="26">
        <v>-0.17303300520237486</v>
      </c>
      <c r="AB10" s="26">
        <v>-0.15778795866418741</v>
      </c>
      <c r="AC10" s="26">
        <v>-0.19315325562709368</v>
      </c>
      <c r="AD10" s="26">
        <v>-9.9036099169480363E-2</v>
      </c>
      <c r="AE10" s="26">
        <v>-2.3058127551530239E-2</v>
      </c>
      <c r="AF10" s="26">
        <v>-8.5851879123737436E-3</v>
      </c>
      <c r="AG10" s="26">
        <v>-4.4016708970976912E-2</v>
      </c>
      <c r="AH10" s="26">
        <v>-6.5628302500838009E-2</v>
      </c>
      <c r="AI10" s="26">
        <v>1.5761207672290852E-3</v>
      </c>
      <c r="AJ10" s="26">
        <v>0.23083327223471936</v>
      </c>
      <c r="AK10" s="26">
        <v>-1.4333084034581603E-2</v>
      </c>
      <c r="AL10" s="26">
        <v>3.2288987339729444E-2</v>
      </c>
      <c r="AM10" s="26">
        <v>-0.17689787930088327</v>
      </c>
      <c r="AN10" s="26">
        <v>0.14789991074476788</v>
      </c>
      <c r="AO10" s="26">
        <v>-0.21148613225075602</v>
      </c>
      <c r="AP10" s="26">
        <v>-0.36562935106274919</v>
      </c>
      <c r="AQ10" s="26">
        <v>-3.3253393285172309E-2</v>
      </c>
      <c r="AR10" s="26">
        <v>-0.22405170918098755</v>
      </c>
      <c r="AS10" s="26">
        <v>-0.11890268157677614</v>
      </c>
      <c r="AT10" s="26">
        <v>-0.16805073612194266</v>
      </c>
      <c r="AU10" s="26">
        <v>0.39772827942755723</v>
      </c>
      <c r="AV10" s="26">
        <v>0.46215849608583565</v>
      </c>
      <c r="AW10">
        <f t="shared" si="0"/>
        <v>7.7340732811282127</v>
      </c>
    </row>
    <row r="11" spans="1:49" x14ac:dyDescent="0.2">
      <c r="A11" s="26" t="s">
        <v>82</v>
      </c>
      <c r="B11" s="26">
        <v>0.49309789409094856</v>
      </c>
      <c r="C11" s="26">
        <v>0.865308305028609</v>
      </c>
      <c r="D11" s="26">
        <v>0.7210419322326227</v>
      </c>
      <c r="E11" s="26">
        <v>0.75518866385797412</v>
      </c>
      <c r="F11" s="26">
        <v>0.57373912008880568</v>
      </c>
      <c r="G11" s="26">
        <v>0.75145683006314534</v>
      </c>
      <c r="H11" s="26">
        <v>0.76430016853039839</v>
      </c>
      <c r="I11" s="26">
        <v>0.57408027372297943</v>
      </c>
      <c r="J11" s="26">
        <v>0.84040789498924628</v>
      </c>
      <c r="K11" s="26">
        <v>1</v>
      </c>
      <c r="L11" s="26">
        <v>0.85634554984390698</v>
      </c>
      <c r="M11" s="26">
        <v>0.90905948515768353</v>
      </c>
      <c r="N11" s="26">
        <v>0.15509040938957061</v>
      </c>
      <c r="O11" s="26">
        <v>0.20665412139184997</v>
      </c>
      <c r="P11" s="26">
        <v>0.16836867628677737</v>
      </c>
      <c r="Q11" s="26">
        <v>0.15767674622277872</v>
      </c>
      <c r="R11" s="26">
        <v>0.15155219146716853</v>
      </c>
      <c r="S11" s="26">
        <v>0.21566716364612448</v>
      </c>
      <c r="T11" s="26">
        <v>9.0488657551151014E-2</v>
      </c>
      <c r="U11" s="26">
        <v>0.11726706717193883</v>
      </c>
      <c r="V11" s="26">
        <v>0.15209613363276214</v>
      </c>
      <c r="W11" s="26">
        <v>9.5975270415783853E-2</v>
      </c>
      <c r="X11" s="26">
        <v>0.12705974941243478</v>
      </c>
      <c r="Y11" s="26">
        <v>0.1800325418004716</v>
      </c>
      <c r="Z11" s="26">
        <v>0.13935405400894646</v>
      </c>
      <c r="AA11" s="26">
        <v>0.11900584015488856</v>
      </c>
      <c r="AB11" s="26">
        <v>0.11666548322797757</v>
      </c>
      <c r="AC11" s="26">
        <v>0.11063654330675382</v>
      </c>
      <c r="AD11" s="26">
        <v>0.23481963152214544</v>
      </c>
      <c r="AE11" s="26">
        <v>0.30611561353111555</v>
      </c>
      <c r="AF11" s="26">
        <v>0.31677060776055788</v>
      </c>
      <c r="AG11" s="26">
        <v>0.27067699177085314</v>
      </c>
      <c r="AH11" s="26">
        <v>0.24640472091074467</v>
      </c>
      <c r="AI11" s="26">
        <v>0.253996454590804</v>
      </c>
      <c r="AJ11" s="26">
        <v>0.50504396265067408</v>
      </c>
      <c r="AK11" s="26">
        <v>0.30889703533934876</v>
      </c>
      <c r="AL11" s="26">
        <v>0.18388770223093392</v>
      </c>
      <c r="AM11" s="26">
        <v>9.1625247901563775E-2</v>
      </c>
      <c r="AN11" s="26">
        <v>0.26350303400988573</v>
      </c>
      <c r="AO11" s="26">
        <v>7.8780993806877656E-2</v>
      </c>
      <c r="AP11" s="26">
        <v>7.8649139764819954E-3</v>
      </c>
      <c r="AQ11" s="26">
        <v>0.15261509163605422</v>
      </c>
      <c r="AR11" s="26">
        <v>6.6635768398516079E-2</v>
      </c>
      <c r="AS11" s="26">
        <v>0.12626953668743779</v>
      </c>
      <c r="AT11" s="26">
        <v>0.14720875001744993</v>
      </c>
      <c r="AU11" s="26">
        <v>0.59604261860509899</v>
      </c>
      <c r="AV11" s="26">
        <v>0.48525032678382135</v>
      </c>
      <c r="AW11">
        <f t="shared" si="0"/>
        <v>16.05002576882406</v>
      </c>
    </row>
    <row r="12" spans="1:49" x14ac:dyDescent="0.2">
      <c r="A12" s="26" t="s">
        <v>83</v>
      </c>
      <c r="B12" s="26">
        <v>0.66609829221997385</v>
      </c>
      <c r="C12" s="26">
        <v>0.75236592754150533</v>
      </c>
      <c r="D12" s="26">
        <v>0.61106728591157677</v>
      </c>
      <c r="E12" s="26">
        <v>0.88633961241910997</v>
      </c>
      <c r="F12" s="26">
        <v>0.70597085911386503</v>
      </c>
      <c r="G12" s="26">
        <v>0.61401801457760286</v>
      </c>
      <c r="H12" s="26">
        <v>0.55275997800841492</v>
      </c>
      <c r="I12" s="26">
        <v>0.41425400965029707</v>
      </c>
      <c r="J12" s="26">
        <v>0.79300893548586626</v>
      </c>
      <c r="K12" s="26">
        <v>0.85634554984390698</v>
      </c>
      <c r="L12" s="26">
        <v>1</v>
      </c>
      <c r="M12" s="26">
        <v>0.7005472859499432</v>
      </c>
      <c r="N12" s="26">
        <v>9.6708074842025094E-2</v>
      </c>
      <c r="O12" s="26">
        <v>0.11284795516947976</v>
      </c>
      <c r="P12" s="26">
        <v>0.13317208373565775</v>
      </c>
      <c r="Q12" s="26">
        <v>8.4960873465033768E-2</v>
      </c>
      <c r="R12" s="26">
        <v>8.2561980216580164E-2</v>
      </c>
      <c r="S12" s="26">
        <v>0.13129699116653509</v>
      </c>
      <c r="T12" s="26">
        <v>4.301078885397934E-2</v>
      </c>
      <c r="U12" s="26">
        <v>0.10398927679261954</v>
      </c>
      <c r="V12" s="26">
        <v>7.7108872006346599E-2</v>
      </c>
      <c r="W12" s="26">
        <v>4.6180839695045314E-2</v>
      </c>
      <c r="X12" s="26">
        <v>2.9618994802384908E-2</v>
      </c>
      <c r="Y12" s="26">
        <v>6.8750850789639689E-2</v>
      </c>
      <c r="Z12" s="26">
        <v>6.2731545241268921E-2</v>
      </c>
      <c r="AA12" s="26">
        <v>2.77060430362631E-2</v>
      </c>
      <c r="AB12" s="26">
        <v>1.8891312010147283E-2</v>
      </c>
      <c r="AC12" s="26">
        <v>2.3762644182979711E-2</v>
      </c>
      <c r="AD12" s="26">
        <v>0.12157383990048126</v>
      </c>
      <c r="AE12" s="26">
        <v>0.17472034267267539</v>
      </c>
      <c r="AF12" s="26">
        <v>0.13942435634765671</v>
      </c>
      <c r="AG12" s="26">
        <v>0.15298227524649546</v>
      </c>
      <c r="AH12" s="26">
        <v>0.13299748257785002</v>
      </c>
      <c r="AI12" s="26">
        <v>0.15312268041777863</v>
      </c>
      <c r="AJ12" s="26">
        <v>0.33144706913988825</v>
      </c>
      <c r="AK12" s="26">
        <v>0.17072808509090462</v>
      </c>
      <c r="AL12" s="26">
        <v>0.12250844341509425</v>
      </c>
      <c r="AM12" s="26">
        <v>-1.310434394998056E-3</v>
      </c>
      <c r="AN12" s="26">
        <v>0.20519238237241166</v>
      </c>
      <c r="AO12" s="26">
        <v>4.4846818587481407E-2</v>
      </c>
      <c r="AP12" s="26">
        <v>-4.8505653640399625E-2</v>
      </c>
      <c r="AQ12" s="26">
        <v>8.9846699659804991E-2</v>
      </c>
      <c r="AR12" s="26">
        <v>7.087348461197256E-3</v>
      </c>
      <c r="AS12" s="26">
        <v>4.6454562181764476E-2</v>
      </c>
      <c r="AT12" s="26">
        <v>2.4302884015858561E-2</v>
      </c>
      <c r="AU12" s="26">
        <v>0.511050864160142</v>
      </c>
      <c r="AV12" s="26">
        <v>0.4851320379235049</v>
      </c>
      <c r="AW12">
        <f t="shared" si="0"/>
        <v>12.559676960863644</v>
      </c>
    </row>
    <row r="13" spans="1:49" x14ac:dyDescent="0.2">
      <c r="A13" s="26" t="s">
        <v>84</v>
      </c>
      <c r="B13" s="26">
        <v>0.24114629335460819</v>
      </c>
      <c r="C13" s="26">
        <v>0.72952712197340386</v>
      </c>
      <c r="D13" s="26">
        <v>0.57087063726749643</v>
      </c>
      <c r="E13" s="26">
        <v>0.52730047311034645</v>
      </c>
      <c r="F13" s="26">
        <v>0.32742987104256838</v>
      </c>
      <c r="G13" s="26">
        <v>0.65585888959142846</v>
      </c>
      <c r="H13" s="26">
        <v>0.74687097733287067</v>
      </c>
      <c r="I13" s="26">
        <v>0.57525779478353845</v>
      </c>
      <c r="J13" s="26">
        <v>0.68289851029173365</v>
      </c>
      <c r="K13" s="26">
        <v>0.90905948515768353</v>
      </c>
      <c r="L13" s="26">
        <v>0.7005472859499432</v>
      </c>
      <c r="M13" s="26">
        <v>1</v>
      </c>
      <c r="N13" s="26">
        <v>0.25592451867845328</v>
      </c>
      <c r="O13" s="26">
        <v>0.32870691059157287</v>
      </c>
      <c r="P13" s="26">
        <v>0.26139684318901474</v>
      </c>
      <c r="Q13" s="26">
        <v>0.28896800701379421</v>
      </c>
      <c r="R13" s="26">
        <v>0.28105847730564254</v>
      </c>
      <c r="S13" s="26">
        <v>0.33849184422848155</v>
      </c>
      <c r="T13" s="26">
        <v>0.21914430426027465</v>
      </c>
      <c r="U13" s="26">
        <v>0.20490590183034801</v>
      </c>
      <c r="V13" s="26">
        <v>0.28298395716699309</v>
      </c>
      <c r="W13" s="26">
        <v>0.2258909167191202</v>
      </c>
      <c r="X13" s="26">
        <v>0.25596193150067498</v>
      </c>
      <c r="Y13" s="26">
        <v>0.31288485939047889</v>
      </c>
      <c r="Z13" s="26">
        <v>0.25750167231033089</v>
      </c>
      <c r="AA13" s="26">
        <v>0.24536763177995904</v>
      </c>
      <c r="AB13" s="26">
        <v>0.25010506040204111</v>
      </c>
      <c r="AC13" s="26">
        <v>0.22824589235766021</v>
      </c>
      <c r="AD13" s="26">
        <v>0.36992149516157374</v>
      </c>
      <c r="AE13" s="26">
        <v>0.43474076365810499</v>
      </c>
      <c r="AF13" s="26">
        <v>0.43667893681618669</v>
      </c>
      <c r="AG13" s="26">
        <v>0.40640368600750598</v>
      </c>
      <c r="AH13" s="26">
        <v>0.39468149571454414</v>
      </c>
      <c r="AI13" s="26">
        <v>0.34367032331622144</v>
      </c>
      <c r="AJ13" s="26">
        <v>0.57184544979320817</v>
      </c>
      <c r="AK13" s="26">
        <v>0.43325018104821233</v>
      </c>
      <c r="AL13" s="26">
        <v>0.25204069054205358</v>
      </c>
      <c r="AM13" s="26">
        <v>0.23416352748505312</v>
      </c>
      <c r="AN13" s="26">
        <v>0.3101133246273679</v>
      </c>
      <c r="AO13" s="26">
        <v>0.1721060310099938</v>
      </c>
      <c r="AP13" s="26">
        <v>0.15123500322540126</v>
      </c>
      <c r="AQ13" s="26">
        <v>0.24055889716302253</v>
      </c>
      <c r="AR13" s="26">
        <v>0.18357844523860767</v>
      </c>
      <c r="AS13" s="26">
        <v>0.26217802924105343</v>
      </c>
      <c r="AT13" s="26">
        <v>0.24559783801664187</v>
      </c>
      <c r="AU13" s="26">
        <v>0.59949375074799638</v>
      </c>
      <c r="AV13" s="26">
        <v>0.44384231298177346</v>
      </c>
      <c r="AW13">
        <f t="shared" si="0"/>
        <v>18.39040625037498</v>
      </c>
    </row>
    <row r="14" spans="1:49" x14ac:dyDescent="0.2">
      <c r="A14" s="26" t="s">
        <v>86</v>
      </c>
      <c r="B14" s="26">
        <v>-0.32152060001824095</v>
      </c>
      <c r="C14" s="26">
        <v>-8.460567256865896E-2</v>
      </c>
      <c r="D14" s="26">
        <v>-0.23382289527515812</v>
      </c>
      <c r="E14" s="26">
        <v>-0.14878001599491503</v>
      </c>
      <c r="F14" s="26">
        <v>-0.31991815446157623</v>
      </c>
      <c r="G14" s="26">
        <v>-5.2475066644754445E-2</v>
      </c>
      <c r="H14" s="26">
        <v>-6.498166147703334E-2</v>
      </c>
      <c r="I14" s="26">
        <v>-0.16378210352131795</v>
      </c>
      <c r="J14" s="26">
        <v>-0.103400364402693</v>
      </c>
      <c r="K14" s="26">
        <v>0.15509040938957061</v>
      </c>
      <c r="L14" s="26">
        <v>9.6708074842025094E-2</v>
      </c>
      <c r="M14" s="26">
        <v>0.25592451867845328</v>
      </c>
      <c r="N14" s="26">
        <v>1</v>
      </c>
      <c r="O14" s="26">
        <v>0.91155515269207155</v>
      </c>
      <c r="P14" s="26">
        <v>0.95150919898887487</v>
      </c>
      <c r="Q14" s="26">
        <v>0.9556230124231212</v>
      </c>
      <c r="R14" s="26">
        <v>0.95564164492424619</v>
      </c>
      <c r="S14" s="26">
        <v>0.90713702340246216</v>
      </c>
      <c r="T14" s="26">
        <v>0.93850943718046442</v>
      </c>
      <c r="U14" s="26">
        <v>0.38129005806735589</v>
      </c>
      <c r="V14" s="26">
        <v>0.95174499134055124</v>
      </c>
      <c r="W14" s="26">
        <v>0.94366628937208963</v>
      </c>
      <c r="X14" s="26">
        <v>0.86450099345208986</v>
      </c>
      <c r="Y14" s="26">
        <v>0.8828060555070063</v>
      </c>
      <c r="Z14" s="26">
        <v>0.92457558881816138</v>
      </c>
      <c r="AA14" s="26">
        <v>0.86414128472057339</v>
      </c>
      <c r="AB14" s="26">
        <v>0.84323868496921706</v>
      </c>
      <c r="AC14" s="26">
        <v>0.86839246537240244</v>
      </c>
      <c r="AD14" s="26">
        <v>0.89468821254778474</v>
      </c>
      <c r="AE14" s="26">
        <v>0.77361080160892193</v>
      </c>
      <c r="AF14" s="26">
        <v>0.731853328547314</v>
      </c>
      <c r="AG14" s="26">
        <v>0.77793021060697909</v>
      </c>
      <c r="AH14" s="26">
        <v>0.74382414823554543</v>
      </c>
      <c r="AI14" s="26">
        <v>0.69537188210930501</v>
      </c>
      <c r="AJ14" s="26">
        <v>0.63855287535075134</v>
      </c>
      <c r="AK14" s="26">
        <v>0.7665000286653425</v>
      </c>
      <c r="AL14" s="26">
        <v>0.61123133528821982</v>
      </c>
      <c r="AM14" s="26">
        <v>0.8982780383717065</v>
      </c>
      <c r="AN14" s="26">
        <v>0.74997116765817518</v>
      </c>
      <c r="AO14" s="26">
        <v>0.66978247635930166</v>
      </c>
      <c r="AP14" s="26">
        <v>0.80225419898013228</v>
      </c>
      <c r="AQ14" s="26">
        <v>0.79872026621127723</v>
      </c>
      <c r="AR14" s="26">
        <v>0.91877092405663319</v>
      </c>
      <c r="AS14" s="26">
        <v>0.78522477601448126</v>
      </c>
      <c r="AT14" s="26">
        <v>0.81169482896457201</v>
      </c>
      <c r="AU14" s="26">
        <v>0.57648959036795377</v>
      </c>
      <c r="AV14" s="26">
        <v>0.35074502385944706</v>
      </c>
      <c r="AW14">
        <f t="shared" si="0"/>
        <v>27.154262463580228</v>
      </c>
    </row>
    <row r="15" spans="1:49" x14ac:dyDescent="0.2">
      <c r="A15" s="26" t="s">
        <v>88</v>
      </c>
      <c r="B15" s="26">
        <v>-0.34129493585688808</v>
      </c>
      <c r="C15" s="26">
        <v>-4.4709586133821491E-2</v>
      </c>
      <c r="D15" s="26">
        <v>-0.22660256812718654</v>
      </c>
      <c r="E15" s="26">
        <v>-0.14116081452740323</v>
      </c>
      <c r="F15" s="26">
        <v>-0.33549685738107032</v>
      </c>
      <c r="G15" s="26">
        <v>-1.9801089197396333E-2</v>
      </c>
      <c r="H15" s="26">
        <v>-2.0474644849057561E-2</v>
      </c>
      <c r="I15" s="26">
        <v>-0.1530356853979534</v>
      </c>
      <c r="J15" s="26">
        <v>-7.328704420620033E-2</v>
      </c>
      <c r="K15" s="26">
        <v>0.20665412139184997</v>
      </c>
      <c r="L15" s="26">
        <v>0.11284795516947976</v>
      </c>
      <c r="M15" s="26">
        <v>0.32870691059157287</v>
      </c>
      <c r="N15" s="26">
        <v>0.91155515269207155</v>
      </c>
      <c r="O15" s="26">
        <v>1</v>
      </c>
      <c r="P15" s="26">
        <v>0.8682530396497512</v>
      </c>
      <c r="Q15" s="26">
        <v>0.96785674264954602</v>
      </c>
      <c r="R15" s="26">
        <v>0.96576890396797055</v>
      </c>
      <c r="S15" s="26">
        <v>0.99237832996599151</v>
      </c>
      <c r="T15" s="26">
        <v>0.87851447862655097</v>
      </c>
      <c r="U15" s="26">
        <v>0.36648215797439326</v>
      </c>
      <c r="V15" s="26">
        <v>0.96373791453439261</v>
      </c>
      <c r="W15" s="26">
        <v>0.88498866349008032</v>
      </c>
      <c r="X15" s="26">
        <v>0.89008752532202384</v>
      </c>
      <c r="Y15" s="26">
        <v>0.93712377782648426</v>
      </c>
      <c r="Z15" s="26">
        <v>0.90090605548743696</v>
      </c>
      <c r="AA15" s="26">
        <v>0.87196691555164496</v>
      </c>
      <c r="AB15" s="26">
        <v>0.88912844810569813</v>
      </c>
      <c r="AC15" s="26">
        <v>0.84871766010098559</v>
      </c>
      <c r="AD15" s="26">
        <v>0.93805251218367913</v>
      </c>
      <c r="AE15" s="26">
        <v>0.83794145639625117</v>
      </c>
      <c r="AF15" s="26">
        <v>0.82363756826344325</v>
      </c>
      <c r="AG15" s="26">
        <v>0.84493576103798984</v>
      </c>
      <c r="AH15" s="26">
        <v>0.80739806031611683</v>
      </c>
      <c r="AI15" s="26">
        <v>0.76981903669414997</v>
      </c>
      <c r="AJ15" s="26">
        <v>0.69534352450224512</v>
      </c>
      <c r="AK15" s="26">
        <v>0.83785227900605275</v>
      </c>
      <c r="AL15" s="26">
        <v>0.561519903065541</v>
      </c>
      <c r="AM15" s="26">
        <v>0.9297098928291585</v>
      </c>
      <c r="AN15" s="26">
        <v>0.60654160647493904</v>
      </c>
      <c r="AO15" s="26">
        <v>0.65812084836574525</v>
      </c>
      <c r="AP15" s="26">
        <v>0.78100807531898142</v>
      </c>
      <c r="AQ15" s="26">
        <v>0.79410730122642648</v>
      </c>
      <c r="AR15" s="26">
        <v>0.86752150627764357</v>
      </c>
      <c r="AS15" s="26">
        <v>0.92675731711290721</v>
      </c>
      <c r="AT15" s="26">
        <v>0.84411142922521176</v>
      </c>
      <c r="AU15" s="26">
        <v>0.56884518790326322</v>
      </c>
      <c r="AV15" s="26">
        <v>0.22898817857294448</v>
      </c>
      <c r="AW15">
        <f t="shared" si="0"/>
        <v>27.75202297219364</v>
      </c>
    </row>
    <row r="16" spans="1:49" x14ac:dyDescent="0.2">
      <c r="A16" s="26" t="s">
        <v>89</v>
      </c>
      <c r="B16" s="26">
        <v>-0.31337546172464492</v>
      </c>
      <c r="C16" s="26">
        <v>-9.6536328453941431E-2</v>
      </c>
      <c r="D16" s="26">
        <v>-0.25830353263825478</v>
      </c>
      <c r="E16" s="26">
        <v>-0.13588065614472422</v>
      </c>
      <c r="F16" s="26">
        <v>-0.32264816262647356</v>
      </c>
      <c r="G16" s="26">
        <v>-7.1992600119942268E-2</v>
      </c>
      <c r="H16" s="26">
        <v>-0.10661333151421987</v>
      </c>
      <c r="I16" s="26">
        <v>-0.17488799759186199</v>
      </c>
      <c r="J16" s="26">
        <v>-0.11742937604236522</v>
      </c>
      <c r="K16" s="26">
        <v>0.16836867628677737</v>
      </c>
      <c r="L16" s="26">
        <v>0.13317208373565775</v>
      </c>
      <c r="M16" s="26">
        <v>0.26139684318901474</v>
      </c>
      <c r="N16" s="26">
        <v>0.95150919898887487</v>
      </c>
      <c r="O16" s="26">
        <v>0.8682530396497512</v>
      </c>
      <c r="P16" s="26">
        <v>1</v>
      </c>
      <c r="Q16" s="26">
        <v>0.94295579488005854</v>
      </c>
      <c r="R16" s="26">
        <v>0.94895454558547088</v>
      </c>
      <c r="S16" s="26">
        <v>0.864343489519939</v>
      </c>
      <c r="T16" s="26">
        <v>0.9669177347388932</v>
      </c>
      <c r="U16" s="26">
        <v>0.40299331590223697</v>
      </c>
      <c r="V16" s="26">
        <v>0.93564702900472696</v>
      </c>
      <c r="W16" s="26">
        <v>0.9664740088239987</v>
      </c>
      <c r="X16" s="26">
        <v>0.82448142714003159</v>
      </c>
      <c r="Y16" s="26">
        <v>0.81351119671708971</v>
      </c>
      <c r="Z16" s="26">
        <v>0.91245886286352729</v>
      </c>
      <c r="AA16" s="26">
        <v>0.83011643030013837</v>
      </c>
      <c r="AB16" s="26">
        <v>0.78588145728015979</v>
      </c>
      <c r="AC16" s="26">
        <v>0.85637022699863563</v>
      </c>
      <c r="AD16" s="26">
        <v>0.87297692733263554</v>
      </c>
      <c r="AE16" s="26">
        <v>0.75267990985272748</v>
      </c>
      <c r="AF16" s="26">
        <v>0.69626324580564924</v>
      </c>
      <c r="AG16" s="26">
        <v>0.75850586554886346</v>
      </c>
      <c r="AH16" s="26">
        <v>0.71856635225761245</v>
      </c>
      <c r="AI16" s="26">
        <v>0.68374813565258985</v>
      </c>
      <c r="AJ16" s="26">
        <v>0.62400512542978614</v>
      </c>
      <c r="AK16" s="26">
        <v>0.74344718702073698</v>
      </c>
      <c r="AL16" s="26">
        <v>0.68219420269058395</v>
      </c>
      <c r="AM16" s="26">
        <v>0.83968546728540217</v>
      </c>
      <c r="AN16" s="26">
        <v>0.75432684818695928</v>
      </c>
      <c r="AO16" s="26">
        <v>0.71749296864992251</v>
      </c>
      <c r="AP16" s="26">
        <v>0.82678062055527368</v>
      </c>
      <c r="AQ16" s="26">
        <v>0.78534284668238719</v>
      </c>
      <c r="AR16" s="26">
        <v>0.87826600251705944</v>
      </c>
      <c r="AS16" s="26">
        <v>0.74722478168499384</v>
      </c>
      <c r="AT16" s="26">
        <v>0.79144584434320375</v>
      </c>
      <c r="AU16" s="26">
        <v>0.59296676530819947</v>
      </c>
      <c r="AV16" s="26">
        <v>0.3804566202731664</v>
      </c>
      <c r="AW16">
        <f t="shared" si="0"/>
        <v>26.682513631826303</v>
      </c>
    </row>
    <row r="17" spans="1:49" x14ac:dyDescent="0.2">
      <c r="A17" s="26" t="s">
        <v>90</v>
      </c>
      <c r="B17" s="26">
        <v>-0.41121524703027257</v>
      </c>
      <c r="C17" s="26">
        <v>-0.13229680199779112</v>
      </c>
      <c r="D17" s="26">
        <v>-0.31739169925098354</v>
      </c>
      <c r="E17" s="26">
        <v>-0.20480163987895422</v>
      </c>
      <c r="F17" s="26">
        <v>-0.40875206969502453</v>
      </c>
      <c r="G17" s="26">
        <v>-0.10690325165329238</v>
      </c>
      <c r="H17" s="26">
        <v>-0.10654200309849622</v>
      </c>
      <c r="I17" s="26">
        <v>-0.22335197162497167</v>
      </c>
      <c r="J17" s="26">
        <v>-0.15982642773935754</v>
      </c>
      <c r="K17" s="26">
        <v>0.15767674622277872</v>
      </c>
      <c r="L17" s="26">
        <v>8.4960873465033768E-2</v>
      </c>
      <c r="M17" s="26">
        <v>0.28896800701379421</v>
      </c>
      <c r="N17" s="26">
        <v>0.9556230124231212</v>
      </c>
      <c r="O17" s="26">
        <v>0.96785674264954602</v>
      </c>
      <c r="P17" s="26">
        <v>0.94295579488005854</v>
      </c>
      <c r="Q17" s="26">
        <v>1</v>
      </c>
      <c r="R17" s="26">
        <v>0.99762719214077056</v>
      </c>
      <c r="S17" s="26">
        <v>0.96476398031657506</v>
      </c>
      <c r="T17" s="26">
        <v>0.96510023456326011</v>
      </c>
      <c r="U17" s="26">
        <v>0.39180366372532743</v>
      </c>
      <c r="V17" s="26">
        <v>0.99717566965402626</v>
      </c>
      <c r="W17" s="26">
        <v>0.97046713287610553</v>
      </c>
      <c r="X17" s="26">
        <v>0.92374489457615128</v>
      </c>
      <c r="Y17" s="26">
        <v>0.9386304426843306</v>
      </c>
      <c r="Z17" s="26">
        <v>0.95906550081683373</v>
      </c>
      <c r="AA17" s="26">
        <v>0.91613296323132309</v>
      </c>
      <c r="AB17" s="26">
        <v>0.90270908367873592</v>
      </c>
      <c r="AC17" s="26">
        <v>0.91253341628372309</v>
      </c>
      <c r="AD17" s="26">
        <v>0.94996275435778388</v>
      </c>
      <c r="AE17" s="26">
        <v>0.8337198529858193</v>
      </c>
      <c r="AF17" s="26">
        <v>0.80579106128473377</v>
      </c>
      <c r="AG17" s="26">
        <v>0.83925600530716071</v>
      </c>
      <c r="AH17" s="26">
        <v>0.80135894205196379</v>
      </c>
      <c r="AI17" s="26">
        <v>0.75517181439289882</v>
      </c>
      <c r="AJ17" s="26">
        <v>0.67681765592556653</v>
      </c>
      <c r="AK17" s="26">
        <v>0.82794567706576894</v>
      </c>
      <c r="AL17" s="26">
        <v>0.6080533811647405</v>
      </c>
      <c r="AM17" s="26">
        <v>0.93710260350945707</v>
      </c>
      <c r="AN17" s="26">
        <v>0.65493775337630444</v>
      </c>
      <c r="AO17" s="26">
        <v>0.72163839486766768</v>
      </c>
      <c r="AP17" s="26">
        <v>0.87920633620259647</v>
      </c>
      <c r="AQ17" s="26">
        <v>0.82411163410931865</v>
      </c>
      <c r="AR17" s="26">
        <v>0.92425714563620809</v>
      </c>
      <c r="AS17" s="26">
        <v>0.87772641759814851</v>
      </c>
      <c r="AT17" s="26">
        <v>0.87192257893529856</v>
      </c>
      <c r="AU17" s="26">
        <v>0.59646478365322086</v>
      </c>
      <c r="AV17" s="26">
        <v>0.25253758488269651</v>
      </c>
      <c r="AW17">
        <f t="shared" si="0"/>
        <v>27.804696616539704</v>
      </c>
    </row>
    <row r="18" spans="1:49" x14ac:dyDescent="0.2">
      <c r="A18" s="26" t="s">
        <v>91</v>
      </c>
      <c r="B18" s="26">
        <v>-0.40277619322390235</v>
      </c>
      <c r="C18" s="26">
        <v>-0.13376642469917713</v>
      </c>
      <c r="D18" s="26">
        <v>-0.31684330387025844</v>
      </c>
      <c r="E18" s="26">
        <v>-0.20463259335908338</v>
      </c>
      <c r="F18" s="26">
        <v>-0.40476671844467393</v>
      </c>
      <c r="G18" s="26">
        <v>-0.11088219683868972</v>
      </c>
      <c r="H18" s="26">
        <v>-0.11450955295767805</v>
      </c>
      <c r="I18" s="26">
        <v>-0.22727861941652402</v>
      </c>
      <c r="J18" s="26">
        <v>-0.16389464236069248</v>
      </c>
      <c r="K18" s="26">
        <v>0.15155219146716853</v>
      </c>
      <c r="L18" s="26">
        <v>8.2561980216580164E-2</v>
      </c>
      <c r="M18" s="26">
        <v>0.28105847730564254</v>
      </c>
      <c r="N18" s="26">
        <v>0.95564164492424619</v>
      </c>
      <c r="O18" s="26">
        <v>0.96576890396797055</v>
      </c>
      <c r="P18" s="26">
        <v>0.94895454558547088</v>
      </c>
      <c r="Q18" s="26">
        <v>0.99762719214077056</v>
      </c>
      <c r="R18" s="26">
        <v>1</v>
      </c>
      <c r="S18" s="26">
        <v>0.96512448923263139</v>
      </c>
      <c r="T18" s="26">
        <v>0.96728995208832347</v>
      </c>
      <c r="U18" s="26">
        <v>0.40010557181743478</v>
      </c>
      <c r="V18" s="26">
        <v>0.99201253613932439</v>
      </c>
      <c r="W18" s="26">
        <v>0.97022670109846787</v>
      </c>
      <c r="X18" s="26">
        <v>0.90263532055374884</v>
      </c>
      <c r="Y18" s="26">
        <v>0.91752593364456936</v>
      </c>
      <c r="Z18" s="26">
        <v>0.94446289176139664</v>
      </c>
      <c r="AA18" s="26">
        <v>0.89562370972374383</v>
      </c>
      <c r="AB18" s="26">
        <v>0.88143284073760675</v>
      </c>
      <c r="AC18" s="26">
        <v>0.89437328959437223</v>
      </c>
      <c r="AD18" s="26">
        <v>0.9425770163827315</v>
      </c>
      <c r="AE18" s="26">
        <v>0.82455807828677097</v>
      </c>
      <c r="AF18" s="26">
        <v>0.78977626178768834</v>
      </c>
      <c r="AG18" s="26">
        <v>0.83166420043277534</v>
      </c>
      <c r="AH18" s="26">
        <v>0.79551558571185166</v>
      </c>
      <c r="AI18" s="26">
        <v>0.74715105074470534</v>
      </c>
      <c r="AJ18" s="26">
        <v>0.66264227160298084</v>
      </c>
      <c r="AK18" s="26">
        <v>0.81852529024793153</v>
      </c>
      <c r="AL18" s="26">
        <v>0.61232856640262234</v>
      </c>
      <c r="AM18" s="26">
        <v>0.92715159742927433</v>
      </c>
      <c r="AN18" s="26">
        <v>0.66417644848836932</v>
      </c>
      <c r="AO18" s="26">
        <v>0.71359183718689589</v>
      </c>
      <c r="AP18" s="26">
        <v>0.87042243523468754</v>
      </c>
      <c r="AQ18" s="26">
        <v>0.81971839463485019</v>
      </c>
      <c r="AR18" s="26">
        <v>0.91257478505059453</v>
      </c>
      <c r="AS18" s="26">
        <v>0.88058645339935571</v>
      </c>
      <c r="AT18" s="26">
        <v>0.85930647392104231</v>
      </c>
      <c r="AU18" s="26">
        <v>0.57879282747925742</v>
      </c>
      <c r="AV18" s="26">
        <v>0.25526318466991155</v>
      </c>
      <c r="AW18">
        <f t="shared" si="0"/>
        <v>27.540950685923075</v>
      </c>
    </row>
    <row r="19" spans="1:49" x14ac:dyDescent="0.2">
      <c r="A19" s="26" t="s">
        <v>92</v>
      </c>
      <c r="B19" s="26">
        <v>-0.31712639459504832</v>
      </c>
      <c r="C19" s="26">
        <v>-2.5385424259170616E-2</v>
      </c>
      <c r="D19" s="26">
        <v>-0.21000583061213182</v>
      </c>
      <c r="E19" s="26">
        <v>-0.11792338532950812</v>
      </c>
      <c r="F19" s="26">
        <v>-0.31641921373511173</v>
      </c>
      <c r="G19" s="26">
        <v>-8.2835934313155966E-3</v>
      </c>
      <c r="H19" s="26">
        <v>-3.3942189981939551E-3</v>
      </c>
      <c r="I19" s="26">
        <v>-0.14600236006930517</v>
      </c>
      <c r="J19" s="26">
        <v>-5.631065388658698E-2</v>
      </c>
      <c r="K19" s="26">
        <v>0.21566716364612448</v>
      </c>
      <c r="L19" s="26">
        <v>0.13129699116653509</v>
      </c>
      <c r="M19" s="26">
        <v>0.33849184422848155</v>
      </c>
      <c r="N19" s="26">
        <v>0.90713702340246216</v>
      </c>
      <c r="O19" s="26">
        <v>0.99237832996599151</v>
      </c>
      <c r="P19" s="26">
        <v>0.864343489519939</v>
      </c>
      <c r="Q19" s="26">
        <v>0.96476398031657506</v>
      </c>
      <c r="R19" s="26">
        <v>0.96512448923263139</v>
      </c>
      <c r="S19" s="26">
        <v>1</v>
      </c>
      <c r="T19" s="26">
        <v>0.86939347380910692</v>
      </c>
      <c r="U19" s="26">
        <v>0.38202985450460419</v>
      </c>
      <c r="V19" s="26">
        <v>0.95754652745044633</v>
      </c>
      <c r="W19" s="26">
        <v>0.87620444987550006</v>
      </c>
      <c r="X19" s="26">
        <v>0.87665049322283661</v>
      </c>
      <c r="Y19" s="26">
        <v>0.92591823882597257</v>
      </c>
      <c r="Z19" s="26">
        <v>0.89010353343564697</v>
      </c>
      <c r="AA19" s="26">
        <v>0.85945239903899495</v>
      </c>
      <c r="AB19" s="26">
        <v>0.87084264134339662</v>
      </c>
      <c r="AC19" s="26">
        <v>0.83603284205965545</v>
      </c>
      <c r="AD19" s="26">
        <v>0.9287256870798426</v>
      </c>
      <c r="AE19" s="26">
        <v>0.82579020044408746</v>
      </c>
      <c r="AF19" s="26">
        <v>0.80197991105737887</v>
      </c>
      <c r="AG19" s="26">
        <v>0.83558785181039652</v>
      </c>
      <c r="AH19" s="26">
        <v>0.79725293526708396</v>
      </c>
      <c r="AI19" s="26">
        <v>0.76445967949753846</v>
      </c>
      <c r="AJ19" s="26">
        <v>0.68075505324756003</v>
      </c>
      <c r="AK19" s="26">
        <v>0.82524881854413512</v>
      </c>
      <c r="AL19" s="26">
        <v>0.55474347759184139</v>
      </c>
      <c r="AM19" s="26">
        <v>0.92783770363783924</v>
      </c>
      <c r="AN19" s="26">
        <v>0.62029098098297897</v>
      </c>
      <c r="AO19" s="26">
        <v>0.64075179650119252</v>
      </c>
      <c r="AP19" s="26">
        <v>0.77159253374882231</v>
      </c>
      <c r="AQ19" s="26">
        <v>0.79494123640312186</v>
      </c>
      <c r="AR19" s="26">
        <v>0.85710557712794377</v>
      </c>
      <c r="AS19" s="26">
        <v>0.9339300462060337</v>
      </c>
      <c r="AT19" s="26">
        <v>0.82830332073806079</v>
      </c>
      <c r="AU19" s="26">
        <v>0.57003308770668482</v>
      </c>
      <c r="AV19" s="26">
        <v>0.22725012356117164</v>
      </c>
      <c r="AW19">
        <f t="shared" si="0"/>
        <v>27.709106711282235</v>
      </c>
    </row>
    <row r="20" spans="1:49" x14ac:dyDescent="0.2">
      <c r="A20" s="26" t="s">
        <v>93</v>
      </c>
      <c r="B20" s="26">
        <v>-0.46179427341617446</v>
      </c>
      <c r="C20" s="26">
        <v>-0.22305601412858547</v>
      </c>
      <c r="D20" s="26">
        <v>-0.40093517793535272</v>
      </c>
      <c r="E20" s="26">
        <v>-0.26842222449530317</v>
      </c>
      <c r="F20" s="26">
        <v>-0.46462920427227117</v>
      </c>
      <c r="G20" s="26">
        <v>-0.19913576212515574</v>
      </c>
      <c r="H20" s="26">
        <v>-0.206773652387686</v>
      </c>
      <c r="I20" s="26">
        <v>-0.28721243075865538</v>
      </c>
      <c r="J20" s="26">
        <v>-0.25002487394825329</v>
      </c>
      <c r="K20" s="26">
        <v>9.0488657551151014E-2</v>
      </c>
      <c r="L20" s="26">
        <v>4.301078885397934E-2</v>
      </c>
      <c r="M20" s="26">
        <v>0.21914430426027465</v>
      </c>
      <c r="N20" s="26">
        <v>0.93850943718046442</v>
      </c>
      <c r="O20" s="26">
        <v>0.87851447862655097</v>
      </c>
      <c r="P20" s="26">
        <v>0.9669177347388932</v>
      </c>
      <c r="Q20" s="26">
        <v>0.96510023456326011</v>
      </c>
      <c r="R20" s="26">
        <v>0.96728995208832347</v>
      </c>
      <c r="S20" s="26">
        <v>0.86939347380910692</v>
      </c>
      <c r="T20" s="26">
        <v>1</v>
      </c>
      <c r="U20" s="26">
        <v>0.38894751131268501</v>
      </c>
      <c r="V20" s="26">
        <v>0.96150422316753559</v>
      </c>
      <c r="W20" s="26">
        <v>0.9977632675873338</v>
      </c>
      <c r="X20" s="26">
        <v>0.87326250352210955</v>
      </c>
      <c r="Y20" s="26">
        <v>0.85581713285530558</v>
      </c>
      <c r="Z20" s="26">
        <v>0.9380636794970969</v>
      </c>
      <c r="AA20" s="26">
        <v>0.87638101249000144</v>
      </c>
      <c r="AB20" s="26">
        <v>0.83959617134122</v>
      </c>
      <c r="AC20" s="26">
        <v>0.89512546814136829</v>
      </c>
      <c r="AD20" s="26">
        <v>0.89780946893497149</v>
      </c>
      <c r="AE20" s="26">
        <v>0.77517614900553022</v>
      </c>
      <c r="AF20" s="26">
        <v>0.73074192813532324</v>
      </c>
      <c r="AG20" s="26">
        <v>0.77777750113234079</v>
      </c>
      <c r="AH20" s="26">
        <v>0.74603751638447158</v>
      </c>
      <c r="AI20" s="26">
        <v>0.68454333947006063</v>
      </c>
      <c r="AJ20" s="26">
        <v>0.60960224428917953</v>
      </c>
      <c r="AK20" s="26">
        <v>0.7637084574498566</v>
      </c>
      <c r="AL20" s="26">
        <v>0.62874335526438807</v>
      </c>
      <c r="AM20" s="26">
        <v>0.8682322142475597</v>
      </c>
      <c r="AN20" s="26">
        <v>0.66097377336919416</v>
      </c>
      <c r="AO20" s="26">
        <v>0.739552540869163</v>
      </c>
      <c r="AP20" s="26">
        <v>0.91300487245907092</v>
      </c>
      <c r="AQ20" s="26">
        <v>0.78968969509741294</v>
      </c>
      <c r="AR20" s="26">
        <v>0.90872938372624013</v>
      </c>
      <c r="AS20" s="26">
        <v>0.77242648374639478</v>
      </c>
      <c r="AT20" s="26">
        <v>0.83450083808787989</v>
      </c>
      <c r="AU20" s="26">
        <v>0.56084837239022045</v>
      </c>
      <c r="AV20" s="26">
        <v>0.26646195651395704</v>
      </c>
      <c r="AW20">
        <f t="shared" si="0"/>
        <v>25.73140650869243</v>
      </c>
    </row>
    <row r="21" spans="1:49" x14ac:dyDescent="0.2">
      <c r="A21" s="26" t="s">
        <v>94</v>
      </c>
      <c r="B21" s="26">
        <v>-9.334267499677236E-2</v>
      </c>
      <c r="C21" s="26">
        <v>2.82171806406907E-2</v>
      </c>
      <c r="D21" s="26">
        <v>-4.832801771285921E-2</v>
      </c>
      <c r="E21" s="26">
        <v>-5.2261265367889234E-3</v>
      </c>
      <c r="F21" s="26">
        <v>-0.10136156665316885</v>
      </c>
      <c r="G21" s="26">
        <v>4.6146481344520734E-2</v>
      </c>
      <c r="H21" s="26">
        <v>4.7891402611456232E-3</v>
      </c>
      <c r="I21" s="26">
        <v>-3.6297565620995509E-2</v>
      </c>
      <c r="J21" s="26">
        <v>3.9368940454264402E-3</v>
      </c>
      <c r="K21" s="26">
        <v>0.11726706717193883</v>
      </c>
      <c r="L21" s="26">
        <v>0.10398927679261954</v>
      </c>
      <c r="M21" s="26">
        <v>0.20490590183034801</v>
      </c>
      <c r="N21" s="26">
        <v>0.38129005806735589</v>
      </c>
      <c r="O21" s="26">
        <v>0.36648215797439326</v>
      </c>
      <c r="P21" s="26">
        <v>0.40299331590223697</v>
      </c>
      <c r="Q21" s="26">
        <v>0.39180366372532743</v>
      </c>
      <c r="R21" s="26">
        <v>0.40010557181743478</v>
      </c>
      <c r="S21" s="26">
        <v>0.38202985450460419</v>
      </c>
      <c r="T21" s="26">
        <v>0.38894751131268501</v>
      </c>
      <c r="U21" s="26">
        <v>1</v>
      </c>
      <c r="V21" s="26">
        <v>0.38358423945664899</v>
      </c>
      <c r="W21" s="26">
        <v>0.39203598453888866</v>
      </c>
      <c r="X21" s="26">
        <v>0.30755316942744071</v>
      </c>
      <c r="Y21" s="26">
        <v>0.30022167074351613</v>
      </c>
      <c r="Z21" s="26">
        <v>0.37619250976056018</v>
      </c>
      <c r="AA21" s="26">
        <v>0.31634475438964726</v>
      </c>
      <c r="AB21" s="26">
        <v>0.29369527584516258</v>
      </c>
      <c r="AC21" s="26">
        <v>0.33496535338878991</v>
      </c>
      <c r="AD21" s="26">
        <v>0.35946446987516084</v>
      </c>
      <c r="AE21" s="26">
        <v>0.3145408362417943</v>
      </c>
      <c r="AF21" s="26">
        <v>0.30957820934991026</v>
      </c>
      <c r="AG21" s="26">
        <v>0.31424823286991044</v>
      </c>
      <c r="AH21" s="26">
        <v>0.31656588682923653</v>
      </c>
      <c r="AI21" s="26">
        <v>0.25094270744949254</v>
      </c>
      <c r="AJ21" s="26">
        <v>0.23257456378855637</v>
      </c>
      <c r="AK21" s="26">
        <v>0.32326386141049335</v>
      </c>
      <c r="AL21" s="26">
        <v>0.36006368453763565</v>
      </c>
      <c r="AM21" s="26">
        <v>0.34458448222433236</v>
      </c>
      <c r="AN21" s="26">
        <v>0.35533763307958027</v>
      </c>
      <c r="AO21" s="26">
        <v>0.28467585469972206</v>
      </c>
      <c r="AP21" s="26">
        <v>0.31542037354610886</v>
      </c>
      <c r="AQ21" s="26">
        <v>0.29814534019245054</v>
      </c>
      <c r="AR21" s="26">
        <v>0.35571268467711636</v>
      </c>
      <c r="AS21" s="26">
        <v>0.30987872450280568</v>
      </c>
      <c r="AT21" s="26">
        <v>0.32193289182548324</v>
      </c>
      <c r="AU21" s="26">
        <v>0.26157639285919942</v>
      </c>
      <c r="AV21" s="26">
        <v>0.16908919118179208</v>
      </c>
      <c r="AW21">
        <f t="shared" si="0"/>
        <v>12.440537102561578</v>
      </c>
    </row>
    <row r="22" spans="1:49" x14ac:dyDescent="0.2">
      <c r="A22" s="26" t="s">
        <v>95</v>
      </c>
      <c r="B22" s="26">
        <v>-0.41869816877549215</v>
      </c>
      <c r="C22" s="26">
        <v>-0.14051886296657204</v>
      </c>
      <c r="D22" s="26">
        <v>-0.32155739339735895</v>
      </c>
      <c r="E22" s="26">
        <v>-0.2123939863561824</v>
      </c>
      <c r="F22" s="26">
        <v>-0.41334653277593414</v>
      </c>
      <c r="G22" s="26">
        <v>-0.11320647668663293</v>
      </c>
      <c r="H22" s="26">
        <v>-0.11208340105189202</v>
      </c>
      <c r="I22" s="26">
        <v>-0.22544176449486178</v>
      </c>
      <c r="J22" s="26">
        <v>-0.16582769468783107</v>
      </c>
      <c r="K22" s="26">
        <v>0.15209613363276214</v>
      </c>
      <c r="L22" s="26">
        <v>7.7108872006346599E-2</v>
      </c>
      <c r="M22" s="26">
        <v>0.28298395716699309</v>
      </c>
      <c r="N22" s="26">
        <v>0.95174499134055124</v>
      </c>
      <c r="O22" s="26">
        <v>0.96373791453439261</v>
      </c>
      <c r="P22" s="26">
        <v>0.93564702900472696</v>
      </c>
      <c r="Q22" s="26">
        <v>0.99717566965402626</v>
      </c>
      <c r="R22" s="26">
        <v>0.99201253613932439</v>
      </c>
      <c r="S22" s="26">
        <v>0.95754652745044633</v>
      </c>
      <c r="T22" s="26">
        <v>0.96150422316753559</v>
      </c>
      <c r="U22" s="26">
        <v>0.38358423945664899</v>
      </c>
      <c r="V22" s="26">
        <v>1</v>
      </c>
      <c r="W22" s="26">
        <v>0.96896998392380129</v>
      </c>
      <c r="X22" s="26">
        <v>0.94744905640741217</v>
      </c>
      <c r="Y22" s="26">
        <v>0.95083830081640974</v>
      </c>
      <c r="Z22" s="26">
        <v>0.96929341458456864</v>
      </c>
      <c r="AA22" s="26">
        <v>0.94141525269782811</v>
      </c>
      <c r="AB22" s="26">
        <v>0.92815216183336169</v>
      </c>
      <c r="AC22" s="26">
        <v>0.93670609207726951</v>
      </c>
      <c r="AD22" s="26">
        <v>0.94861123042416018</v>
      </c>
      <c r="AE22" s="26">
        <v>0.82949436906075469</v>
      </c>
      <c r="AF22" s="26">
        <v>0.81074649030209323</v>
      </c>
      <c r="AG22" s="26">
        <v>0.83512083087666567</v>
      </c>
      <c r="AH22" s="26">
        <v>0.79629819819385361</v>
      </c>
      <c r="AI22" s="26">
        <v>0.75162265482091672</v>
      </c>
      <c r="AJ22" s="26">
        <v>0.67264556886778482</v>
      </c>
      <c r="AK22" s="26">
        <v>0.82425107429738442</v>
      </c>
      <c r="AL22" s="26">
        <v>0.60196624788351882</v>
      </c>
      <c r="AM22" s="26">
        <v>0.94056007478647996</v>
      </c>
      <c r="AN22" s="26">
        <v>0.63394793143263894</v>
      </c>
      <c r="AO22" s="26">
        <v>0.73833180715714253</v>
      </c>
      <c r="AP22" s="26">
        <v>0.88782285131033856</v>
      </c>
      <c r="AQ22" s="26">
        <v>0.82855351234023644</v>
      </c>
      <c r="AR22" s="26">
        <v>0.93512324993004048</v>
      </c>
      <c r="AS22" s="26">
        <v>0.8678529744566682</v>
      </c>
      <c r="AT22" s="26">
        <v>0.88172727041597165</v>
      </c>
      <c r="AU22" s="26">
        <v>0.6034493694692068</v>
      </c>
      <c r="AV22" s="26">
        <v>0.24744246785872942</v>
      </c>
      <c r="AW22">
        <f t="shared" si="0"/>
        <v>27.810460248586228</v>
      </c>
    </row>
    <row r="23" spans="1:49" x14ac:dyDescent="0.2">
      <c r="A23" s="26" t="s">
        <v>96</v>
      </c>
      <c r="B23" s="26">
        <v>-0.46004214841525753</v>
      </c>
      <c r="C23" s="26">
        <v>-0.21964779055484904</v>
      </c>
      <c r="D23" s="26">
        <v>-0.39624087451268308</v>
      </c>
      <c r="E23" s="26">
        <v>-0.26485147170092765</v>
      </c>
      <c r="F23" s="26">
        <v>-0.46138984395169708</v>
      </c>
      <c r="G23" s="26">
        <v>-0.194681657720471</v>
      </c>
      <c r="H23" s="26">
        <v>-0.20088022559409016</v>
      </c>
      <c r="I23" s="26">
        <v>-0.28671109879340773</v>
      </c>
      <c r="J23" s="26">
        <v>-0.24545292164891452</v>
      </c>
      <c r="K23" s="26">
        <v>9.5975270415783853E-2</v>
      </c>
      <c r="L23" s="26">
        <v>4.6180839695045314E-2</v>
      </c>
      <c r="M23" s="26">
        <v>0.2258909167191202</v>
      </c>
      <c r="N23" s="26">
        <v>0.94366628937208963</v>
      </c>
      <c r="O23" s="26">
        <v>0.88498866349008032</v>
      </c>
      <c r="P23" s="26">
        <v>0.9664740088239987</v>
      </c>
      <c r="Q23" s="26">
        <v>0.97046713287610553</v>
      </c>
      <c r="R23" s="26">
        <v>0.97022670109846787</v>
      </c>
      <c r="S23" s="26">
        <v>0.87620444987550006</v>
      </c>
      <c r="T23" s="26">
        <v>0.9977632675873338</v>
      </c>
      <c r="U23" s="26">
        <v>0.39203598453888866</v>
      </c>
      <c r="V23" s="26">
        <v>0.96896998392380129</v>
      </c>
      <c r="W23" s="26">
        <v>1</v>
      </c>
      <c r="X23" s="26">
        <v>0.89050095554188613</v>
      </c>
      <c r="Y23" s="26">
        <v>0.87181098691207215</v>
      </c>
      <c r="Z23" s="26">
        <v>0.95372214897621743</v>
      </c>
      <c r="AA23" s="26">
        <v>0.89223278543395168</v>
      </c>
      <c r="AB23" s="26">
        <v>0.85468748437168907</v>
      </c>
      <c r="AC23" s="26">
        <v>0.91030006682295028</v>
      </c>
      <c r="AD23" s="26">
        <v>0.90771177125745606</v>
      </c>
      <c r="AE23" s="26">
        <v>0.78661474876317905</v>
      </c>
      <c r="AF23" s="26">
        <v>0.74622512778474381</v>
      </c>
      <c r="AG23" s="26">
        <v>0.78915645085682595</v>
      </c>
      <c r="AH23" s="26">
        <v>0.75593337462299892</v>
      </c>
      <c r="AI23" s="26">
        <v>0.69645788167862299</v>
      </c>
      <c r="AJ23" s="26">
        <v>0.62196007362772832</v>
      </c>
      <c r="AK23" s="26">
        <v>0.77600587002548571</v>
      </c>
      <c r="AL23" s="26">
        <v>0.62600581848433856</v>
      </c>
      <c r="AM23" s="26">
        <v>0.87984786803679083</v>
      </c>
      <c r="AN23" s="26">
        <v>0.65994432254696955</v>
      </c>
      <c r="AO23" s="26">
        <v>0.74844161827039202</v>
      </c>
      <c r="AP23" s="26">
        <v>0.91728885585855968</v>
      </c>
      <c r="AQ23" s="26">
        <v>0.79560142083498009</v>
      </c>
      <c r="AR23" s="26">
        <v>0.92072232473069371</v>
      </c>
      <c r="AS23" s="26">
        <v>0.7738542871391717</v>
      </c>
      <c r="AT23" s="26">
        <v>0.84885297435124807</v>
      </c>
      <c r="AU23" s="26">
        <v>0.56935726984442081</v>
      </c>
      <c r="AV23" s="26">
        <v>0.26515546857612043</v>
      </c>
      <c r="AW23">
        <f t="shared" si="0"/>
        <v>26.067337430873415</v>
      </c>
    </row>
    <row r="24" spans="1:49" x14ac:dyDescent="0.2">
      <c r="A24" s="26" t="s">
        <v>97</v>
      </c>
      <c r="B24" s="26">
        <v>-0.44192470995783678</v>
      </c>
      <c r="C24" s="26">
        <v>-0.15362562985494127</v>
      </c>
      <c r="D24" s="26">
        <v>-0.31924472918151936</v>
      </c>
      <c r="E24" s="26">
        <v>-0.23634259202091668</v>
      </c>
      <c r="F24" s="26">
        <v>-0.42293713124665089</v>
      </c>
      <c r="G24" s="26">
        <v>-0.12385866380069632</v>
      </c>
      <c r="H24" s="26">
        <v>-9.5734325150598931E-2</v>
      </c>
      <c r="I24" s="26">
        <v>-0.21069638280807215</v>
      </c>
      <c r="J24" s="26">
        <v>-0.17129291820427137</v>
      </c>
      <c r="K24" s="26">
        <v>0.12705974941243478</v>
      </c>
      <c r="L24" s="26">
        <v>2.9618994802384908E-2</v>
      </c>
      <c r="M24" s="26">
        <v>0.25596193150067498</v>
      </c>
      <c r="N24" s="26">
        <v>0.86450099345208986</v>
      </c>
      <c r="O24" s="26">
        <v>0.89008752532202384</v>
      </c>
      <c r="P24" s="26">
        <v>0.82448142714003159</v>
      </c>
      <c r="Q24" s="26">
        <v>0.92374489457615128</v>
      </c>
      <c r="R24" s="26">
        <v>0.90263532055374884</v>
      </c>
      <c r="S24" s="26">
        <v>0.87665049322283661</v>
      </c>
      <c r="T24" s="26">
        <v>0.87326250352210955</v>
      </c>
      <c r="U24" s="26">
        <v>0.30755316942744071</v>
      </c>
      <c r="V24" s="26">
        <v>0.94744905640741217</v>
      </c>
      <c r="W24" s="26">
        <v>0.89050095554188613</v>
      </c>
      <c r="X24" s="26">
        <v>1</v>
      </c>
      <c r="Y24" s="26">
        <v>0.96672757316980884</v>
      </c>
      <c r="Z24" s="26">
        <v>0.95611049933002923</v>
      </c>
      <c r="AA24" s="26">
        <v>0.99550660732815033</v>
      </c>
      <c r="AB24" s="26">
        <v>0.9854501872599537</v>
      </c>
      <c r="AC24" s="26">
        <v>0.9802488093274867</v>
      </c>
      <c r="AD24" s="26">
        <v>0.89557256307908717</v>
      </c>
      <c r="AE24" s="26">
        <v>0.7792165927799396</v>
      </c>
      <c r="AF24" s="26">
        <v>0.80503150369100596</v>
      </c>
      <c r="AG24" s="26">
        <v>0.78294482501545626</v>
      </c>
      <c r="AH24" s="26">
        <v>0.73844404817350018</v>
      </c>
      <c r="AI24" s="26">
        <v>0.71296936734345984</v>
      </c>
      <c r="AJ24" s="26">
        <v>0.64336655200436499</v>
      </c>
      <c r="AK24" s="26">
        <v>0.77760162036386127</v>
      </c>
      <c r="AL24" s="26">
        <v>0.53062125401052773</v>
      </c>
      <c r="AM24" s="26">
        <v>0.90760720237140668</v>
      </c>
      <c r="AN24" s="26">
        <v>0.49443362521185596</v>
      </c>
      <c r="AO24" s="26">
        <v>0.74587376292521823</v>
      </c>
      <c r="AP24" s="26">
        <v>0.87305085789565207</v>
      </c>
      <c r="AQ24" s="26">
        <v>0.80380167101514055</v>
      </c>
      <c r="AR24" s="26">
        <v>0.92362793463286352</v>
      </c>
      <c r="AS24" s="26">
        <v>0.78641247275984394</v>
      </c>
      <c r="AT24" s="26">
        <v>0.88259559306570057</v>
      </c>
      <c r="AU24" s="26">
        <v>0.59613626981984003</v>
      </c>
      <c r="AV24" s="26">
        <v>0.1747815049773728</v>
      </c>
      <c r="AW24">
        <f t="shared" si="0"/>
        <v>26.275982830207244</v>
      </c>
    </row>
    <row r="25" spans="1:49" x14ac:dyDescent="0.2">
      <c r="A25" s="26" t="s">
        <v>98</v>
      </c>
      <c r="B25" s="26">
        <v>-0.40182749983474664</v>
      </c>
      <c r="C25" s="26">
        <v>-8.4749062784293894E-2</v>
      </c>
      <c r="D25" s="26">
        <v>-0.26017982427930447</v>
      </c>
      <c r="E25" s="26">
        <v>-0.18620967259652776</v>
      </c>
      <c r="F25" s="26">
        <v>-0.37719352551707491</v>
      </c>
      <c r="G25" s="26">
        <v>-5.0991452743764029E-2</v>
      </c>
      <c r="H25" s="26">
        <v>-1.7132242969492451E-2</v>
      </c>
      <c r="I25" s="26">
        <v>-0.15537985776387286</v>
      </c>
      <c r="J25" s="26">
        <v>-9.982916827093781E-2</v>
      </c>
      <c r="K25" s="26">
        <v>0.1800325418004716</v>
      </c>
      <c r="L25" s="26">
        <v>6.8750850789639689E-2</v>
      </c>
      <c r="M25" s="26">
        <v>0.31288485939047889</v>
      </c>
      <c r="N25" s="26">
        <v>0.8828060555070063</v>
      </c>
      <c r="O25" s="26">
        <v>0.93712377782648426</v>
      </c>
      <c r="P25" s="26">
        <v>0.81351119671708971</v>
      </c>
      <c r="Q25" s="26">
        <v>0.9386304426843306</v>
      </c>
      <c r="R25" s="26">
        <v>0.91752593364456936</v>
      </c>
      <c r="S25" s="26">
        <v>0.92591823882597257</v>
      </c>
      <c r="T25" s="26">
        <v>0.85581713285530558</v>
      </c>
      <c r="U25" s="26">
        <v>0.30022167074351613</v>
      </c>
      <c r="V25" s="26">
        <v>0.95083830081640974</v>
      </c>
      <c r="W25" s="26">
        <v>0.87181098691207215</v>
      </c>
      <c r="X25" s="26">
        <v>0.96672757316980884</v>
      </c>
      <c r="Y25" s="26">
        <v>1</v>
      </c>
      <c r="Z25" s="26">
        <v>0.94042011746134502</v>
      </c>
      <c r="AA25" s="26">
        <v>0.9520159234088672</v>
      </c>
      <c r="AB25" s="26">
        <v>0.96068700276580576</v>
      </c>
      <c r="AC25" s="26">
        <v>0.92198808629691253</v>
      </c>
      <c r="AD25" s="26">
        <v>0.92363356594456936</v>
      </c>
      <c r="AE25" s="26">
        <v>0.82419041813181615</v>
      </c>
      <c r="AF25" s="26">
        <v>0.8417067746597392</v>
      </c>
      <c r="AG25" s="26">
        <v>0.82126862275342583</v>
      </c>
      <c r="AH25" s="26">
        <v>0.77878573567225529</v>
      </c>
      <c r="AI25" s="26">
        <v>0.7522175857536374</v>
      </c>
      <c r="AJ25" s="26">
        <v>0.70295834939682889</v>
      </c>
      <c r="AK25" s="26">
        <v>0.82148931645939249</v>
      </c>
      <c r="AL25" s="26">
        <v>0.52790593684534193</v>
      </c>
      <c r="AM25" s="26">
        <v>0.93540839917158147</v>
      </c>
      <c r="AN25" s="26">
        <v>0.54120392778505999</v>
      </c>
      <c r="AO25" s="26">
        <v>0.67417819452966377</v>
      </c>
      <c r="AP25" s="26">
        <v>0.81876910973127692</v>
      </c>
      <c r="AQ25" s="26">
        <v>0.80682502984096494</v>
      </c>
      <c r="AR25" s="26">
        <v>0.90202824524901093</v>
      </c>
      <c r="AS25" s="26">
        <v>0.84760114754178106</v>
      </c>
      <c r="AT25" s="26">
        <v>0.8752854971437305</v>
      </c>
      <c r="AU25" s="26">
        <v>0.61022833479606053</v>
      </c>
      <c r="AV25" s="26">
        <v>0.20189757298366992</v>
      </c>
      <c r="AW25">
        <f t="shared" si="0"/>
        <v>27.271800149245877</v>
      </c>
    </row>
    <row r="26" spans="1:49" x14ac:dyDescent="0.2">
      <c r="A26" s="26" t="s">
        <v>99</v>
      </c>
      <c r="B26" s="26">
        <v>-0.42076639536133553</v>
      </c>
      <c r="C26" s="26">
        <v>-0.1464969396487345</v>
      </c>
      <c r="D26" s="26">
        <v>-0.32754632898530522</v>
      </c>
      <c r="E26" s="26">
        <v>-0.21858682504330509</v>
      </c>
      <c r="F26" s="26">
        <v>-0.41849224734207047</v>
      </c>
      <c r="G26" s="26">
        <v>-0.12576711729598453</v>
      </c>
      <c r="H26" s="26">
        <v>-0.11012166656017285</v>
      </c>
      <c r="I26" s="26">
        <v>-0.24422741887007957</v>
      </c>
      <c r="J26" s="26">
        <v>-0.17331520231411357</v>
      </c>
      <c r="K26" s="26">
        <v>0.13935405400894646</v>
      </c>
      <c r="L26" s="26">
        <v>6.2731545241268921E-2</v>
      </c>
      <c r="M26" s="26">
        <v>0.25750167231033089</v>
      </c>
      <c r="N26" s="26">
        <v>0.92457558881816138</v>
      </c>
      <c r="O26" s="26">
        <v>0.90090605548743696</v>
      </c>
      <c r="P26" s="26">
        <v>0.91245886286352729</v>
      </c>
      <c r="Q26" s="26">
        <v>0.95906550081683373</v>
      </c>
      <c r="R26" s="26">
        <v>0.94446289176139664</v>
      </c>
      <c r="S26" s="26">
        <v>0.89010353343564697</v>
      </c>
      <c r="T26" s="26">
        <v>0.9380636794970969</v>
      </c>
      <c r="U26" s="26">
        <v>0.37619250976056018</v>
      </c>
      <c r="V26" s="26">
        <v>0.96929341458456864</v>
      </c>
      <c r="W26" s="26">
        <v>0.95372214897621743</v>
      </c>
      <c r="X26" s="26">
        <v>0.95611049933002923</v>
      </c>
      <c r="Y26" s="26">
        <v>0.94042011746134502</v>
      </c>
      <c r="Z26" s="26">
        <v>1</v>
      </c>
      <c r="AA26" s="26">
        <v>0.9532808452686572</v>
      </c>
      <c r="AB26" s="26">
        <v>0.92273120667846842</v>
      </c>
      <c r="AC26" s="26">
        <v>0.95978562513871024</v>
      </c>
      <c r="AD26" s="26">
        <v>0.92715696984981133</v>
      </c>
      <c r="AE26" s="26">
        <v>0.81766434540855504</v>
      </c>
      <c r="AF26" s="26">
        <v>0.81106053338643425</v>
      </c>
      <c r="AG26" s="26">
        <v>0.82000634574756981</v>
      </c>
      <c r="AH26" s="26">
        <v>0.78320105319809907</v>
      </c>
      <c r="AI26" s="26">
        <v>0.73562739683528577</v>
      </c>
      <c r="AJ26" s="26">
        <v>0.68627094015510048</v>
      </c>
      <c r="AK26" s="26">
        <v>0.81330252450046292</v>
      </c>
      <c r="AL26" s="26">
        <v>0.60726504375732471</v>
      </c>
      <c r="AM26" s="26">
        <v>0.91293713684626132</v>
      </c>
      <c r="AN26" s="26">
        <v>0.63923696852127876</v>
      </c>
      <c r="AO26" s="26">
        <v>0.76195418505406687</v>
      </c>
      <c r="AP26" s="26">
        <v>0.88922479364674278</v>
      </c>
      <c r="AQ26" s="26">
        <v>0.81644170664015669</v>
      </c>
      <c r="AR26" s="26">
        <v>0.94186149416949716</v>
      </c>
      <c r="AS26" s="26">
        <v>0.77479900609968644</v>
      </c>
      <c r="AT26" s="26">
        <v>0.88719420956307105</v>
      </c>
      <c r="AU26" s="26">
        <v>0.61296083578722516</v>
      </c>
      <c r="AV26" s="26">
        <v>0.25909696422978495</v>
      </c>
      <c r="AW26">
        <f t="shared" si="0"/>
        <v>27.272702063414513</v>
      </c>
    </row>
    <row r="27" spans="1:49" x14ac:dyDescent="0.2">
      <c r="A27" s="26" t="s">
        <v>100</v>
      </c>
      <c r="B27" s="26">
        <v>-0.43629545525575653</v>
      </c>
      <c r="C27" s="26">
        <v>-0.1557854828914905</v>
      </c>
      <c r="D27" s="26">
        <v>-0.31817475368287929</v>
      </c>
      <c r="E27" s="26">
        <v>-0.23422590266543955</v>
      </c>
      <c r="F27" s="26">
        <v>-0.41855788397017019</v>
      </c>
      <c r="G27" s="26">
        <v>-0.12544832056355384</v>
      </c>
      <c r="H27" s="26">
        <v>-9.8990410935700407E-2</v>
      </c>
      <c r="I27" s="26">
        <v>-0.2078995029421177</v>
      </c>
      <c r="J27" s="26">
        <v>-0.17303300520237486</v>
      </c>
      <c r="K27" s="26">
        <v>0.11900584015488856</v>
      </c>
      <c r="L27" s="26">
        <v>2.77060430362631E-2</v>
      </c>
      <c r="M27" s="26">
        <v>0.24536763177995904</v>
      </c>
      <c r="N27" s="26">
        <v>0.86414128472057339</v>
      </c>
      <c r="O27" s="26">
        <v>0.87196691555164496</v>
      </c>
      <c r="P27" s="26">
        <v>0.83011643030013837</v>
      </c>
      <c r="Q27" s="26">
        <v>0.91613296323132309</v>
      </c>
      <c r="R27" s="26">
        <v>0.89562370972374383</v>
      </c>
      <c r="S27" s="26">
        <v>0.85945239903899495</v>
      </c>
      <c r="T27" s="26">
        <v>0.87638101249000144</v>
      </c>
      <c r="U27" s="26">
        <v>0.31634475438964726</v>
      </c>
      <c r="V27" s="26">
        <v>0.94141525269782811</v>
      </c>
      <c r="W27" s="26">
        <v>0.89223278543395168</v>
      </c>
      <c r="X27" s="26">
        <v>0.99550660732815033</v>
      </c>
      <c r="Y27" s="26">
        <v>0.9520159234088672</v>
      </c>
      <c r="Z27" s="26">
        <v>0.9532808452686572</v>
      </c>
      <c r="AA27" s="26">
        <v>1</v>
      </c>
      <c r="AB27" s="26">
        <v>0.9844443594103468</v>
      </c>
      <c r="AC27" s="26">
        <v>0.98873056112060653</v>
      </c>
      <c r="AD27" s="26">
        <v>0.88183898718029952</v>
      </c>
      <c r="AE27" s="26">
        <v>0.76057427617302409</v>
      </c>
      <c r="AF27" s="26">
        <v>0.78180676939464011</v>
      </c>
      <c r="AG27" s="26">
        <v>0.76301343040957881</v>
      </c>
      <c r="AH27" s="26">
        <v>0.72041796332525077</v>
      </c>
      <c r="AI27" s="26">
        <v>0.69186954435147785</v>
      </c>
      <c r="AJ27" s="26">
        <v>0.62474262035554962</v>
      </c>
      <c r="AK27" s="26">
        <v>0.75691453579912227</v>
      </c>
      <c r="AL27" s="26">
        <v>0.53629770055513615</v>
      </c>
      <c r="AM27" s="26">
        <v>0.89586141013608089</v>
      </c>
      <c r="AN27" s="26">
        <v>0.49923257570599988</v>
      </c>
      <c r="AO27" s="26">
        <v>0.75777122186710177</v>
      </c>
      <c r="AP27" s="26">
        <v>0.87282952298022776</v>
      </c>
      <c r="AQ27" s="26">
        <v>0.79389214992541668</v>
      </c>
      <c r="AR27" s="26">
        <v>0.92619357274930869</v>
      </c>
      <c r="AS27" s="26">
        <v>0.76753904394569095</v>
      </c>
      <c r="AT27" s="26">
        <v>0.87682540331792402</v>
      </c>
      <c r="AU27" s="26">
        <v>0.60442473891580306</v>
      </c>
      <c r="AV27" s="26">
        <v>0.19423627587319992</v>
      </c>
      <c r="AW27">
        <f t="shared" si="0"/>
        <v>26.067736343936936</v>
      </c>
    </row>
    <row r="28" spans="1:49" x14ac:dyDescent="0.2">
      <c r="A28" s="26" t="s">
        <v>101</v>
      </c>
      <c r="B28" s="26">
        <v>-0.42627612646838126</v>
      </c>
      <c r="C28" s="26">
        <v>-0.14848956399413041</v>
      </c>
      <c r="D28" s="26">
        <v>-0.30379435842560015</v>
      </c>
      <c r="E28" s="26">
        <v>-0.23048790794509577</v>
      </c>
      <c r="F28" s="26">
        <v>-0.40403637145780669</v>
      </c>
      <c r="G28" s="26">
        <v>-0.10952158410727689</v>
      </c>
      <c r="H28" s="26">
        <v>-8.6053659371414862E-2</v>
      </c>
      <c r="I28" s="26">
        <v>-0.19726469879296074</v>
      </c>
      <c r="J28" s="26">
        <v>-0.15778795866418741</v>
      </c>
      <c r="K28" s="26">
        <v>0.11666548322797757</v>
      </c>
      <c r="L28" s="26">
        <v>1.8891312010147283E-2</v>
      </c>
      <c r="M28" s="26">
        <v>0.25010506040204111</v>
      </c>
      <c r="N28" s="26">
        <v>0.84323868496921706</v>
      </c>
      <c r="O28" s="26">
        <v>0.88912844810569813</v>
      </c>
      <c r="P28" s="26">
        <v>0.78588145728015979</v>
      </c>
      <c r="Q28" s="26">
        <v>0.90270908367873592</v>
      </c>
      <c r="R28" s="26">
        <v>0.88143284073760675</v>
      </c>
      <c r="S28" s="26">
        <v>0.87084264134339662</v>
      </c>
      <c r="T28" s="26">
        <v>0.83959617134122</v>
      </c>
      <c r="U28" s="26">
        <v>0.29369527584516258</v>
      </c>
      <c r="V28" s="26">
        <v>0.92815216183336169</v>
      </c>
      <c r="W28" s="26">
        <v>0.85468748437168907</v>
      </c>
      <c r="X28" s="26">
        <v>0.9854501872599537</v>
      </c>
      <c r="Y28" s="26">
        <v>0.96068700276580576</v>
      </c>
      <c r="Z28" s="26">
        <v>0.92273120667846842</v>
      </c>
      <c r="AA28" s="26">
        <v>0.9844443594103468</v>
      </c>
      <c r="AB28" s="26">
        <v>1</v>
      </c>
      <c r="AC28" s="26">
        <v>0.9498740858849879</v>
      </c>
      <c r="AD28" s="26">
        <v>0.87654044371196926</v>
      </c>
      <c r="AE28" s="26">
        <v>0.76044288035653718</v>
      </c>
      <c r="AF28" s="26">
        <v>0.78954009757035437</v>
      </c>
      <c r="AG28" s="26">
        <v>0.76511094055732787</v>
      </c>
      <c r="AH28" s="26">
        <v>0.72602873845494831</v>
      </c>
      <c r="AI28" s="26">
        <v>0.69158369806368325</v>
      </c>
      <c r="AJ28" s="26">
        <v>0.61899743019461717</v>
      </c>
      <c r="AK28" s="26">
        <v>0.75642920012229364</v>
      </c>
      <c r="AL28" s="26">
        <v>0.49694532289701182</v>
      </c>
      <c r="AM28" s="26">
        <v>0.89555157417533759</v>
      </c>
      <c r="AN28" s="26">
        <v>0.46473819050283477</v>
      </c>
      <c r="AO28" s="26">
        <v>0.71580826361870808</v>
      </c>
      <c r="AP28" s="26">
        <v>0.82692617980489369</v>
      </c>
      <c r="AQ28" s="26">
        <v>0.80325038357678313</v>
      </c>
      <c r="AR28" s="26">
        <v>0.89477574863867049</v>
      </c>
      <c r="AS28" s="26">
        <v>0.79385876718410819</v>
      </c>
      <c r="AT28" s="26">
        <v>0.85823722614847897</v>
      </c>
      <c r="AU28" s="26">
        <v>0.58042644885325712</v>
      </c>
      <c r="AV28" s="26">
        <v>0.16601730574622964</v>
      </c>
      <c r="AW28">
        <f t="shared" si="0"/>
        <v>25.695709558097171</v>
      </c>
    </row>
    <row r="29" spans="1:49" x14ac:dyDescent="0.2">
      <c r="A29" s="26" t="s">
        <v>102</v>
      </c>
      <c r="B29" s="26">
        <v>-0.44628186397231967</v>
      </c>
      <c r="C29" s="26">
        <v>-0.16687018381155047</v>
      </c>
      <c r="D29" s="26">
        <v>-0.33293908349250168</v>
      </c>
      <c r="E29" s="26">
        <v>-0.24396369296478571</v>
      </c>
      <c r="F29" s="26">
        <v>-0.43315718123682256</v>
      </c>
      <c r="G29" s="26">
        <v>-0.14465581423263929</v>
      </c>
      <c r="H29" s="26">
        <v>-0.11803286344597408</v>
      </c>
      <c r="I29" s="26">
        <v>-0.21904660389094291</v>
      </c>
      <c r="J29" s="26">
        <v>-0.19315325562709368</v>
      </c>
      <c r="K29" s="26">
        <v>0.11063654330675382</v>
      </c>
      <c r="L29" s="26">
        <v>2.3762644182979711E-2</v>
      </c>
      <c r="M29" s="26">
        <v>0.22824589235766021</v>
      </c>
      <c r="N29" s="26">
        <v>0.86839246537240244</v>
      </c>
      <c r="O29" s="26">
        <v>0.84871766010098559</v>
      </c>
      <c r="P29" s="26">
        <v>0.85637022699863563</v>
      </c>
      <c r="Q29" s="26">
        <v>0.91253341628372309</v>
      </c>
      <c r="R29" s="26">
        <v>0.89437328959437223</v>
      </c>
      <c r="S29" s="26">
        <v>0.83603284205965545</v>
      </c>
      <c r="T29" s="26">
        <v>0.89512546814136829</v>
      </c>
      <c r="U29" s="26">
        <v>0.33496535338878991</v>
      </c>
      <c r="V29" s="26">
        <v>0.93670609207726951</v>
      </c>
      <c r="W29" s="26">
        <v>0.91030006682295028</v>
      </c>
      <c r="X29" s="26">
        <v>0.9802488093274867</v>
      </c>
      <c r="Y29" s="26">
        <v>0.92198808629691253</v>
      </c>
      <c r="Z29" s="26">
        <v>0.95978562513871024</v>
      </c>
      <c r="AA29" s="26">
        <v>0.98873056112060653</v>
      </c>
      <c r="AB29" s="26">
        <v>0.9498740858849879</v>
      </c>
      <c r="AC29" s="26">
        <v>1</v>
      </c>
      <c r="AD29" s="26">
        <v>0.87256991090557923</v>
      </c>
      <c r="AE29" s="26">
        <v>0.74971366825709418</v>
      </c>
      <c r="AF29" s="26">
        <v>0.76563359738736203</v>
      </c>
      <c r="AG29" s="26">
        <v>0.74879730533770494</v>
      </c>
      <c r="AH29" s="26">
        <v>0.70552532859829964</v>
      </c>
      <c r="AI29" s="26">
        <v>0.67886625374445675</v>
      </c>
      <c r="AJ29" s="26">
        <v>0.61931683385295511</v>
      </c>
      <c r="AK29" s="26">
        <v>0.74756217620603482</v>
      </c>
      <c r="AL29" s="26">
        <v>0.56188059047419525</v>
      </c>
      <c r="AM29" s="26">
        <v>0.87645033060839805</v>
      </c>
      <c r="AN29" s="26">
        <v>0.51604058675520081</v>
      </c>
      <c r="AO29" s="26">
        <v>0.78895371398928227</v>
      </c>
      <c r="AP29" s="26">
        <v>0.89409916397540323</v>
      </c>
      <c r="AQ29" s="26">
        <v>0.76361364683868216</v>
      </c>
      <c r="AR29" s="26">
        <v>0.93821787646117005</v>
      </c>
      <c r="AS29" s="26">
        <v>0.73407997317324991</v>
      </c>
      <c r="AT29" s="26">
        <v>0.88423278342716838</v>
      </c>
      <c r="AU29" s="26">
        <v>0.59957263645245273</v>
      </c>
      <c r="AV29" s="26">
        <v>0.20799884261680435</v>
      </c>
      <c r="AW29">
        <f t="shared" si="0"/>
        <v>25.811813804843112</v>
      </c>
    </row>
    <row r="30" spans="1:49" x14ac:dyDescent="0.2">
      <c r="A30" s="26" t="s">
        <v>106</v>
      </c>
      <c r="B30" s="26">
        <v>-0.43340948369650734</v>
      </c>
      <c r="C30" s="26">
        <v>-7.1038828307448204E-2</v>
      </c>
      <c r="D30" s="26">
        <v>-0.27724050504379577</v>
      </c>
      <c r="E30" s="26">
        <v>-0.18633465004712238</v>
      </c>
      <c r="F30" s="26">
        <v>-0.41258037541692971</v>
      </c>
      <c r="G30" s="26">
        <v>-4.0960867168149159E-2</v>
      </c>
      <c r="H30" s="26">
        <v>-1.3642125220905419E-2</v>
      </c>
      <c r="I30" s="26">
        <v>-0.16523834117082892</v>
      </c>
      <c r="J30" s="26">
        <v>-9.9036099169480363E-2</v>
      </c>
      <c r="K30" s="26">
        <v>0.23481963152214544</v>
      </c>
      <c r="L30" s="26">
        <v>0.12157383990048126</v>
      </c>
      <c r="M30" s="26">
        <v>0.36992149516157374</v>
      </c>
      <c r="N30" s="26">
        <v>0.89468821254778474</v>
      </c>
      <c r="O30" s="26">
        <v>0.93805251218367913</v>
      </c>
      <c r="P30" s="26">
        <v>0.87297692733263554</v>
      </c>
      <c r="Q30" s="26">
        <v>0.94996275435778388</v>
      </c>
      <c r="R30" s="26">
        <v>0.9425770163827315</v>
      </c>
      <c r="S30" s="26">
        <v>0.9287256870798426</v>
      </c>
      <c r="T30" s="26">
        <v>0.89780946893497149</v>
      </c>
      <c r="U30" s="26">
        <v>0.35946446987516084</v>
      </c>
      <c r="V30" s="26">
        <v>0.94861123042416018</v>
      </c>
      <c r="W30" s="26">
        <v>0.90771177125745606</v>
      </c>
      <c r="X30" s="26">
        <v>0.89557256307908717</v>
      </c>
      <c r="Y30" s="26">
        <v>0.92363356594456936</v>
      </c>
      <c r="Z30" s="26">
        <v>0.92715696984981133</v>
      </c>
      <c r="AA30" s="26">
        <v>0.88183898718029952</v>
      </c>
      <c r="AB30" s="26">
        <v>0.87654044371196926</v>
      </c>
      <c r="AC30" s="26">
        <v>0.87256991090557923</v>
      </c>
      <c r="AD30" s="26">
        <v>1</v>
      </c>
      <c r="AE30" s="26">
        <v>0.96155031479075881</v>
      </c>
      <c r="AF30" s="26">
        <v>0.93175631401364667</v>
      </c>
      <c r="AG30" s="26">
        <v>0.95634460869987714</v>
      </c>
      <c r="AH30" s="26">
        <v>0.91980801097469467</v>
      </c>
      <c r="AI30" s="26">
        <v>0.86892385490649093</v>
      </c>
      <c r="AJ30" s="26">
        <v>0.82446239029182644</v>
      </c>
      <c r="AK30" s="26">
        <v>0.95758114664715877</v>
      </c>
      <c r="AL30" s="26">
        <v>0.58997458124227742</v>
      </c>
      <c r="AM30" s="26">
        <v>0.89253437832683213</v>
      </c>
      <c r="AN30" s="26">
        <v>0.58067496449938039</v>
      </c>
      <c r="AO30" s="26">
        <v>0.74867692580112777</v>
      </c>
      <c r="AP30" s="26">
        <v>0.81813832622759419</v>
      </c>
      <c r="AQ30" s="26">
        <v>0.75428868626536338</v>
      </c>
      <c r="AR30" s="26">
        <v>0.88081000758510863</v>
      </c>
      <c r="AS30" s="26">
        <v>0.83713008992040816</v>
      </c>
      <c r="AT30" s="26">
        <v>0.89615996757387961</v>
      </c>
      <c r="AU30" s="26">
        <v>0.58143332285145866</v>
      </c>
      <c r="AV30" s="26">
        <v>0.22602604200135312</v>
      </c>
      <c r="AW30">
        <f t="shared" si="0"/>
        <v>28.271000115009794</v>
      </c>
    </row>
    <row r="31" spans="1:49" x14ac:dyDescent="0.2">
      <c r="A31" s="26" t="s">
        <v>108</v>
      </c>
      <c r="B31" s="26">
        <v>-0.4005404586831996</v>
      </c>
      <c r="C31" s="26">
        <v>2.9088432375239926E-3</v>
      </c>
      <c r="D31" s="26">
        <v>-0.20864453786115628</v>
      </c>
      <c r="E31" s="26">
        <v>-0.13325189809673146</v>
      </c>
      <c r="F31" s="26">
        <v>-0.3662278809126947</v>
      </c>
      <c r="G31" s="26">
        <v>3.1190373217814024E-2</v>
      </c>
      <c r="H31" s="26">
        <v>7.5778948133907467E-2</v>
      </c>
      <c r="I31" s="26">
        <v>-9.4096954061198876E-2</v>
      </c>
      <c r="J31" s="26">
        <v>-2.3058127551530239E-2</v>
      </c>
      <c r="K31" s="26">
        <v>0.30611561353111555</v>
      </c>
      <c r="L31" s="26">
        <v>0.17472034267267539</v>
      </c>
      <c r="M31" s="26">
        <v>0.43474076365810499</v>
      </c>
      <c r="N31" s="26">
        <v>0.77361080160892193</v>
      </c>
      <c r="O31" s="26">
        <v>0.83794145639625117</v>
      </c>
      <c r="P31" s="26">
        <v>0.75267990985272748</v>
      </c>
      <c r="Q31" s="26">
        <v>0.8337198529858193</v>
      </c>
      <c r="R31" s="26">
        <v>0.82455807828677097</v>
      </c>
      <c r="S31" s="26">
        <v>0.82579020044408746</v>
      </c>
      <c r="T31" s="26">
        <v>0.77517614900553022</v>
      </c>
      <c r="U31" s="26">
        <v>0.3145408362417943</v>
      </c>
      <c r="V31" s="26">
        <v>0.82949436906075469</v>
      </c>
      <c r="W31" s="26">
        <v>0.78661474876317905</v>
      </c>
      <c r="X31" s="26">
        <v>0.7792165927799396</v>
      </c>
      <c r="Y31" s="26">
        <v>0.82419041813181615</v>
      </c>
      <c r="Z31" s="26">
        <v>0.81766434540855504</v>
      </c>
      <c r="AA31" s="26">
        <v>0.76057427617302409</v>
      </c>
      <c r="AB31" s="26">
        <v>0.76044288035653718</v>
      </c>
      <c r="AC31" s="26">
        <v>0.74971366825709418</v>
      </c>
      <c r="AD31" s="26">
        <v>0.96155031479075881</v>
      </c>
      <c r="AE31" s="26">
        <v>1</v>
      </c>
      <c r="AF31" s="26">
        <v>0.95798669959747595</v>
      </c>
      <c r="AG31" s="26">
        <v>0.98512005334896502</v>
      </c>
      <c r="AH31" s="26">
        <v>0.95386307879876686</v>
      </c>
      <c r="AI31" s="26">
        <v>0.89945083136305859</v>
      </c>
      <c r="AJ31" s="26">
        <v>0.89114406026274218</v>
      </c>
      <c r="AK31" s="26">
        <v>0.99595926848484229</v>
      </c>
      <c r="AL31" s="26">
        <v>0.52774468145600417</v>
      </c>
      <c r="AM31" s="26">
        <v>0.77924365998419709</v>
      </c>
      <c r="AN31" s="26">
        <v>0.48327600653491132</v>
      </c>
      <c r="AO31" s="26">
        <v>0.70128826466098637</v>
      </c>
      <c r="AP31" s="26">
        <v>0.69899922342174459</v>
      </c>
      <c r="AQ31" s="26">
        <v>0.62943892686201075</v>
      </c>
      <c r="AR31" s="26">
        <v>0.76763647270714441</v>
      </c>
      <c r="AS31" s="26">
        <v>0.73507224676603822</v>
      </c>
      <c r="AT31" s="26">
        <v>0.83174241372748159</v>
      </c>
      <c r="AU31" s="26">
        <v>0.52759340346493266</v>
      </c>
      <c r="AV31" s="26">
        <v>0.19627756295283252</v>
      </c>
      <c r="AW31">
        <f t="shared" si="0"/>
        <v>26.56895078022233</v>
      </c>
    </row>
    <row r="32" spans="1:49" x14ac:dyDescent="0.2">
      <c r="A32" s="26" t="s">
        <v>109</v>
      </c>
      <c r="B32" s="26">
        <v>-0.41171406499127178</v>
      </c>
      <c r="C32" s="26">
        <v>2.5228289617515554E-2</v>
      </c>
      <c r="D32" s="26">
        <v>-0.18105585380549175</v>
      </c>
      <c r="E32" s="26">
        <v>-0.14061530882262283</v>
      </c>
      <c r="F32" s="26">
        <v>-0.36522645658412861</v>
      </c>
      <c r="G32" s="26">
        <v>5.4438194603721894E-2</v>
      </c>
      <c r="H32" s="26">
        <v>9.9716486563071666E-2</v>
      </c>
      <c r="I32" s="26">
        <v>-9.4934503264191686E-2</v>
      </c>
      <c r="J32" s="26">
        <v>-8.5851879123737436E-3</v>
      </c>
      <c r="K32" s="26">
        <v>0.31677060776055788</v>
      </c>
      <c r="L32" s="26">
        <v>0.13942435634765671</v>
      </c>
      <c r="M32" s="26">
        <v>0.43667893681618669</v>
      </c>
      <c r="N32" s="26">
        <v>0.731853328547314</v>
      </c>
      <c r="O32" s="26">
        <v>0.82363756826344325</v>
      </c>
      <c r="P32" s="26">
        <v>0.69626324580564924</v>
      </c>
      <c r="Q32" s="26">
        <v>0.80579106128473377</v>
      </c>
      <c r="R32" s="26">
        <v>0.78977626178768834</v>
      </c>
      <c r="S32" s="26">
        <v>0.80197991105737887</v>
      </c>
      <c r="T32" s="26">
        <v>0.73074192813532324</v>
      </c>
      <c r="U32" s="26">
        <v>0.30957820934991026</v>
      </c>
      <c r="V32" s="26">
        <v>0.81074649030209323</v>
      </c>
      <c r="W32" s="26">
        <v>0.74622512778474381</v>
      </c>
      <c r="X32" s="26">
        <v>0.80503150369100596</v>
      </c>
      <c r="Y32" s="26">
        <v>0.8417067746597392</v>
      </c>
      <c r="Z32" s="26">
        <v>0.81106053338643425</v>
      </c>
      <c r="AA32" s="26">
        <v>0.78180676939464011</v>
      </c>
      <c r="AB32" s="26">
        <v>0.78954009757035437</v>
      </c>
      <c r="AC32" s="26">
        <v>0.76563359738736203</v>
      </c>
      <c r="AD32" s="26">
        <v>0.93175631401364667</v>
      </c>
      <c r="AE32" s="26">
        <v>0.95798669959747595</v>
      </c>
      <c r="AF32" s="26">
        <v>1</v>
      </c>
      <c r="AG32" s="26">
        <v>0.93893105423595802</v>
      </c>
      <c r="AH32" s="26">
        <v>0.90484891914746701</v>
      </c>
      <c r="AI32" s="26">
        <v>0.85795658415937925</v>
      </c>
      <c r="AJ32" s="26">
        <v>0.87104727768587398</v>
      </c>
      <c r="AK32" s="26">
        <v>0.96439298168463083</v>
      </c>
      <c r="AL32" s="26">
        <v>0.49726268163045984</v>
      </c>
      <c r="AM32" s="26">
        <v>0.76495928861596252</v>
      </c>
      <c r="AN32" s="26">
        <v>0.40991899757022215</v>
      </c>
      <c r="AO32" s="26">
        <v>0.70407351960092235</v>
      </c>
      <c r="AP32" s="26">
        <v>0.6745544268296797</v>
      </c>
      <c r="AQ32" s="26">
        <v>0.62461209552818819</v>
      </c>
      <c r="AR32" s="26">
        <v>0.75921591181112869</v>
      </c>
      <c r="AS32" s="26">
        <v>0.72067255379420647</v>
      </c>
      <c r="AT32" s="26">
        <v>0.84905793319936695</v>
      </c>
      <c r="AU32" s="26">
        <v>0.49763794858470162</v>
      </c>
      <c r="AV32" s="26">
        <v>0.14941329182331342</v>
      </c>
      <c r="AW32">
        <f t="shared" si="0"/>
        <v>25.989796384249036</v>
      </c>
    </row>
    <row r="33" spans="1:49" x14ac:dyDescent="0.2">
      <c r="A33" s="26" t="s">
        <v>110</v>
      </c>
      <c r="B33" s="26">
        <v>-0.39518752501143428</v>
      </c>
      <c r="C33" s="26">
        <v>-2.1128182546608892E-2</v>
      </c>
      <c r="D33" s="26">
        <v>-0.22515500536906521</v>
      </c>
      <c r="E33" s="26">
        <v>-0.14843367724234974</v>
      </c>
      <c r="F33" s="26">
        <v>-0.37003523525562559</v>
      </c>
      <c r="G33" s="26">
        <v>2.2402499966147814E-2</v>
      </c>
      <c r="H33" s="26">
        <v>4.9519530357381165E-2</v>
      </c>
      <c r="I33" s="26">
        <v>-0.11262671095403963</v>
      </c>
      <c r="J33" s="26">
        <v>-4.4016708970976912E-2</v>
      </c>
      <c r="K33" s="26">
        <v>0.27067699177085314</v>
      </c>
      <c r="L33" s="26">
        <v>0.15298227524649546</v>
      </c>
      <c r="M33" s="26">
        <v>0.40640368600750598</v>
      </c>
      <c r="N33" s="26">
        <v>0.77793021060697909</v>
      </c>
      <c r="O33" s="26">
        <v>0.84493576103798984</v>
      </c>
      <c r="P33" s="26">
        <v>0.75850586554886346</v>
      </c>
      <c r="Q33" s="26">
        <v>0.83925600530716071</v>
      </c>
      <c r="R33" s="26">
        <v>0.83166420043277534</v>
      </c>
      <c r="S33" s="26">
        <v>0.83558785181039652</v>
      </c>
      <c r="T33" s="26">
        <v>0.77777750113234079</v>
      </c>
      <c r="U33" s="26">
        <v>0.31424823286991044</v>
      </c>
      <c r="V33" s="26">
        <v>0.83512083087666567</v>
      </c>
      <c r="W33" s="26">
        <v>0.78915645085682595</v>
      </c>
      <c r="X33" s="26">
        <v>0.78294482501545626</v>
      </c>
      <c r="Y33" s="26">
        <v>0.82126862275342583</v>
      </c>
      <c r="Z33" s="26">
        <v>0.82000634574756981</v>
      </c>
      <c r="AA33" s="26">
        <v>0.76301343040957881</v>
      </c>
      <c r="AB33" s="26">
        <v>0.76511094055732787</v>
      </c>
      <c r="AC33" s="26">
        <v>0.74879730533770494</v>
      </c>
      <c r="AD33" s="26">
        <v>0.95634460869987714</v>
      </c>
      <c r="AE33" s="26">
        <v>0.98512005334896502</v>
      </c>
      <c r="AF33" s="26">
        <v>0.93893105423595802</v>
      </c>
      <c r="AG33" s="26">
        <v>1</v>
      </c>
      <c r="AH33" s="26">
        <v>0.97184754573721255</v>
      </c>
      <c r="AI33" s="26">
        <v>0.90687437970735163</v>
      </c>
      <c r="AJ33" s="26">
        <v>0.85701054059464554</v>
      </c>
      <c r="AK33" s="26">
        <v>0.98070009322122831</v>
      </c>
      <c r="AL33" s="26">
        <v>0.52073928437922334</v>
      </c>
      <c r="AM33" s="26">
        <v>0.79476629704873059</v>
      </c>
      <c r="AN33" s="26">
        <v>0.49658240969897011</v>
      </c>
      <c r="AO33" s="26">
        <v>0.68792444284625476</v>
      </c>
      <c r="AP33" s="26">
        <v>0.70238601823358937</v>
      </c>
      <c r="AQ33" s="26">
        <v>0.65662748855568653</v>
      </c>
      <c r="AR33" s="26">
        <v>0.75976619985298421</v>
      </c>
      <c r="AS33" s="26">
        <v>0.74249806975728283</v>
      </c>
      <c r="AT33" s="26">
        <v>0.80472151273396098</v>
      </c>
      <c r="AU33" s="26">
        <v>0.53039722881687934</v>
      </c>
      <c r="AV33" s="26">
        <v>0.19697960382240393</v>
      </c>
      <c r="AW33">
        <f t="shared" si="0"/>
        <v>26.380943149590461</v>
      </c>
    </row>
    <row r="34" spans="1:49" x14ac:dyDescent="0.2">
      <c r="A34" s="26" t="s">
        <v>111</v>
      </c>
      <c r="B34" s="26">
        <v>-0.40563219016357344</v>
      </c>
      <c r="C34" s="26">
        <v>-4.7216304362535773E-2</v>
      </c>
      <c r="D34" s="26">
        <v>-0.23632949271354048</v>
      </c>
      <c r="E34" s="26">
        <v>-0.16958411091530512</v>
      </c>
      <c r="F34" s="26">
        <v>-0.38250381256234223</v>
      </c>
      <c r="G34" s="26">
        <v>9.1357203946297698E-3</v>
      </c>
      <c r="H34" s="26">
        <v>3.8821550375661866E-2</v>
      </c>
      <c r="I34" s="26">
        <v>-0.10233747657644097</v>
      </c>
      <c r="J34" s="26">
        <v>-6.5628302500838009E-2</v>
      </c>
      <c r="K34" s="26">
        <v>0.24640472091074467</v>
      </c>
      <c r="L34" s="26">
        <v>0.13299748257785002</v>
      </c>
      <c r="M34" s="26">
        <v>0.39468149571454414</v>
      </c>
      <c r="N34" s="26">
        <v>0.74382414823554543</v>
      </c>
      <c r="O34" s="26">
        <v>0.80739806031611683</v>
      </c>
      <c r="P34" s="26">
        <v>0.71856635225761245</v>
      </c>
      <c r="Q34" s="26">
        <v>0.80135894205196379</v>
      </c>
      <c r="R34" s="26">
        <v>0.79551558571185166</v>
      </c>
      <c r="S34" s="26">
        <v>0.79725293526708396</v>
      </c>
      <c r="T34" s="26">
        <v>0.74603751638447158</v>
      </c>
      <c r="U34" s="26">
        <v>0.31656588682923653</v>
      </c>
      <c r="V34" s="26">
        <v>0.79629819819385361</v>
      </c>
      <c r="W34" s="26">
        <v>0.75593337462299892</v>
      </c>
      <c r="X34" s="26">
        <v>0.73844404817350018</v>
      </c>
      <c r="Y34" s="26">
        <v>0.77878573567225529</v>
      </c>
      <c r="Z34" s="26">
        <v>0.78320105319809907</v>
      </c>
      <c r="AA34" s="26">
        <v>0.72041796332525077</v>
      </c>
      <c r="AB34" s="26">
        <v>0.72602873845494831</v>
      </c>
      <c r="AC34" s="26">
        <v>0.70552532859829964</v>
      </c>
      <c r="AD34" s="26">
        <v>0.91980801097469467</v>
      </c>
      <c r="AE34" s="26">
        <v>0.95386307879876686</v>
      </c>
      <c r="AF34" s="26">
        <v>0.90484891914746701</v>
      </c>
      <c r="AG34" s="26">
        <v>0.97184754573721255</v>
      </c>
      <c r="AH34" s="26">
        <v>1</v>
      </c>
      <c r="AI34" s="26">
        <v>0.78972503753749779</v>
      </c>
      <c r="AJ34" s="26">
        <v>0.79059085814148544</v>
      </c>
      <c r="AK34" s="26">
        <v>0.94746012241881961</v>
      </c>
      <c r="AL34" s="26">
        <v>0.47618983049578378</v>
      </c>
      <c r="AM34" s="26">
        <v>0.75631716885237199</v>
      </c>
      <c r="AN34" s="26">
        <v>0.48083298808975294</v>
      </c>
      <c r="AO34" s="26">
        <v>0.65187440984840717</v>
      </c>
      <c r="AP34" s="26">
        <v>0.6664854115248543</v>
      </c>
      <c r="AQ34" s="26">
        <v>0.61826883466018545</v>
      </c>
      <c r="AR34" s="26">
        <v>0.73347961082957158</v>
      </c>
      <c r="AS34" s="26">
        <v>0.70823451187239961</v>
      </c>
      <c r="AT34" s="26">
        <v>0.77159617318233131</v>
      </c>
      <c r="AU34" s="26">
        <v>0.47660003597827294</v>
      </c>
      <c r="AV34" s="26">
        <v>0.1720054050307665</v>
      </c>
      <c r="AW34">
        <f t="shared" si="0"/>
        <v>24.933991100592586</v>
      </c>
    </row>
    <row r="35" spans="1:49" x14ac:dyDescent="0.2">
      <c r="A35" s="26" t="s">
        <v>112</v>
      </c>
      <c r="B35" s="26">
        <v>-0.30308646665896072</v>
      </c>
      <c r="C35" s="26">
        <v>3.1388165332659396E-2</v>
      </c>
      <c r="D35" s="26">
        <v>-0.16733162976739732</v>
      </c>
      <c r="E35" s="26">
        <v>-8.7976513765243625E-2</v>
      </c>
      <c r="F35" s="26">
        <v>-0.28165544223165551</v>
      </c>
      <c r="G35" s="26">
        <v>4.2338640012799175E-2</v>
      </c>
      <c r="H35" s="26">
        <v>7.2045760915233278E-2</v>
      </c>
      <c r="I35" s="26">
        <v>-0.11446760806127908</v>
      </c>
      <c r="J35" s="26">
        <v>1.5761207672290852E-3</v>
      </c>
      <c r="K35" s="26">
        <v>0.253996454590804</v>
      </c>
      <c r="L35" s="26">
        <v>0.15312268041777863</v>
      </c>
      <c r="M35" s="26">
        <v>0.34367032331622144</v>
      </c>
      <c r="N35" s="26">
        <v>0.69537188210930501</v>
      </c>
      <c r="O35" s="26">
        <v>0.76981903669414997</v>
      </c>
      <c r="P35" s="26">
        <v>0.68374813565258985</v>
      </c>
      <c r="Q35" s="26">
        <v>0.75517181439289882</v>
      </c>
      <c r="R35" s="26">
        <v>0.74715105074470534</v>
      </c>
      <c r="S35" s="26">
        <v>0.76445967949753846</v>
      </c>
      <c r="T35" s="26">
        <v>0.68454333947006063</v>
      </c>
      <c r="U35" s="26">
        <v>0.25094270744949254</v>
      </c>
      <c r="V35" s="26">
        <v>0.75162265482091672</v>
      </c>
      <c r="W35" s="26">
        <v>0.69645788167862299</v>
      </c>
      <c r="X35" s="26">
        <v>0.71296936734345984</v>
      </c>
      <c r="Y35" s="26">
        <v>0.7522175857536374</v>
      </c>
      <c r="Z35" s="26">
        <v>0.73562739683528577</v>
      </c>
      <c r="AA35" s="26">
        <v>0.69186954435147785</v>
      </c>
      <c r="AB35" s="26">
        <v>0.69158369806368325</v>
      </c>
      <c r="AC35" s="26">
        <v>0.67886625374445675</v>
      </c>
      <c r="AD35" s="26">
        <v>0.86892385490649093</v>
      </c>
      <c r="AE35" s="26">
        <v>0.89945083136305859</v>
      </c>
      <c r="AF35" s="26">
        <v>0.85795658415937925</v>
      </c>
      <c r="AG35" s="26">
        <v>0.90687437970735163</v>
      </c>
      <c r="AH35" s="26">
        <v>0.78972503753749779</v>
      </c>
      <c r="AI35" s="26">
        <v>1</v>
      </c>
      <c r="AJ35" s="26">
        <v>0.85754673434180329</v>
      </c>
      <c r="AK35" s="26">
        <v>0.90068696766871958</v>
      </c>
      <c r="AL35" s="26">
        <v>0.48608489218326545</v>
      </c>
      <c r="AM35" s="26">
        <v>0.72099308371174076</v>
      </c>
      <c r="AN35" s="26">
        <v>0.43565225038304933</v>
      </c>
      <c r="AO35" s="26">
        <v>0.60794023587999546</v>
      </c>
      <c r="AP35" s="26">
        <v>0.62794641538180707</v>
      </c>
      <c r="AQ35" s="26">
        <v>0.6147778032583715</v>
      </c>
      <c r="AR35" s="26">
        <v>0.66442112846538648</v>
      </c>
      <c r="AS35" s="26">
        <v>0.68907239299882761</v>
      </c>
      <c r="AT35" s="26">
        <v>0.71538223870074613</v>
      </c>
      <c r="AU35" s="26">
        <v>0.51368821003333465</v>
      </c>
      <c r="AV35" s="26">
        <v>0.21101710960281489</v>
      </c>
      <c r="AW35">
        <f t="shared" si="0"/>
        <v>24.374182663754095</v>
      </c>
    </row>
    <row r="36" spans="1:49" x14ac:dyDescent="0.2">
      <c r="A36" s="26" t="s">
        <v>113</v>
      </c>
      <c r="B36" s="26">
        <v>-0.17511800662423621</v>
      </c>
      <c r="C36" s="26">
        <v>0.26970109152165289</v>
      </c>
      <c r="D36" s="26">
        <v>6.0100779789306349E-2</v>
      </c>
      <c r="E36" s="26">
        <v>9.6208065252144787E-2</v>
      </c>
      <c r="F36" s="26">
        <v>-0.12340078323067162</v>
      </c>
      <c r="G36" s="26">
        <v>0.2516959858138843</v>
      </c>
      <c r="H36" s="26">
        <v>0.31680719052300005</v>
      </c>
      <c r="I36" s="26">
        <v>0.11099827452805211</v>
      </c>
      <c r="J36" s="26">
        <v>0.23083327223471936</v>
      </c>
      <c r="K36" s="26">
        <v>0.50504396265067408</v>
      </c>
      <c r="L36" s="26">
        <v>0.33144706913988825</v>
      </c>
      <c r="M36" s="26">
        <v>0.57184544979320817</v>
      </c>
      <c r="N36" s="26">
        <v>0.63855287535075134</v>
      </c>
      <c r="O36" s="26">
        <v>0.69534352450224512</v>
      </c>
      <c r="P36" s="26">
        <v>0.62400512542978614</v>
      </c>
      <c r="Q36" s="26">
        <v>0.67681765592556653</v>
      </c>
      <c r="R36" s="26">
        <v>0.66264227160298084</v>
      </c>
      <c r="S36" s="26">
        <v>0.68075505324756003</v>
      </c>
      <c r="T36" s="26">
        <v>0.60960224428917953</v>
      </c>
      <c r="U36" s="26">
        <v>0.23257456378855637</v>
      </c>
      <c r="V36" s="26">
        <v>0.67264556886778482</v>
      </c>
      <c r="W36" s="26">
        <v>0.62196007362772832</v>
      </c>
      <c r="X36" s="26">
        <v>0.64336655200436499</v>
      </c>
      <c r="Y36" s="26">
        <v>0.70295834939682889</v>
      </c>
      <c r="Z36" s="26">
        <v>0.68627094015510048</v>
      </c>
      <c r="AA36" s="26">
        <v>0.62474262035554962</v>
      </c>
      <c r="AB36" s="26">
        <v>0.61899743019461717</v>
      </c>
      <c r="AC36" s="26">
        <v>0.61931683385295511</v>
      </c>
      <c r="AD36" s="26">
        <v>0.82446239029182644</v>
      </c>
      <c r="AE36" s="26">
        <v>0.89114406026274218</v>
      </c>
      <c r="AF36" s="26">
        <v>0.87104727768587398</v>
      </c>
      <c r="AG36" s="26">
        <v>0.85701054059464554</v>
      </c>
      <c r="AH36" s="26">
        <v>0.79059085814148544</v>
      </c>
      <c r="AI36" s="26">
        <v>0.85754673434180329</v>
      </c>
      <c r="AJ36" s="26">
        <v>1</v>
      </c>
      <c r="AK36" s="26">
        <v>0.89308019182771958</v>
      </c>
      <c r="AL36" s="26">
        <v>0.51963209579395597</v>
      </c>
      <c r="AM36" s="26">
        <v>0.64035627960120456</v>
      </c>
      <c r="AN36" s="26">
        <v>0.47153980057545086</v>
      </c>
      <c r="AO36" s="26">
        <v>0.56615631018381685</v>
      </c>
      <c r="AP36" s="26">
        <v>0.54048959819678388</v>
      </c>
      <c r="AQ36" s="26">
        <v>0.5309362634091187</v>
      </c>
      <c r="AR36" s="26">
        <v>0.60769368270404134</v>
      </c>
      <c r="AS36" s="26">
        <v>0.55870171368080845</v>
      </c>
      <c r="AT36" s="26">
        <v>0.69106103730070834</v>
      </c>
      <c r="AU36" s="26">
        <v>0.63459161680141773</v>
      </c>
      <c r="AV36" s="26">
        <v>0.31614348819136356</v>
      </c>
      <c r="AW36">
        <f t="shared" si="0"/>
        <v>25.518897973567949</v>
      </c>
    </row>
    <row r="37" spans="1:49" x14ac:dyDescent="0.2">
      <c r="A37" s="26" t="s">
        <v>116</v>
      </c>
      <c r="B37" s="26">
        <v>-0.39698403795200826</v>
      </c>
      <c r="C37" s="26">
        <v>1.3705877843891726E-2</v>
      </c>
      <c r="D37" s="26">
        <v>-0.19378915722366061</v>
      </c>
      <c r="E37" s="26">
        <v>-0.12882372900519781</v>
      </c>
      <c r="F37" s="26">
        <v>-0.36037058145142686</v>
      </c>
      <c r="G37" s="26">
        <v>3.7687372800537834E-2</v>
      </c>
      <c r="H37" s="26">
        <v>9.0512691311005186E-2</v>
      </c>
      <c r="I37" s="26">
        <v>-8.652401291301777E-2</v>
      </c>
      <c r="J37" s="26">
        <v>-1.4333084034581603E-2</v>
      </c>
      <c r="K37" s="26">
        <v>0.30889703533934876</v>
      </c>
      <c r="L37" s="26">
        <v>0.17072808509090462</v>
      </c>
      <c r="M37" s="26">
        <v>0.43325018104821233</v>
      </c>
      <c r="N37" s="26">
        <v>0.7665000286653425</v>
      </c>
      <c r="O37" s="26">
        <v>0.83785227900605275</v>
      </c>
      <c r="P37" s="26">
        <v>0.74344718702073698</v>
      </c>
      <c r="Q37" s="26">
        <v>0.82794567706576894</v>
      </c>
      <c r="R37" s="26">
        <v>0.81852529024793153</v>
      </c>
      <c r="S37" s="26">
        <v>0.82524881854413512</v>
      </c>
      <c r="T37" s="26">
        <v>0.7637084574498566</v>
      </c>
      <c r="U37" s="26">
        <v>0.32326386141049335</v>
      </c>
      <c r="V37" s="26">
        <v>0.82425107429738442</v>
      </c>
      <c r="W37" s="26">
        <v>0.77600587002548571</v>
      </c>
      <c r="X37" s="26">
        <v>0.77760162036386127</v>
      </c>
      <c r="Y37" s="26">
        <v>0.82148931645939249</v>
      </c>
      <c r="Z37" s="26">
        <v>0.81330252450046292</v>
      </c>
      <c r="AA37" s="26">
        <v>0.75691453579912227</v>
      </c>
      <c r="AB37" s="26">
        <v>0.75642920012229364</v>
      </c>
      <c r="AC37" s="26">
        <v>0.74756217620603482</v>
      </c>
      <c r="AD37" s="26">
        <v>0.95758114664715877</v>
      </c>
      <c r="AE37" s="26">
        <v>0.99595926848484229</v>
      </c>
      <c r="AF37" s="26">
        <v>0.96439298168463083</v>
      </c>
      <c r="AG37" s="26">
        <v>0.98070009322122831</v>
      </c>
      <c r="AH37" s="26">
        <v>0.94746012241881961</v>
      </c>
      <c r="AI37" s="26">
        <v>0.90068696766871958</v>
      </c>
      <c r="AJ37" s="26">
        <v>0.89308019182771958</v>
      </c>
      <c r="AK37" s="26">
        <v>1</v>
      </c>
      <c r="AL37" s="26">
        <v>0.52111907696190873</v>
      </c>
      <c r="AM37" s="26">
        <v>0.77329648775562598</v>
      </c>
      <c r="AN37" s="26">
        <v>0.47457301914650918</v>
      </c>
      <c r="AO37" s="26">
        <v>0.69199350839518659</v>
      </c>
      <c r="AP37" s="26">
        <v>0.69354913140041963</v>
      </c>
      <c r="AQ37" s="26">
        <v>0.63154157768266017</v>
      </c>
      <c r="AR37" s="26">
        <v>0.7647455583497077</v>
      </c>
      <c r="AS37" s="26">
        <v>0.73394867401206809</v>
      </c>
      <c r="AT37" s="26">
        <v>0.8332629490644049</v>
      </c>
      <c r="AU37" s="26">
        <v>0.52041214184393902</v>
      </c>
      <c r="AV37" s="26">
        <v>0.19146775942955832</v>
      </c>
      <c r="AW37">
        <f t="shared" si="0"/>
        <v>26.523775214033471</v>
      </c>
    </row>
    <row r="38" spans="1:49" x14ac:dyDescent="0.2">
      <c r="A38" s="26" t="s">
        <v>117</v>
      </c>
      <c r="B38" s="26">
        <v>-0.15797238279942241</v>
      </c>
      <c r="C38" s="26">
        <v>4.1905006053822927E-2</v>
      </c>
      <c r="D38" s="26">
        <v>-9.1223364970928145E-2</v>
      </c>
      <c r="E38" s="26">
        <v>-2.557749358569035E-2</v>
      </c>
      <c r="F38" s="26">
        <v>-0.15319115152166357</v>
      </c>
      <c r="G38" s="26">
        <v>3.6250624463072229E-2</v>
      </c>
      <c r="H38" s="26">
        <v>5.0427987832787742E-2</v>
      </c>
      <c r="I38" s="26">
        <v>4.9069185206229896E-2</v>
      </c>
      <c r="J38" s="26">
        <v>3.2288987339729444E-2</v>
      </c>
      <c r="K38" s="26">
        <v>0.18388770223093392</v>
      </c>
      <c r="L38" s="26">
        <v>0.12250844341509425</v>
      </c>
      <c r="M38" s="26">
        <v>0.25204069054205358</v>
      </c>
      <c r="N38" s="26">
        <v>0.61123133528821982</v>
      </c>
      <c r="O38" s="26">
        <v>0.561519903065541</v>
      </c>
      <c r="P38" s="26">
        <v>0.68219420269058395</v>
      </c>
      <c r="Q38" s="26">
        <v>0.6080533811647405</v>
      </c>
      <c r="R38" s="26">
        <v>0.61232856640262234</v>
      </c>
      <c r="S38" s="26">
        <v>0.55474347759184139</v>
      </c>
      <c r="T38" s="26">
        <v>0.62874335526438807</v>
      </c>
      <c r="U38" s="26">
        <v>0.36006368453763565</v>
      </c>
      <c r="V38" s="26">
        <v>0.60196624788351882</v>
      </c>
      <c r="W38" s="26">
        <v>0.62600581848433856</v>
      </c>
      <c r="X38" s="26">
        <v>0.53062125401052773</v>
      </c>
      <c r="Y38" s="26">
        <v>0.52790593684534193</v>
      </c>
      <c r="Z38" s="26">
        <v>0.60726504375732471</v>
      </c>
      <c r="AA38" s="26">
        <v>0.53629770055513615</v>
      </c>
      <c r="AB38" s="26">
        <v>0.49694532289701182</v>
      </c>
      <c r="AC38" s="26">
        <v>0.56188059047419525</v>
      </c>
      <c r="AD38" s="26">
        <v>0.58997458124227742</v>
      </c>
      <c r="AE38" s="26">
        <v>0.52774468145600417</v>
      </c>
      <c r="AF38" s="26">
        <v>0.49726268163045984</v>
      </c>
      <c r="AG38" s="26">
        <v>0.52073928437922334</v>
      </c>
      <c r="AH38" s="26">
        <v>0.47618983049578378</v>
      </c>
      <c r="AI38" s="26">
        <v>0.48608489218326545</v>
      </c>
      <c r="AJ38" s="26">
        <v>0.51963209579395597</v>
      </c>
      <c r="AK38" s="26">
        <v>0.52111907696190873</v>
      </c>
      <c r="AL38" s="26">
        <v>1</v>
      </c>
      <c r="AM38" s="26">
        <v>0.56770610979074521</v>
      </c>
      <c r="AN38" s="26">
        <v>0.63231664005197974</v>
      </c>
      <c r="AO38" s="26">
        <v>0.53995307593255171</v>
      </c>
      <c r="AP38" s="26">
        <v>0.4473634429733081</v>
      </c>
      <c r="AQ38" s="26">
        <v>0.54468440426475662</v>
      </c>
      <c r="AR38" s="26">
        <v>0.53243890591113341</v>
      </c>
      <c r="AS38" s="26">
        <v>0.42583461325963229</v>
      </c>
      <c r="AT38" s="26">
        <v>0.53854776705118701</v>
      </c>
      <c r="AU38" s="26">
        <v>0.44748884214257417</v>
      </c>
      <c r="AV38" s="26">
        <v>0.34641275709514052</v>
      </c>
      <c r="AW38">
        <f t="shared" si="0"/>
        <v>19.609673737734877</v>
      </c>
    </row>
    <row r="39" spans="1:49" x14ac:dyDescent="0.2">
      <c r="A39" s="26" t="s">
        <v>118</v>
      </c>
      <c r="B39" s="26">
        <v>-0.40071932681098243</v>
      </c>
      <c r="C39" s="26">
        <v>-0.14435238552842214</v>
      </c>
      <c r="D39" s="26">
        <v>-0.30472311719067707</v>
      </c>
      <c r="E39" s="26">
        <v>-0.23561746702007208</v>
      </c>
      <c r="F39" s="26">
        <v>-0.40572116459502544</v>
      </c>
      <c r="G39" s="26">
        <v>-0.1234722227472668</v>
      </c>
      <c r="H39" s="26">
        <v>-9.0710397028715931E-2</v>
      </c>
      <c r="I39" s="26">
        <v>-0.20911037028132723</v>
      </c>
      <c r="J39" s="26">
        <v>-0.17689787930088327</v>
      </c>
      <c r="K39" s="26">
        <v>9.1625247901563775E-2</v>
      </c>
      <c r="L39" s="26">
        <v>-1.310434394998056E-3</v>
      </c>
      <c r="M39" s="26">
        <v>0.23416352748505312</v>
      </c>
      <c r="N39" s="26">
        <v>0.8982780383717065</v>
      </c>
      <c r="O39" s="26">
        <v>0.9297098928291585</v>
      </c>
      <c r="P39" s="26">
        <v>0.83968546728540217</v>
      </c>
      <c r="Q39" s="26">
        <v>0.93710260350945707</v>
      </c>
      <c r="R39" s="26">
        <v>0.92715159742927433</v>
      </c>
      <c r="S39" s="26">
        <v>0.92783770363783924</v>
      </c>
      <c r="T39" s="26">
        <v>0.8682322142475597</v>
      </c>
      <c r="U39" s="26">
        <v>0.34458448222433236</v>
      </c>
      <c r="V39" s="26">
        <v>0.94056007478647996</v>
      </c>
      <c r="W39" s="26">
        <v>0.87984786803679083</v>
      </c>
      <c r="X39" s="26">
        <v>0.90760720237140668</v>
      </c>
      <c r="Y39" s="26">
        <v>0.93540839917158147</v>
      </c>
      <c r="Z39" s="26">
        <v>0.91293713684626132</v>
      </c>
      <c r="AA39" s="26">
        <v>0.89586141013608089</v>
      </c>
      <c r="AB39" s="26">
        <v>0.89555157417533759</v>
      </c>
      <c r="AC39" s="26">
        <v>0.87645033060839805</v>
      </c>
      <c r="AD39" s="26">
        <v>0.89253437832683213</v>
      </c>
      <c r="AE39" s="26">
        <v>0.77924365998419709</v>
      </c>
      <c r="AF39" s="26">
        <v>0.76495928861596252</v>
      </c>
      <c r="AG39" s="26">
        <v>0.79476629704873059</v>
      </c>
      <c r="AH39" s="26">
        <v>0.75631716885237199</v>
      </c>
      <c r="AI39" s="26">
        <v>0.72099308371174076</v>
      </c>
      <c r="AJ39" s="26">
        <v>0.64035627960120456</v>
      </c>
      <c r="AK39" s="26">
        <v>0.77329648775562598</v>
      </c>
      <c r="AL39" s="26">
        <v>0.56770610979074521</v>
      </c>
      <c r="AM39" s="26">
        <v>1</v>
      </c>
      <c r="AN39" s="26">
        <v>0.59528157642783663</v>
      </c>
      <c r="AO39" s="26">
        <v>0.65468559329122111</v>
      </c>
      <c r="AP39" s="26">
        <v>0.80949267665685387</v>
      </c>
      <c r="AQ39" s="26">
        <v>0.78923530392576746</v>
      </c>
      <c r="AR39" s="26">
        <v>0.87305610840071679</v>
      </c>
      <c r="AS39" s="26">
        <v>0.82842413492575773</v>
      </c>
      <c r="AT39" s="26">
        <v>0.81887740065053838</v>
      </c>
      <c r="AU39" s="26">
        <v>0.52323954888669388</v>
      </c>
      <c r="AV39" s="26">
        <v>0.13941288396711146</v>
      </c>
      <c r="AW39">
        <f t="shared" si="0"/>
        <v>25.871837986975223</v>
      </c>
    </row>
    <row r="40" spans="1:49" x14ac:dyDescent="0.2">
      <c r="A40" s="26" t="s">
        <v>119</v>
      </c>
      <c r="B40" s="26">
        <v>-1.8253834554355631E-2</v>
      </c>
      <c r="C40" s="26">
        <v>0.17126293270684079</v>
      </c>
      <c r="D40" s="26">
        <v>7.3309627361738183E-2</v>
      </c>
      <c r="E40" s="26">
        <v>8.8575719354609755E-2</v>
      </c>
      <c r="F40" s="26">
        <v>-2.6760088311792621E-2</v>
      </c>
      <c r="G40" s="26">
        <v>0.1628348166040052</v>
      </c>
      <c r="H40" s="26">
        <v>0.15660550736796308</v>
      </c>
      <c r="I40" s="26">
        <v>9.1699929581416151E-2</v>
      </c>
      <c r="J40" s="26">
        <v>0.14789991074476788</v>
      </c>
      <c r="K40" s="26">
        <v>0.26350303400988573</v>
      </c>
      <c r="L40" s="26">
        <v>0.20519238237241166</v>
      </c>
      <c r="M40" s="26">
        <v>0.3101133246273679</v>
      </c>
      <c r="N40" s="26">
        <v>0.74997116765817518</v>
      </c>
      <c r="O40" s="26">
        <v>0.60654160647493904</v>
      </c>
      <c r="P40" s="26">
        <v>0.75432684818695928</v>
      </c>
      <c r="Q40" s="26">
        <v>0.65493775337630444</v>
      </c>
      <c r="R40" s="26">
        <v>0.66417644848836932</v>
      </c>
      <c r="S40" s="26">
        <v>0.62029098098297897</v>
      </c>
      <c r="T40" s="26">
        <v>0.66097377336919416</v>
      </c>
      <c r="U40" s="26">
        <v>0.35533763307958027</v>
      </c>
      <c r="V40" s="26">
        <v>0.63394793143263894</v>
      </c>
      <c r="W40" s="26">
        <v>0.65994432254696955</v>
      </c>
      <c r="X40" s="26">
        <v>0.49443362521185596</v>
      </c>
      <c r="Y40" s="26">
        <v>0.54120392778505999</v>
      </c>
      <c r="Z40" s="26">
        <v>0.63923696852127876</v>
      </c>
      <c r="AA40" s="26">
        <v>0.49923257570599988</v>
      </c>
      <c r="AB40" s="26">
        <v>0.46473819050283477</v>
      </c>
      <c r="AC40" s="26">
        <v>0.51604058675520081</v>
      </c>
      <c r="AD40" s="26">
        <v>0.58067496449938039</v>
      </c>
      <c r="AE40" s="26">
        <v>0.48327600653491132</v>
      </c>
      <c r="AF40" s="26">
        <v>0.40991899757022215</v>
      </c>
      <c r="AG40" s="26">
        <v>0.49658240969897011</v>
      </c>
      <c r="AH40" s="26">
        <v>0.48083298808975294</v>
      </c>
      <c r="AI40" s="26">
        <v>0.43565225038304933</v>
      </c>
      <c r="AJ40" s="26">
        <v>0.47153980057545086</v>
      </c>
      <c r="AK40" s="26">
        <v>0.47457301914650918</v>
      </c>
      <c r="AL40" s="26">
        <v>0.63231664005197974</v>
      </c>
      <c r="AM40" s="26">
        <v>0.59528157642783663</v>
      </c>
      <c r="AN40" s="26">
        <v>1</v>
      </c>
      <c r="AO40" s="26">
        <v>0.35678967614229984</v>
      </c>
      <c r="AP40" s="26">
        <v>0.44973548990462731</v>
      </c>
      <c r="AQ40" s="26">
        <v>0.62067362993326947</v>
      </c>
      <c r="AR40" s="26">
        <v>0.53913743743739229</v>
      </c>
      <c r="AS40" s="26">
        <v>0.46197431759591778</v>
      </c>
      <c r="AT40" s="26">
        <v>0.40857288330169561</v>
      </c>
      <c r="AU40" s="26">
        <v>0.54414157892371529</v>
      </c>
      <c r="AV40" s="26">
        <v>0.56013837219672047</v>
      </c>
      <c r="AW40">
        <f t="shared" si="0"/>
        <v>21.143129640356896</v>
      </c>
    </row>
    <row r="41" spans="1:49" x14ac:dyDescent="0.2">
      <c r="A41" s="26" t="s">
        <v>120</v>
      </c>
      <c r="B41" s="26">
        <v>-0.43871179596879262</v>
      </c>
      <c r="C41" s="26">
        <v>-0.18685844406261018</v>
      </c>
      <c r="D41" s="26">
        <v>-0.36181485825344856</v>
      </c>
      <c r="E41" s="26">
        <v>-0.23398978817637262</v>
      </c>
      <c r="F41" s="26">
        <v>-0.43568607260028835</v>
      </c>
      <c r="G41" s="26">
        <v>-0.19181184420580402</v>
      </c>
      <c r="H41" s="26">
        <v>-0.1679098157602204</v>
      </c>
      <c r="I41" s="26">
        <v>-0.22940054764293777</v>
      </c>
      <c r="J41" s="26">
        <v>-0.21148613225075602</v>
      </c>
      <c r="K41" s="26">
        <v>7.8780993806877656E-2</v>
      </c>
      <c r="L41" s="26">
        <v>4.4846818587481407E-2</v>
      </c>
      <c r="M41" s="26">
        <v>0.1721060310099938</v>
      </c>
      <c r="N41" s="26">
        <v>0.66978247635930166</v>
      </c>
      <c r="O41" s="26">
        <v>0.65812084836574525</v>
      </c>
      <c r="P41" s="26">
        <v>0.71749296864992251</v>
      </c>
      <c r="Q41" s="26">
        <v>0.72163839486766768</v>
      </c>
      <c r="R41" s="26">
        <v>0.71359183718689589</v>
      </c>
      <c r="S41" s="26">
        <v>0.64075179650119252</v>
      </c>
      <c r="T41" s="26">
        <v>0.739552540869163</v>
      </c>
      <c r="U41" s="26">
        <v>0.28467585469972206</v>
      </c>
      <c r="V41" s="26">
        <v>0.73833180715714253</v>
      </c>
      <c r="W41" s="26">
        <v>0.74844161827039202</v>
      </c>
      <c r="X41" s="26">
        <v>0.74587376292521823</v>
      </c>
      <c r="Y41" s="26">
        <v>0.67417819452966377</v>
      </c>
      <c r="Z41" s="26">
        <v>0.76195418505406687</v>
      </c>
      <c r="AA41" s="26">
        <v>0.75777122186710177</v>
      </c>
      <c r="AB41" s="26">
        <v>0.71580826361870808</v>
      </c>
      <c r="AC41" s="26">
        <v>0.78895371398928227</v>
      </c>
      <c r="AD41" s="26">
        <v>0.74867692580112777</v>
      </c>
      <c r="AE41" s="26">
        <v>0.70128826466098637</v>
      </c>
      <c r="AF41" s="26">
        <v>0.70407351960092235</v>
      </c>
      <c r="AG41" s="26">
        <v>0.68792444284625476</v>
      </c>
      <c r="AH41" s="26">
        <v>0.65187440984840717</v>
      </c>
      <c r="AI41" s="26">
        <v>0.60794023587999546</v>
      </c>
      <c r="AJ41" s="26">
        <v>0.56615631018381685</v>
      </c>
      <c r="AK41" s="26">
        <v>0.69199350839518659</v>
      </c>
      <c r="AL41" s="26">
        <v>0.53995307593255171</v>
      </c>
      <c r="AM41" s="26">
        <v>0.65468559329122111</v>
      </c>
      <c r="AN41" s="26">
        <v>0.35678967614229984</v>
      </c>
      <c r="AO41" s="26">
        <v>1</v>
      </c>
      <c r="AP41" s="26">
        <v>0.66123365121241495</v>
      </c>
      <c r="AQ41" s="26">
        <v>0.47379250586221322</v>
      </c>
      <c r="AR41" s="26">
        <v>0.72561816822652925</v>
      </c>
      <c r="AS41" s="26">
        <v>0.52075784136137848</v>
      </c>
      <c r="AT41" s="26">
        <v>0.77796127207971544</v>
      </c>
      <c r="AU41" s="26">
        <v>0.37672333554129006</v>
      </c>
      <c r="AV41" s="26">
        <v>9.4888373118206054E-2</v>
      </c>
      <c r="AW41">
        <f t="shared" si="0"/>
        <v>20.457315139378828</v>
      </c>
    </row>
    <row r="42" spans="1:49" x14ac:dyDescent="0.2">
      <c r="A42" s="26" t="s">
        <v>121</v>
      </c>
      <c r="B42" s="26">
        <v>-0.56834646470597283</v>
      </c>
      <c r="C42" s="26">
        <v>-0.32772611467665741</v>
      </c>
      <c r="D42" s="26">
        <v>-0.50296403470687523</v>
      </c>
      <c r="E42" s="26">
        <v>-0.37047847286725827</v>
      </c>
      <c r="F42" s="26">
        <v>-0.56763863557552985</v>
      </c>
      <c r="G42" s="26">
        <v>-0.30552134722549007</v>
      </c>
      <c r="H42" s="26">
        <v>-0.29879125833293552</v>
      </c>
      <c r="I42" s="26">
        <v>-0.38654925888707437</v>
      </c>
      <c r="J42" s="26">
        <v>-0.36562935106274919</v>
      </c>
      <c r="K42" s="26">
        <v>7.8649139764819954E-3</v>
      </c>
      <c r="L42" s="26">
        <v>-4.8505653640399625E-2</v>
      </c>
      <c r="M42" s="26">
        <v>0.15123500322540126</v>
      </c>
      <c r="N42" s="26">
        <v>0.80225419898013228</v>
      </c>
      <c r="O42" s="26">
        <v>0.78100807531898142</v>
      </c>
      <c r="P42" s="26">
        <v>0.82678062055527368</v>
      </c>
      <c r="Q42" s="26">
        <v>0.87920633620259647</v>
      </c>
      <c r="R42" s="26">
        <v>0.87042243523468754</v>
      </c>
      <c r="S42" s="26">
        <v>0.77159253374882231</v>
      </c>
      <c r="T42" s="26">
        <v>0.91300487245907092</v>
      </c>
      <c r="U42" s="26">
        <v>0.31542037354610886</v>
      </c>
      <c r="V42" s="26">
        <v>0.88782285131033856</v>
      </c>
      <c r="W42" s="26">
        <v>0.91728885585855968</v>
      </c>
      <c r="X42" s="26">
        <v>0.87305085789565207</v>
      </c>
      <c r="Y42" s="26">
        <v>0.81876910973127692</v>
      </c>
      <c r="Z42" s="26">
        <v>0.88922479364674278</v>
      </c>
      <c r="AA42" s="26">
        <v>0.87282952298022776</v>
      </c>
      <c r="AB42" s="26">
        <v>0.82692617980489369</v>
      </c>
      <c r="AC42" s="26">
        <v>0.89409916397540323</v>
      </c>
      <c r="AD42" s="26">
        <v>0.81813832622759419</v>
      </c>
      <c r="AE42" s="26">
        <v>0.69899922342174459</v>
      </c>
      <c r="AF42" s="26">
        <v>0.6745544268296797</v>
      </c>
      <c r="AG42" s="26">
        <v>0.70238601823358937</v>
      </c>
      <c r="AH42" s="26">
        <v>0.6664854115248543</v>
      </c>
      <c r="AI42" s="26">
        <v>0.62794641538180707</v>
      </c>
      <c r="AJ42" s="26">
        <v>0.54048959819678388</v>
      </c>
      <c r="AK42" s="26">
        <v>0.69354913140041963</v>
      </c>
      <c r="AL42" s="26">
        <v>0.4473634429733081</v>
      </c>
      <c r="AM42" s="26">
        <v>0.80949267665685387</v>
      </c>
      <c r="AN42" s="26">
        <v>0.44973548990462731</v>
      </c>
      <c r="AO42" s="26">
        <v>0.66123365121241495</v>
      </c>
      <c r="AP42" s="26">
        <v>1</v>
      </c>
      <c r="AQ42" s="26">
        <v>0.69769032542796661</v>
      </c>
      <c r="AR42" s="26">
        <v>0.86606701072541603</v>
      </c>
      <c r="AS42" s="26">
        <v>0.69787594187132973</v>
      </c>
      <c r="AT42" s="26">
        <v>0.79271265939458047</v>
      </c>
      <c r="AU42" s="26">
        <v>0.51817480064124533</v>
      </c>
      <c r="AV42" s="26">
        <v>0.10553155918527168</v>
      </c>
      <c r="AW42">
        <f t="shared" si="0"/>
        <v>22.025076215979198</v>
      </c>
    </row>
    <row r="43" spans="1:49" x14ac:dyDescent="0.2">
      <c r="A43" s="26" t="s">
        <v>122</v>
      </c>
      <c r="B43" s="26">
        <v>-0.21051139840075947</v>
      </c>
      <c r="C43" s="26">
        <v>-2.6751138657565777E-2</v>
      </c>
      <c r="D43" s="26">
        <v>-0.14591070049097477</v>
      </c>
      <c r="E43" s="26">
        <v>-8.1731579962184109E-2</v>
      </c>
      <c r="F43" s="26">
        <v>-0.20999259487903668</v>
      </c>
      <c r="G43" s="26">
        <v>-9.6761995956662795E-4</v>
      </c>
      <c r="H43" s="26">
        <v>7.5249498257154539E-3</v>
      </c>
      <c r="I43" s="26">
        <v>-0.1221933866538685</v>
      </c>
      <c r="J43" s="26">
        <v>-3.3253393285172309E-2</v>
      </c>
      <c r="K43" s="26">
        <v>0.15261509163605422</v>
      </c>
      <c r="L43" s="26">
        <v>8.9846699659804991E-2</v>
      </c>
      <c r="M43" s="26">
        <v>0.24055889716302253</v>
      </c>
      <c r="N43" s="26">
        <v>0.79872026621127723</v>
      </c>
      <c r="O43" s="26">
        <v>0.79410730122642648</v>
      </c>
      <c r="P43" s="26">
        <v>0.78534284668238719</v>
      </c>
      <c r="Q43" s="26">
        <v>0.82411163410931865</v>
      </c>
      <c r="R43" s="26">
        <v>0.81971839463485019</v>
      </c>
      <c r="S43" s="26">
        <v>0.79494123640312186</v>
      </c>
      <c r="T43" s="26">
        <v>0.78968969509741294</v>
      </c>
      <c r="U43" s="26">
        <v>0.29814534019245054</v>
      </c>
      <c r="V43" s="26">
        <v>0.82855351234023644</v>
      </c>
      <c r="W43" s="26">
        <v>0.79560142083498009</v>
      </c>
      <c r="X43" s="26">
        <v>0.80380167101514055</v>
      </c>
      <c r="Y43" s="26">
        <v>0.80682502984096494</v>
      </c>
      <c r="Z43" s="26">
        <v>0.81644170664015669</v>
      </c>
      <c r="AA43" s="26">
        <v>0.79389214992541668</v>
      </c>
      <c r="AB43" s="26">
        <v>0.80325038357678313</v>
      </c>
      <c r="AC43" s="26">
        <v>0.76361364683868216</v>
      </c>
      <c r="AD43" s="26">
        <v>0.75428868626536338</v>
      </c>
      <c r="AE43" s="26">
        <v>0.62943892686201075</v>
      </c>
      <c r="AF43" s="26">
        <v>0.62461209552818819</v>
      </c>
      <c r="AG43" s="26">
        <v>0.65662748855568653</v>
      </c>
      <c r="AH43" s="26">
        <v>0.61826883466018545</v>
      </c>
      <c r="AI43" s="26">
        <v>0.6147778032583715</v>
      </c>
      <c r="AJ43" s="26">
        <v>0.5309362634091187</v>
      </c>
      <c r="AK43" s="26">
        <v>0.63154157768266017</v>
      </c>
      <c r="AL43" s="26">
        <v>0.54468440426475662</v>
      </c>
      <c r="AM43" s="26">
        <v>0.78923530392576746</v>
      </c>
      <c r="AN43" s="26">
        <v>0.62067362993326947</v>
      </c>
      <c r="AO43" s="26">
        <v>0.47379250586221322</v>
      </c>
      <c r="AP43" s="26">
        <v>0.69769032542796661</v>
      </c>
      <c r="AQ43" s="26">
        <v>1</v>
      </c>
      <c r="AR43" s="26">
        <v>0.75900534057232494</v>
      </c>
      <c r="AS43" s="26">
        <v>0.65301220739043009</v>
      </c>
      <c r="AT43" s="26">
        <v>0.68550488801170195</v>
      </c>
      <c r="AU43" s="26">
        <v>0.55740748658093553</v>
      </c>
      <c r="AV43" s="26">
        <v>0.26214797896787279</v>
      </c>
      <c r="AW43">
        <f t="shared" si="0"/>
        <v>24.079635808723904</v>
      </c>
    </row>
    <row r="44" spans="1:49" x14ac:dyDescent="0.2">
      <c r="A44" s="26" t="s">
        <v>123</v>
      </c>
      <c r="B44" s="26">
        <v>-0.4571866747168325</v>
      </c>
      <c r="C44" s="26">
        <v>-0.20486186176704649</v>
      </c>
      <c r="D44" s="26">
        <v>-0.3673806691863481</v>
      </c>
      <c r="E44" s="26">
        <v>-0.26397977571324777</v>
      </c>
      <c r="F44" s="26">
        <v>-0.45086365617908331</v>
      </c>
      <c r="G44" s="26">
        <v>-0.17356007282776933</v>
      </c>
      <c r="H44" s="26">
        <v>-0.15532295595165921</v>
      </c>
      <c r="I44" s="26">
        <v>-0.25990991413169168</v>
      </c>
      <c r="J44" s="26">
        <v>-0.22405170918098755</v>
      </c>
      <c r="K44" s="26">
        <v>6.6635768398516079E-2</v>
      </c>
      <c r="L44" s="26">
        <v>7.087348461197256E-3</v>
      </c>
      <c r="M44" s="26">
        <v>0.18357844523860767</v>
      </c>
      <c r="N44" s="26">
        <v>0.91877092405663319</v>
      </c>
      <c r="O44" s="26">
        <v>0.86752150627764357</v>
      </c>
      <c r="P44" s="26">
        <v>0.87826600251705944</v>
      </c>
      <c r="Q44" s="26">
        <v>0.92425714563620809</v>
      </c>
      <c r="R44" s="26">
        <v>0.91257478505059453</v>
      </c>
      <c r="S44" s="26">
        <v>0.85710557712794377</v>
      </c>
      <c r="T44" s="26">
        <v>0.90872938372624013</v>
      </c>
      <c r="U44" s="26">
        <v>0.35571268467711636</v>
      </c>
      <c r="V44" s="26">
        <v>0.93512324993004048</v>
      </c>
      <c r="W44" s="26">
        <v>0.92072232473069371</v>
      </c>
      <c r="X44" s="26">
        <v>0.92362793463286352</v>
      </c>
      <c r="Y44" s="26">
        <v>0.90202824524901093</v>
      </c>
      <c r="Z44" s="26">
        <v>0.94186149416949716</v>
      </c>
      <c r="AA44" s="26">
        <v>0.92619357274930869</v>
      </c>
      <c r="AB44" s="26">
        <v>0.89477574863867049</v>
      </c>
      <c r="AC44" s="26">
        <v>0.93821787646117005</v>
      </c>
      <c r="AD44" s="26">
        <v>0.88081000758510863</v>
      </c>
      <c r="AE44" s="26">
        <v>0.76763647270714441</v>
      </c>
      <c r="AF44" s="26">
        <v>0.75921591181112869</v>
      </c>
      <c r="AG44" s="26">
        <v>0.75976619985298421</v>
      </c>
      <c r="AH44" s="26">
        <v>0.73347961082957158</v>
      </c>
      <c r="AI44" s="26">
        <v>0.66442112846538648</v>
      </c>
      <c r="AJ44" s="26">
        <v>0.60769368270404134</v>
      </c>
      <c r="AK44" s="26">
        <v>0.7647455583497077</v>
      </c>
      <c r="AL44" s="26">
        <v>0.53243890591113341</v>
      </c>
      <c r="AM44" s="26">
        <v>0.87305610840071679</v>
      </c>
      <c r="AN44" s="26">
        <v>0.53913743743739229</v>
      </c>
      <c r="AO44" s="26">
        <v>0.72561816822652925</v>
      </c>
      <c r="AP44" s="26">
        <v>0.86606701072541603</v>
      </c>
      <c r="AQ44" s="26">
        <v>0.75900534057232494</v>
      </c>
      <c r="AR44" s="26">
        <v>1</v>
      </c>
      <c r="AS44" s="26">
        <v>0.75081536574367025</v>
      </c>
      <c r="AT44" s="26">
        <v>0.89782504166036547</v>
      </c>
      <c r="AU44" s="26">
        <v>0.50010353957201048</v>
      </c>
      <c r="AV44" s="26">
        <v>0.14223931609834006</v>
      </c>
      <c r="AW44">
        <f t="shared" si="0"/>
        <v>25.22974753472732</v>
      </c>
    </row>
    <row r="45" spans="1:49" x14ac:dyDescent="0.2">
      <c r="A45" s="26" t="s">
        <v>124</v>
      </c>
      <c r="B45" s="26">
        <v>-0.33539573948227758</v>
      </c>
      <c r="C45" s="26">
        <v>-8.3473569308026976E-2</v>
      </c>
      <c r="D45" s="26">
        <v>-0.26315026196147451</v>
      </c>
      <c r="E45" s="26">
        <v>-0.17706064197899146</v>
      </c>
      <c r="F45" s="26">
        <v>-0.35101662153581642</v>
      </c>
      <c r="G45" s="26">
        <v>-5.9151392551100565E-2</v>
      </c>
      <c r="H45" s="26">
        <v>-5.6684301984779251E-2</v>
      </c>
      <c r="I45" s="26">
        <v>-0.19350667113876216</v>
      </c>
      <c r="J45" s="26">
        <v>-0.11890268157677614</v>
      </c>
      <c r="K45" s="26">
        <v>0.12626953668743779</v>
      </c>
      <c r="L45" s="26">
        <v>4.6454562181764476E-2</v>
      </c>
      <c r="M45" s="26">
        <v>0.26217802924105343</v>
      </c>
      <c r="N45" s="26">
        <v>0.78522477601448126</v>
      </c>
      <c r="O45" s="26">
        <v>0.92675731711290721</v>
      </c>
      <c r="P45" s="26">
        <v>0.74722478168499384</v>
      </c>
      <c r="Q45" s="26">
        <v>0.87772641759814851</v>
      </c>
      <c r="R45" s="26">
        <v>0.88058645339935571</v>
      </c>
      <c r="S45" s="26">
        <v>0.9339300462060337</v>
      </c>
      <c r="T45" s="26">
        <v>0.77242648374639478</v>
      </c>
      <c r="U45" s="26">
        <v>0.30987872450280568</v>
      </c>
      <c r="V45" s="26">
        <v>0.8678529744566682</v>
      </c>
      <c r="W45" s="26">
        <v>0.7738542871391717</v>
      </c>
      <c r="X45" s="26">
        <v>0.78641247275984394</v>
      </c>
      <c r="Y45" s="26">
        <v>0.84760114754178106</v>
      </c>
      <c r="Z45" s="26">
        <v>0.77479900609968644</v>
      </c>
      <c r="AA45" s="26">
        <v>0.76753904394569095</v>
      </c>
      <c r="AB45" s="26">
        <v>0.79385876718410819</v>
      </c>
      <c r="AC45" s="26">
        <v>0.73407997317324991</v>
      </c>
      <c r="AD45" s="26">
        <v>0.83713008992040816</v>
      </c>
      <c r="AE45" s="26">
        <v>0.73507224676603822</v>
      </c>
      <c r="AF45" s="26">
        <v>0.72067255379420647</v>
      </c>
      <c r="AG45" s="26">
        <v>0.74249806975728283</v>
      </c>
      <c r="AH45" s="26">
        <v>0.70823451187239961</v>
      </c>
      <c r="AI45" s="26">
        <v>0.68907239299882761</v>
      </c>
      <c r="AJ45" s="26">
        <v>0.55870171368080845</v>
      </c>
      <c r="AK45" s="26">
        <v>0.73394867401206809</v>
      </c>
      <c r="AL45" s="26">
        <v>0.42583461325963229</v>
      </c>
      <c r="AM45" s="26">
        <v>0.82842413492575773</v>
      </c>
      <c r="AN45" s="26">
        <v>0.46197431759591778</v>
      </c>
      <c r="AO45" s="26">
        <v>0.52075784136137848</v>
      </c>
      <c r="AP45" s="26">
        <v>0.69787594187132973</v>
      </c>
      <c r="AQ45" s="26">
        <v>0.65301220739043009</v>
      </c>
      <c r="AR45" s="26">
        <v>0.75081536574367025</v>
      </c>
      <c r="AS45" s="26">
        <v>1</v>
      </c>
      <c r="AT45" s="26">
        <v>0.73206016003653773</v>
      </c>
      <c r="AU45" s="26">
        <v>0.43426349517254165</v>
      </c>
      <c r="AV45" s="26">
        <v>0.11831996173130287</v>
      </c>
      <c r="AW45">
        <f t="shared" si="0"/>
        <v>23.72498121104811</v>
      </c>
    </row>
    <row r="46" spans="1:49" x14ac:dyDescent="0.2">
      <c r="A46" s="26" t="s">
        <v>125</v>
      </c>
      <c r="B46" s="26">
        <v>-0.46099466892459212</v>
      </c>
      <c r="C46" s="26">
        <v>-0.13204748444840939</v>
      </c>
      <c r="D46" s="26">
        <v>-0.32595477776481524</v>
      </c>
      <c r="E46" s="26">
        <v>-0.23421600313602073</v>
      </c>
      <c r="F46" s="26">
        <v>-0.43897825682554442</v>
      </c>
      <c r="G46" s="26">
        <v>-0.12705003795362008</v>
      </c>
      <c r="H46" s="26">
        <v>-8.2271506084401633E-2</v>
      </c>
      <c r="I46" s="26">
        <v>-0.23688647851638284</v>
      </c>
      <c r="J46" s="26">
        <v>-0.16805073612194266</v>
      </c>
      <c r="K46" s="26">
        <v>0.14720875001744993</v>
      </c>
      <c r="L46" s="26">
        <v>2.4302884015858561E-2</v>
      </c>
      <c r="M46" s="26">
        <v>0.24559783801664187</v>
      </c>
      <c r="N46" s="26">
        <v>0.81169482896457201</v>
      </c>
      <c r="O46" s="26">
        <v>0.84411142922521176</v>
      </c>
      <c r="P46" s="26">
        <v>0.79144584434320375</v>
      </c>
      <c r="Q46" s="26">
        <v>0.87192257893529856</v>
      </c>
      <c r="R46" s="26">
        <v>0.85930647392104231</v>
      </c>
      <c r="S46" s="26">
        <v>0.82830332073806079</v>
      </c>
      <c r="T46" s="26">
        <v>0.83450083808787989</v>
      </c>
      <c r="U46" s="26">
        <v>0.32193289182548324</v>
      </c>
      <c r="V46" s="26">
        <v>0.88172727041597165</v>
      </c>
      <c r="W46" s="26">
        <v>0.84885297435124807</v>
      </c>
      <c r="X46" s="26">
        <v>0.88259559306570057</v>
      </c>
      <c r="Y46" s="26">
        <v>0.8752854971437305</v>
      </c>
      <c r="Z46" s="26">
        <v>0.88719420956307105</v>
      </c>
      <c r="AA46" s="26">
        <v>0.87682540331792402</v>
      </c>
      <c r="AB46" s="26">
        <v>0.85823722614847897</v>
      </c>
      <c r="AC46" s="26">
        <v>0.88423278342716838</v>
      </c>
      <c r="AD46" s="26">
        <v>0.89615996757387961</v>
      </c>
      <c r="AE46" s="26">
        <v>0.83174241372748159</v>
      </c>
      <c r="AF46" s="26">
        <v>0.84905793319936695</v>
      </c>
      <c r="AG46" s="26">
        <v>0.80472151273396098</v>
      </c>
      <c r="AH46" s="26">
        <v>0.77159617318233131</v>
      </c>
      <c r="AI46" s="26">
        <v>0.71538223870074613</v>
      </c>
      <c r="AJ46" s="26">
        <v>0.69106103730070834</v>
      </c>
      <c r="AK46" s="26">
        <v>0.8332629490644049</v>
      </c>
      <c r="AL46" s="26">
        <v>0.53854776705118701</v>
      </c>
      <c r="AM46" s="26">
        <v>0.81887740065053838</v>
      </c>
      <c r="AN46" s="26">
        <v>0.40857288330169561</v>
      </c>
      <c r="AO46" s="26">
        <v>0.77796127207971544</v>
      </c>
      <c r="AP46" s="26">
        <v>0.79271265939458047</v>
      </c>
      <c r="AQ46" s="26">
        <v>0.68550488801170195</v>
      </c>
      <c r="AR46" s="26">
        <v>0.89782504166036547</v>
      </c>
      <c r="AS46" s="26">
        <v>0.73206016003653773</v>
      </c>
      <c r="AT46" s="26">
        <v>1</v>
      </c>
      <c r="AU46" s="26">
        <v>0.48087321777564412</v>
      </c>
      <c r="AV46" s="26">
        <v>6.1261014054866642E-2</v>
      </c>
      <c r="AW46">
        <f t="shared" si="0"/>
        <v>24.956009215247985</v>
      </c>
    </row>
    <row r="47" spans="1:49" x14ac:dyDescent="0.2">
      <c r="A47" s="26" t="s">
        <v>126</v>
      </c>
      <c r="B47" s="26">
        <v>9.2943753344528118E-2</v>
      </c>
      <c r="C47" s="26">
        <v>0.38955480347495619</v>
      </c>
      <c r="D47" s="26">
        <v>0.24890879970301447</v>
      </c>
      <c r="E47" s="26">
        <v>0.33486309324706348</v>
      </c>
      <c r="F47" s="26">
        <v>0.16125967518990614</v>
      </c>
      <c r="G47" s="26">
        <v>0.37114115232124834</v>
      </c>
      <c r="H47" s="26">
        <v>0.36270722446753556</v>
      </c>
      <c r="I47" s="26">
        <v>0.24402738606620669</v>
      </c>
      <c r="J47" s="26">
        <v>0.39772827942755723</v>
      </c>
      <c r="K47" s="26">
        <v>0.59604261860509899</v>
      </c>
      <c r="L47" s="26">
        <v>0.511050864160142</v>
      </c>
      <c r="M47" s="26">
        <v>0.59949375074799638</v>
      </c>
      <c r="N47" s="26">
        <v>0.57648959036795377</v>
      </c>
      <c r="O47" s="26">
        <v>0.56884518790326322</v>
      </c>
      <c r="P47" s="26">
        <v>0.59296676530819947</v>
      </c>
      <c r="Q47" s="26">
        <v>0.59646478365322086</v>
      </c>
      <c r="R47" s="26">
        <v>0.57879282747925742</v>
      </c>
      <c r="S47" s="26">
        <v>0.57003308770668482</v>
      </c>
      <c r="T47" s="26">
        <v>0.56084837239022045</v>
      </c>
      <c r="U47" s="26">
        <v>0.26157639285919942</v>
      </c>
      <c r="V47" s="26">
        <v>0.6034493694692068</v>
      </c>
      <c r="W47" s="26">
        <v>0.56935726984442081</v>
      </c>
      <c r="X47" s="26">
        <v>0.59613626981984003</v>
      </c>
      <c r="Y47" s="26">
        <v>0.61022833479606053</v>
      </c>
      <c r="Z47" s="26">
        <v>0.61296083578722516</v>
      </c>
      <c r="AA47" s="26">
        <v>0.60442473891580306</v>
      </c>
      <c r="AB47" s="26">
        <v>0.58042644885325712</v>
      </c>
      <c r="AC47" s="26">
        <v>0.59957263645245273</v>
      </c>
      <c r="AD47" s="26">
        <v>0.58143332285145866</v>
      </c>
      <c r="AE47" s="26">
        <v>0.52759340346493266</v>
      </c>
      <c r="AF47" s="26">
        <v>0.49763794858470162</v>
      </c>
      <c r="AG47" s="26">
        <v>0.53039722881687934</v>
      </c>
      <c r="AH47" s="26">
        <v>0.47660003597827294</v>
      </c>
      <c r="AI47" s="26">
        <v>0.51368821003333465</v>
      </c>
      <c r="AJ47" s="26">
        <v>0.63459161680141773</v>
      </c>
      <c r="AK47" s="26">
        <v>0.52041214184393902</v>
      </c>
      <c r="AL47" s="26">
        <v>0.44748884214257417</v>
      </c>
      <c r="AM47" s="26">
        <v>0.52323954888669388</v>
      </c>
      <c r="AN47" s="26">
        <v>0.54414157892371529</v>
      </c>
      <c r="AO47" s="26">
        <v>0.37672333554129006</v>
      </c>
      <c r="AP47" s="26">
        <v>0.51817480064124533</v>
      </c>
      <c r="AQ47" s="26">
        <v>0.55740748658093553</v>
      </c>
      <c r="AR47" s="26">
        <v>0.50010353957201048</v>
      </c>
      <c r="AS47" s="26">
        <v>0.43426349517254165</v>
      </c>
      <c r="AT47" s="26">
        <v>0.48087321777564412</v>
      </c>
      <c r="AU47" s="26">
        <v>1</v>
      </c>
      <c r="AV47" s="26">
        <v>0.62567063705377579</v>
      </c>
      <c r="AW47">
        <f t="shared" si="0"/>
        <v>23.682734703026874</v>
      </c>
    </row>
    <row r="48" spans="1:49" ht="15" thickBot="1" x14ac:dyDescent="0.25">
      <c r="A48" s="27" t="s">
        <v>127</v>
      </c>
      <c r="B48" s="27">
        <v>0.32788265659126808</v>
      </c>
      <c r="C48" s="27">
        <v>0.44518798928875047</v>
      </c>
      <c r="D48" s="27">
        <v>0.41571483946211685</v>
      </c>
      <c r="E48" s="27">
        <v>0.43257344919635576</v>
      </c>
      <c r="F48" s="27">
        <v>0.3647787589230439</v>
      </c>
      <c r="G48" s="27">
        <v>0.44921018886134872</v>
      </c>
      <c r="H48" s="27">
        <v>0.39676666108924019</v>
      </c>
      <c r="I48" s="27">
        <v>0.36187743887001117</v>
      </c>
      <c r="J48" s="27">
        <v>0.46215849608583565</v>
      </c>
      <c r="K48" s="27">
        <v>0.48525032678382135</v>
      </c>
      <c r="L48" s="27">
        <v>0.4851320379235049</v>
      </c>
      <c r="M48" s="27">
        <v>0.44384231298177346</v>
      </c>
      <c r="N48" s="27">
        <v>0.35074502385944706</v>
      </c>
      <c r="O48" s="27">
        <v>0.22898817857294448</v>
      </c>
      <c r="P48" s="27">
        <v>0.3804566202731664</v>
      </c>
      <c r="Q48" s="27">
        <v>0.25253758488269651</v>
      </c>
      <c r="R48" s="27">
        <v>0.25526318466991155</v>
      </c>
      <c r="S48" s="27">
        <v>0.22725012356117164</v>
      </c>
      <c r="T48" s="27">
        <v>0.26646195651395704</v>
      </c>
      <c r="U48" s="27">
        <v>0.16908919118179208</v>
      </c>
      <c r="V48" s="27">
        <v>0.24744246785872942</v>
      </c>
      <c r="W48" s="27">
        <v>0.26515546857612043</v>
      </c>
      <c r="X48" s="27">
        <v>0.1747815049773728</v>
      </c>
      <c r="Y48" s="27">
        <v>0.20189757298366992</v>
      </c>
      <c r="Z48" s="27">
        <v>0.25909696422978495</v>
      </c>
      <c r="AA48" s="27">
        <v>0.19423627587319992</v>
      </c>
      <c r="AB48" s="27">
        <v>0.16601730574622964</v>
      </c>
      <c r="AC48" s="27">
        <v>0.20799884261680435</v>
      </c>
      <c r="AD48" s="27">
        <v>0.22602604200135312</v>
      </c>
      <c r="AE48" s="27">
        <v>0.19627756295283252</v>
      </c>
      <c r="AF48" s="27">
        <v>0.14941329182331342</v>
      </c>
      <c r="AG48" s="27">
        <v>0.19697960382240393</v>
      </c>
      <c r="AH48" s="27">
        <v>0.1720054050307665</v>
      </c>
      <c r="AI48" s="27">
        <v>0.21101710960281489</v>
      </c>
      <c r="AJ48" s="27">
        <v>0.31614348819136356</v>
      </c>
      <c r="AK48" s="27">
        <v>0.19146775942955832</v>
      </c>
      <c r="AL48" s="27">
        <v>0.34641275709514052</v>
      </c>
      <c r="AM48" s="27">
        <v>0.13941288396711146</v>
      </c>
      <c r="AN48" s="27">
        <v>0.56013837219672047</v>
      </c>
      <c r="AO48" s="27">
        <v>9.4888373118206054E-2</v>
      </c>
      <c r="AP48" s="27">
        <v>0.10553155918527168</v>
      </c>
      <c r="AQ48" s="27">
        <v>0.26214797896787279</v>
      </c>
      <c r="AR48" s="27">
        <v>0.14223931609834006</v>
      </c>
      <c r="AS48" s="27">
        <v>0.11831996173130287</v>
      </c>
      <c r="AT48" s="27">
        <v>6.1261014054866642E-2</v>
      </c>
      <c r="AU48" s="27">
        <v>0.62567063705377579</v>
      </c>
      <c r="AV48" s="27">
        <v>1</v>
      </c>
      <c r="AW48">
        <f t="shared" si="0"/>
        <v>14.033146538757086</v>
      </c>
    </row>
  </sheetData>
  <conditionalFormatting sqref="B2:AV4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79998168889431442"/>
  </sheetPr>
  <dimension ref="A1:AV48"/>
  <sheetViews>
    <sheetView showGridLines="0" topLeftCell="X6" workbookViewId="0">
      <selection activeCell="AV48" sqref="AV48"/>
    </sheetView>
  </sheetViews>
  <sheetFormatPr defaultRowHeight="14.25" x14ac:dyDescent="0.2"/>
  <cols>
    <col min="1" max="1" width="12" bestFit="1" customWidth="1"/>
  </cols>
  <sheetData>
    <row r="1" spans="1:48" x14ac:dyDescent="0.2">
      <c r="A1" s="28" t="s">
        <v>167</v>
      </c>
      <c r="B1" s="28" t="s">
        <v>73</v>
      </c>
      <c r="C1" s="28" t="s">
        <v>74</v>
      </c>
      <c r="D1" s="28" t="s">
        <v>75</v>
      </c>
      <c r="E1" s="28" t="s">
        <v>76</v>
      </c>
      <c r="F1" s="28" t="s">
        <v>77</v>
      </c>
      <c r="G1" s="28" t="s">
        <v>78</v>
      </c>
      <c r="H1" s="28" t="s">
        <v>79</v>
      </c>
      <c r="I1" s="28" t="s">
        <v>80</v>
      </c>
      <c r="J1" s="28" t="s">
        <v>81</v>
      </c>
      <c r="K1" s="28" t="s">
        <v>82</v>
      </c>
      <c r="L1" s="28" t="s">
        <v>83</v>
      </c>
      <c r="M1" s="28" t="s">
        <v>84</v>
      </c>
      <c r="N1" s="28" t="s">
        <v>86</v>
      </c>
      <c r="O1" s="28" t="s">
        <v>88</v>
      </c>
      <c r="P1" s="28" t="s">
        <v>89</v>
      </c>
      <c r="Q1" s="28" t="s">
        <v>90</v>
      </c>
      <c r="R1" s="28" t="s">
        <v>91</v>
      </c>
      <c r="S1" s="28" t="s">
        <v>92</v>
      </c>
      <c r="T1" s="28" t="s">
        <v>93</v>
      </c>
      <c r="U1" s="28" t="s">
        <v>94</v>
      </c>
      <c r="V1" s="28" t="s">
        <v>95</v>
      </c>
      <c r="W1" s="28" t="s">
        <v>96</v>
      </c>
      <c r="X1" s="28" t="s">
        <v>97</v>
      </c>
      <c r="Y1" s="28" t="s">
        <v>98</v>
      </c>
      <c r="Z1" s="28" t="s">
        <v>99</v>
      </c>
      <c r="AA1" s="28" t="s">
        <v>100</v>
      </c>
      <c r="AB1" s="28" t="s">
        <v>101</v>
      </c>
      <c r="AC1" s="28" t="s">
        <v>102</v>
      </c>
      <c r="AD1" s="28" t="s">
        <v>106</v>
      </c>
      <c r="AE1" s="28" t="s">
        <v>108</v>
      </c>
      <c r="AF1" s="28" t="s">
        <v>109</v>
      </c>
      <c r="AG1" s="28" t="s">
        <v>110</v>
      </c>
      <c r="AH1" s="28" t="s">
        <v>111</v>
      </c>
      <c r="AI1" s="28" t="s">
        <v>112</v>
      </c>
      <c r="AJ1" s="28" t="s">
        <v>113</v>
      </c>
      <c r="AK1" s="28" t="s">
        <v>116</v>
      </c>
      <c r="AL1" s="28" t="s">
        <v>117</v>
      </c>
      <c r="AM1" s="28" t="s">
        <v>118</v>
      </c>
      <c r="AN1" s="28" t="s">
        <v>119</v>
      </c>
      <c r="AO1" s="28" t="s">
        <v>120</v>
      </c>
      <c r="AP1" s="28" t="s">
        <v>121</v>
      </c>
      <c r="AQ1" s="28" t="s">
        <v>122</v>
      </c>
      <c r="AR1" s="28" t="s">
        <v>123</v>
      </c>
      <c r="AS1" s="28" t="s">
        <v>124</v>
      </c>
      <c r="AT1" s="28" t="s">
        <v>125</v>
      </c>
      <c r="AU1" s="28" t="s">
        <v>126</v>
      </c>
      <c r="AV1" s="28" t="s">
        <v>127</v>
      </c>
    </row>
    <row r="2" spans="1:48" x14ac:dyDescent="0.2">
      <c r="A2" s="26" t="s">
        <v>73</v>
      </c>
      <c r="B2" s="26">
        <v>3.1147476552484676E-3</v>
      </c>
      <c r="C2" s="26">
        <v>4.9500257109705195E-4</v>
      </c>
      <c r="D2" s="26">
        <v>4.3706407923699303E-4</v>
      </c>
      <c r="E2" s="26">
        <v>1.2650818075056122E-3</v>
      </c>
      <c r="F2" s="26">
        <v>1.7334522906074178E-3</v>
      </c>
      <c r="G2" s="26">
        <v>2.236244698819682E-4</v>
      </c>
      <c r="H2" s="26">
        <v>1.1403940193649645E-4</v>
      </c>
      <c r="I2" s="26">
        <v>5.6038382189988676E-5</v>
      </c>
      <c r="J2" s="26">
        <v>3.7389928159206479E-4</v>
      </c>
      <c r="K2" s="26">
        <v>3.3257559247800898E-4</v>
      </c>
      <c r="L2" s="26">
        <v>8.8622792831195222E-4</v>
      </c>
      <c r="M2" s="26">
        <v>6.3298650645020313E-5</v>
      </c>
      <c r="N2" s="26">
        <v>-5.6031888601866563E-4</v>
      </c>
      <c r="O2" s="26">
        <v>-6.9095726913048815E-4</v>
      </c>
      <c r="P2" s="26">
        <v>-5.2021899927348668E-4</v>
      </c>
      <c r="Q2" s="26">
        <v>-7.6758484274299873E-4</v>
      </c>
      <c r="R2" s="26">
        <v>-7.4362964327518983E-4</v>
      </c>
      <c r="S2" s="26">
        <v>-6.337346389923941E-4</v>
      </c>
      <c r="T2" s="26">
        <v>-8.4718785921752721E-4</v>
      </c>
      <c r="U2" s="26">
        <v>-6.0039544396922118E-4</v>
      </c>
      <c r="V2" s="26">
        <v>-8.0242781340685281E-4</v>
      </c>
      <c r="W2" s="26">
        <v>-8.5022038857351977E-4</v>
      </c>
      <c r="X2" s="26">
        <v>-1.0379787912520133E-3</v>
      </c>
      <c r="Y2" s="26">
        <v>-8.8836662580886678E-4</v>
      </c>
      <c r="Z2" s="26">
        <v>-8.5134299721719093E-4</v>
      </c>
      <c r="AA2" s="26">
        <v>-1.0403727570306072E-3</v>
      </c>
      <c r="AB2" s="26">
        <v>-1.0573677100147335E-3</v>
      </c>
      <c r="AC2" s="26">
        <v>-1.0466863737863842E-3</v>
      </c>
      <c r="AD2" s="26">
        <v>-8.7720588941474296E-4</v>
      </c>
      <c r="AE2" s="26">
        <v>-9.2407446630009575E-4</v>
      </c>
      <c r="AF2" s="26">
        <v>-9.6154532963813575E-4</v>
      </c>
      <c r="AG2" s="26">
        <v>-8.8525280209717861E-4</v>
      </c>
      <c r="AH2" s="26">
        <v>-1.0214768365307688E-3</v>
      </c>
      <c r="AI2" s="26">
        <v>-6.6398699259550946E-4</v>
      </c>
      <c r="AJ2" s="26">
        <v>-4.273359168958439E-4</v>
      </c>
      <c r="AK2" s="26">
        <v>-8.9095984057892849E-4</v>
      </c>
      <c r="AL2" s="26">
        <v>-3.1639903714890643E-4</v>
      </c>
      <c r="AM2" s="26">
        <v>-8.8014939742485506E-4</v>
      </c>
      <c r="AN2" s="26">
        <v>-3.1211163705051756E-5</v>
      </c>
      <c r="AO2" s="26">
        <v>-1.42083654283337E-3</v>
      </c>
      <c r="AP2" s="26">
        <v>-1.4049279287033424E-3</v>
      </c>
      <c r="AQ2" s="26">
        <v>-4.4413937625789731E-4</v>
      </c>
      <c r="AR2" s="26">
        <v>-1.0875009958836127E-3</v>
      </c>
      <c r="AS2" s="26">
        <v>-7.8649484404540301E-4</v>
      </c>
      <c r="AT2" s="26">
        <v>-1.2810344870428949E-3</v>
      </c>
      <c r="AU2" s="26">
        <v>2.2455789398665181E-4</v>
      </c>
      <c r="AV2" s="26">
        <v>6.2233180001900737E-4</v>
      </c>
    </row>
    <row r="3" spans="1:48" x14ac:dyDescent="0.2">
      <c r="A3" s="26" t="s">
        <v>74</v>
      </c>
      <c r="B3" s="26">
        <v>4.9500257109705195E-4</v>
      </c>
      <c r="C3" s="26">
        <v>1.4046530346898054E-4</v>
      </c>
      <c r="D3" s="26">
        <v>1.0929397281069209E-4</v>
      </c>
      <c r="E3" s="26">
        <v>2.5586102609434264E-4</v>
      </c>
      <c r="F3" s="26">
        <v>2.9843899218381025E-4</v>
      </c>
      <c r="G3" s="26">
        <v>6.4744367034497876E-5</v>
      </c>
      <c r="H3" s="26">
        <v>4.0110625199038672E-5</v>
      </c>
      <c r="I3" s="26">
        <v>1.7671519260754208E-5</v>
      </c>
      <c r="J3" s="26">
        <v>9.5520386619928828E-5</v>
      </c>
      <c r="K3" s="26">
        <v>1.2393706144548497E-4</v>
      </c>
      <c r="L3" s="26">
        <v>2.1257360045897375E-4</v>
      </c>
      <c r="M3" s="26">
        <v>4.0665713907051E-5</v>
      </c>
      <c r="N3" s="26">
        <v>-3.131115129164425E-5</v>
      </c>
      <c r="O3" s="26">
        <v>-1.9221845966087615E-5</v>
      </c>
      <c r="P3" s="26">
        <v>-3.4031813843579076E-5</v>
      </c>
      <c r="Q3" s="26">
        <v>-5.2442045680269501E-5</v>
      </c>
      <c r="R3" s="26">
        <v>-5.2446090173676298E-5</v>
      </c>
      <c r="S3" s="26">
        <v>-1.0772898765356065E-5</v>
      </c>
      <c r="T3" s="26">
        <v>-8.689968753051834E-5</v>
      </c>
      <c r="U3" s="26">
        <v>3.8542853199767677E-5</v>
      </c>
      <c r="V3" s="26">
        <v>-5.7189017596710382E-5</v>
      </c>
      <c r="W3" s="26">
        <v>-8.6205272393466973E-5</v>
      </c>
      <c r="X3" s="26">
        <v>-7.6626143361378454E-5</v>
      </c>
      <c r="Y3" s="26">
        <v>-3.9788776116702121E-5</v>
      </c>
      <c r="Z3" s="26">
        <v>-6.294556990798139E-5</v>
      </c>
      <c r="AA3" s="26">
        <v>-7.8887531058434741E-5</v>
      </c>
      <c r="AB3" s="26">
        <v>-7.8217523652826017E-5</v>
      </c>
      <c r="AC3" s="26">
        <v>-8.3111127392644391E-5</v>
      </c>
      <c r="AD3" s="26">
        <v>-3.0533178417083164E-5</v>
      </c>
      <c r="AE3" s="26">
        <v>1.4251283955611658E-6</v>
      </c>
      <c r="AF3" s="26">
        <v>1.2512237065986004E-5</v>
      </c>
      <c r="AG3" s="26">
        <v>-1.0050769682841791E-5</v>
      </c>
      <c r="AH3" s="26">
        <v>-2.5249989344604747E-5</v>
      </c>
      <c r="AI3" s="26">
        <v>1.4602662759740686E-5</v>
      </c>
      <c r="AJ3" s="26">
        <v>1.3976370097227108E-4</v>
      </c>
      <c r="AK3" s="26">
        <v>6.5322836981274514E-6</v>
      </c>
      <c r="AL3" s="26">
        <v>1.782349994434469E-5</v>
      </c>
      <c r="AM3" s="26">
        <v>-6.7330706155791902E-5</v>
      </c>
      <c r="AN3" s="26">
        <v>6.2185957453390607E-5</v>
      </c>
      <c r="AO3" s="26">
        <v>-1.2851405642223956E-4</v>
      </c>
      <c r="AP3" s="26">
        <v>-1.7203825526201257E-4</v>
      </c>
      <c r="AQ3" s="26">
        <v>-1.1985579354122717E-5</v>
      </c>
      <c r="AR3" s="26">
        <v>-1.0348331007037469E-4</v>
      </c>
      <c r="AS3" s="26">
        <v>-4.1568123505683639E-5</v>
      </c>
      <c r="AT3" s="26">
        <v>-7.7923445597876339E-5</v>
      </c>
      <c r="AU3" s="26">
        <v>1.9987099800140303E-4</v>
      </c>
      <c r="AV3" s="26">
        <v>1.794403402738438E-4</v>
      </c>
    </row>
    <row r="4" spans="1:48" x14ac:dyDescent="0.2">
      <c r="A4" s="26" t="s">
        <v>75</v>
      </c>
      <c r="B4" s="26">
        <v>4.3706407923699303E-4</v>
      </c>
      <c r="C4" s="26">
        <v>1.0929397281069209E-4</v>
      </c>
      <c r="D4" s="26">
        <v>9.7651122371623242E-5</v>
      </c>
      <c r="E4" s="26">
        <v>2.0060468306214182E-4</v>
      </c>
      <c r="F4" s="26">
        <v>2.6440627470009391E-4</v>
      </c>
      <c r="G4" s="26">
        <v>5.3758125893777061E-5</v>
      </c>
      <c r="H4" s="26">
        <v>3.2447531333028895E-5</v>
      </c>
      <c r="I4" s="26">
        <v>1.6204880857232386E-5</v>
      </c>
      <c r="J4" s="26">
        <v>7.6464537096673199E-5</v>
      </c>
      <c r="K4" s="26">
        <v>8.6108283780673395E-5</v>
      </c>
      <c r="L4" s="26">
        <v>1.4395386568825014E-4</v>
      </c>
      <c r="M4" s="26">
        <v>2.6532535431190778E-5</v>
      </c>
      <c r="N4" s="26">
        <v>-7.2150721270531547E-5</v>
      </c>
      <c r="O4" s="26">
        <v>-8.1229421303431843E-5</v>
      </c>
      <c r="P4" s="26">
        <v>-7.5923942934572625E-5</v>
      </c>
      <c r="Q4" s="26">
        <v>-1.0490107325827243E-4</v>
      </c>
      <c r="R4" s="26">
        <v>-1.035773081123943E-4</v>
      </c>
      <c r="S4" s="26">
        <v>-7.4307661510965463E-5</v>
      </c>
      <c r="T4" s="26">
        <v>-1.3023644380995194E-4</v>
      </c>
      <c r="U4" s="26">
        <v>-5.5040619463829165E-5</v>
      </c>
      <c r="V4" s="26">
        <v>-1.0911654280117006E-4</v>
      </c>
      <c r="W4" s="26">
        <v>-1.2966427965180961E-4</v>
      </c>
      <c r="X4" s="26">
        <v>-1.3276729766684026E-4</v>
      </c>
      <c r="Y4" s="26">
        <v>-1.0184820547104777E-4</v>
      </c>
      <c r="Z4" s="26">
        <v>-1.1734469023150029E-4</v>
      </c>
      <c r="AA4" s="26">
        <v>-1.3433871341181935E-4</v>
      </c>
      <c r="AB4" s="26">
        <v>-1.3342644763994615E-4</v>
      </c>
      <c r="AC4" s="26">
        <v>-1.3826087390682377E-4</v>
      </c>
      <c r="AD4" s="26">
        <v>-9.9354375026182307E-5</v>
      </c>
      <c r="AE4" s="26">
        <v>-8.5230450682041934E-5</v>
      </c>
      <c r="AF4" s="26">
        <v>-7.487103138298842E-5</v>
      </c>
      <c r="AG4" s="26">
        <v>-8.9304403797138925E-5</v>
      </c>
      <c r="AH4" s="26">
        <v>-1.0537588109910028E-4</v>
      </c>
      <c r="AI4" s="26">
        <v>-6.4908003925305538E-5</v>
      </c>
      <c r="AJ4" s="26">
        <v>2.5968441361811488E-5</v>
      </c>
      <c r="AK4" s="26">
        <v>-7.7009046110028455E-5</v>
      </c>
      <c r="AL4" s="26">
        <v>-3.2350966371226673E-5</v>
      </c>
      <c r="AM4" s="26">
        <v>-1.1850828004308929E-4</v>
      </c>
      <c r="AN4" s="26">
        <v>2.2194432738183999E-5</v>
      </c>
      <c r="AO4" s="26">
        <v>-2.0748102746430874E-4</v>
      </c>
      <c r="AP4" s="26">
        <v>-2.2014306063521515E-4</v>
      </c>
      <c r="AQ4" s="26">
        <v>-5.450771674439065E-5</v>
      </c>
      <c r="AR4" s="26">
        <v>-1.5473180303344049E-4</v>
      </c>
      <c r="AS4" s="26">
        <v>-1.0926204657426717E-4</v>
      </c>
      <c r="AT4" s="26">
        <v>-1.6037972172906103E-4</v>
      </c>
      <c r="AU4" s="26">
        <v>1.0648184228480984E-4</v>
      </c>
      <c r="AV4" s="26">
        <v>1.3970960389563401E-4</v>
      </c>
    </row>
    <row r="5" spans="1:48" x14ac:dyDescent="0.2">
      <c r="A5" s="26" t="s">
        <v>76</v>
      </c>
      <c r="B5" s="26">
        <v>1.2650818075056122E-3</v>
      </c>
      <c r="C5" s="26">
        <v>2.5586102609434264E-4</v>
      </c>
      <c r="D5" s="26">
        <v>2.0060468306214182E-4</v>
      </c>
      <c r="E5" s="26">
        <v>6.1778903805344081E-4</v>
      </c>
      <c r="F5" s="26">
        <v>7.3808021631294174E-4</v>
      </c>
      <c r="G5" s="26">
        <v>1.1425105974055921E-4</v>
      </c>
      <c r="H5" s="26">
        <v>6.2003141946410676E-5</v>
      </c>
      <c r="I5" s="26">
        <v>2.7846555357264672E-5</v>
      </c>
      <c r="J5" s="26">
        <v>1.9088047110722589E-4</v>
      </c>
      <c r="K5" s="26">
        <v>2.2684089547295801E-4</v>
      </c>
      <c r="L5" s="26">
        <v>5.2518938111710762E-4</v>
      </c>
      <c r="M5" s="26">
        <v>6.1642562978606879E-5</v>
      </c>
      <c r="N5" s="26">
        <v>-1.1547280712865052E-4</v>
      </c>
      <c r="O5" s="26">
        <v>-1.272753109507374E-4</v>
      </c>
      <c r="P5" s="26">
        <v>-1.0045869287483888E-4</v>
      </c>
      <c r="Q5" s="26">
        <v>-1.7025476525680115E-4</v>
      </c>
      <c r="R5" s="26">
        <v>-1.6825825253878279E-4</v>
      </c>
      <c r="S5" s="26">
        <v>-1.0495029391017903E-4</v>
      </c>
      <c r="T5" s="26">
        <v>-2.1930994033133984E-4</v>
      </c>
      <c r="U5" s="26">
        <v>-1.4970824917289283E-5</v>
      </c>
      <c r="V5" s="26">
        <v>-1.8128246315324788E-4</v>
      </c>
      <c r="W5" s="26">
        <v>-2.1799420463535722E-4</v>
      </c>
      <c r="X5" s="26">
        <v>-2.4722412794840815E-4</v>
      </c>
      <c r="Y5" s="26">
        <v>-1.8334264021923092E-4</v>
      </c>
      <c r="Z5" s="26">
        <v>-1.9696822345340606E-4</v>
      </c>
      <c r="AA5" s="26">
        <v>-2.4874357324415614E-4</v>
      </c>
      <c r="AB5" s="26">
        <v>-2.5461960743323173E-4</v>
      </c>
      <c r="AC5" s="26">
        <v>-2.5482450899409558E-4</v>
      </c>
      <c r="AD5" s="26">
        <v>-1.6795982595121611E-4</v>
      </c>
      <c r="AE5" s="26">
        <v>-1.3691235746344173E-4</v>
      </c>
      <c r="AF5" s="26">
        <v>-1.4625655154304555E-4</v>
      </c>
      <c r="AG5" s="26">
        <v>-1.4808299698027498E-4</v>
      </c>
      <c r="AH5" s="26">
        <v>-1.9019098797708696E-4</v>
      </c>
      <c r="AI5" s="26">
        <v>-8.5835796279613977E-5</v>
      </c>
      <c r="AJ5" s="26">
        <v>1.0455835390042724E-4</v>
      </c>
      <c r="AK5" s="26">
        <v>-1.2876256387290874E-4</v>
      </c>
      <c r="AL5" s="26">
        <v>-2.2815008446680568E-5</v>
      </c>
      <c r="AM5" s="26">
        <v>-2.3047947443292666E-4</v>
      </c>
      <c r="AN5" s="26">
        <v>6.7449573045703985E-5</v>
      </c>
      <c r="AO5" s="26">
        <v>-3.3749735690034318E-4</v>
      </c>
      <c r="AP5" s="26">
        <v>-4.0786132529799598E-4</v>
      </c>
      <c r="AQ5" s="26">
        <v>-7.6796640435620078E-5</v>
      </c>
      <c r="AR5" s="26">
        <v>-2.7965038413920351E-4</v>
      </c>
      <c r="AS5" s="26">
        <v>-1.8491367851282783E-4</v>
      </c>
      <c r="AT5" s="26">
        <v>-2.8986124235431981E-4</v>
      </c>
      <c r="AU5" s="26">
        <v>3.603164333138695E-4</v>
      </c>
      <c r="AV5" s="26">
        <v>3.6565546839237029E-4</v>
      </c>
    </row>
    <row r="6" spans="1:48" x14ac:dyDescent="0.2">
      <c r="A6" s="26" t="s">
        <v>77</v>
      </c>
      <c r="B6" s="26">
        <v>1.7334522906074178E-3</v>
      </c>
      <c r="C6" s="26">
        <v>2.9843899218381025E-4</v>
      </c>
      <c r="D6" s="26">
        <v>2.6440627470009391E-4</v>
      </c>
      <c r="E6" s="26">
        <v>7.3808021631294174E-4</v>
      </c>
      <c r="F6" s="26">
        <v>1.002328785840689E-3</v>
      </c>
      <c r="G6" s="26">
        <v>1.3970822141355538E-4</v>
      </c>
      <c r="H6" s="26">
        <v>7.2452119711491442E-5</v>
      </c>
      <c r="I6" s="26">
        <v>3.6454321585818169E-5</v>
      </c>
      <c r="J6" s="26">
        <v>2.281055453251351E-4</v>
      </c>
      <c r="K6" s="26">
        <v>2.1951558350955734E-4</v>
      </c>
      <c r="L6" s="26">
        <v>5.3282863251686912E-4</v>
      </c>
      <c r="M6" s="26">
        <v>4.8755748275570835E-5</v>
      </c>
      <c r="N6" s="26">
        <v>-3.1627073715602465E-4</v>
      </c>
      <c r="O6" s="26">
        <v>-3.8530395780493528E-4</v>
      </c>
      <c r="P6" s="26">
        <v>-3.0383939768923661E-4</v>
      </c>
      <c r="Q6" s="26">
        <v>-4.3282348111147785E-4</v>
      </c>
      <c r="R6" s="26">
        <v>-4.239272797660139E-4</v>
      </c>
      <c r="S6" s="26">
        <v>-3.5870015994999844E-4</v>
      </c>
      <c r="T6" s="26">
        <v>-4.8353882630232419E-4</v>
      </c>
      <c r="U6" s="26">
        <v>-3.6984872636956599E-4</v>
      </c>
      <c r="V6" s="26">
        <v>-4.4937910909738637E-4</v>
      </c>
      <c r="W6" s="26">
        <v>-4.8372172252476061E-4</v>
      </c>
      <c r="X6" s="26">
        <v>-5.63520444840738E-4</v>
      </c>
      <c r="Y6" s="26">
        <v>-4.7305373589373378E-4</v>
      </c>
      <c r="Z6" s="26">
        <v>-4.803354117836962E-4</v>
      </c>
      <c r="AA6" s="26">
        <v>-5.6618384924439534E-4</v>
      </c>
      <c r="AB6" s="26">
        <v>-5.6852447120099071E-4</v>
      </c>
      <c r="AC6" s="26">
        <v>-5.7629721214027413E-4</v>
      </c>
      <c r="AD6" s="26">
        <v>-4.7370215785887734E-4</v>
      </c>
      <c r="AE6" s="26">
        <v>-4.7929803785831833E-4</v>
      </c>
      <c r="AF6" s="26">
        <v>-4.8387140387048336E-4</v>
      </c>
      <c r="AG6" s="26">
        <v>-4.702197121947291E-4</v>
      </c>
      <c r="AH6" s="26">
        <v>-5.4641869079412688E-4</v>
      </c>
      <c r="AI6" s="26">
        <v>-3.5002965653333022E-4</v>
      </c>
      <c r="AJ6" s="26">
        <v>-1.7082450660949855E-4</v>
      </c>
      <c r="AK6" s="26">
        <v>-4.5880493676293078E-4</v>
      </c>
      <c r="AL6" s="26">
        <v>-1.7405292765011011E-4</v>
      </c>
      <c r="AM6" s="26">
        <v>-5.055189473824128E-4</v>
      </c>
      <c r="AN6" s="26">
        <v>-2.5955957938205279E-5</v>
      </c>
      <c r="AO6" s="26">
        <v>-8.0044620792240955E-4</v>
      </c>
      <c r="AP6" s="26">
        <v>-7.959879592105098E-4</v>
      </c>
      <c r="AQ6" s="26">
        <v>-2.5132825157980673E-4</v>
      </c>
      <c r="AR6" s="26">
        <v>-6.0838009414390377E-4</v>
      </c>
      <c r="AS6" s="26">
        <v>-4.6693850453054139E-4</v>
      </c>
      <c r="AT6" s="26">
        <v>-6.9199283202149868E-4</v>
      </c>
      <c r="AU6" s="26">
        <v>2.210179612261696E-4</v>
      </c>
      <c r="AV6" s="26">
        <v>3.9275955305909712E-4</v>
      </c>
    </row>
    <row r="7" spans="1:48" x14ac:dyDescent="0.2">
      <c r="A7" s="26" t="s">
        <v>78</v>
      </c>
      <c r="B7" s="26">
        <v>2.236244698819682E-4</v>
      </c>
      <c r="C7" s="26">
        <v>6.4744367034497876E-5</v>
      </c>
      <c r="D7" s="26">
        <v>5.3758125893777061E-5</v>
      </c>
      <c r="E7" s="26">
        <v>1.1425105974055921E-4</v>
      </c>
      <c r="F7" s="26">
        <v>1.3970822141355538E-4</v>
      </c>
      <c r="G7" s="26">
        <v>3.8053772616518848E-5</v>
      </c>
      <c r="H7" s="26">
        <v>1.9284605431704635E-5</v>
      </c>
      <c r="I7" s="26">
        <v>9.3521096434334989E-6</v>
      </c>
      <c r="J7" s="26">
        <v>4.6132028691300331E-5</v>
      </c>
      <c r="K7" s="26">
        <v>5.6020720155031998E-5</v>
      </c>
      <c r="L7" s="26">
        <v>9.0297484217918941E-5</v>
      </c>
      <c r="M7" s="26">
        <v>1.902881291777763E-5</v>
      </c>
      <c r="N7" s="26">
        <v>-1.0108038368214861E-5</v>
      </c>
      <c r="O7" s="26">
        <v>-4.4309602256940271E-6</v>
      </c>
      <c r="P7" s="26">
        <v>-1.3209808054088919E-5</v>
      </c>
      <c r="Q7" s="26">
        <v>-2.2056445345046959E-5</v>
      </c>
      <c r="R7" s="26">
        <v>-2.26277904476685E-5</v>
      </c>
      <c r="S7" s="26">
        <v>-1.829705764152349E-6</v>
      </c>
      <c r="T7" s="26">
        <v>-4.0380144292641789E-5</v>
      </c>
      <c r="U7" s="26">
        <v>3.2808257336717915E-5</v>
      </c>
      <c r="V7" s="26">
        <v>-2.3980796951133183E-5</v>
      </c>
      <c r="W7" s="26">
        <v>-3.9769154103211811E-5</v>
      </c>
      <c r="X7" s="26">
        <v>-3.2155406954271415E-5</v>
      </c>
      <c r="Y7" s="26">
        <v>-1.246055510627435E-5</v>
      </c>
      <c r="Z7" s="26">
        <v>-2.8126652837234577E-5</v>
      </c>
      <c r="AA7" s="26">
        <v>-3.3064393391267729E-5</v>
      </c>
      <c r="AB7" s="26">
        <v>-3.0027707406042051E-5</v>
      </c>
      <c r="AC7" s="26">
        <v>-3.7499946820961635E-5</v>
      </c>
      <c r="AD7" s="26">
        <v>-9.1634643929305521E-6</v>
      </c>
      <c r="AE7" s="26">
        <v>7.9536884674896744E-6</v>
      </c>
      <c r="AF7" s="26">
        <v>1.4052875494644304E-5</v>
      </c>
      <c r="AG7" s="26">
        <v>5.5468700871805728E-6</v>
      </c>
      <c r="AH7" s="26">
        <v>2.5428827470210873E-6</v>
      </c>
      <c r="AI7" s="26">
        <v>1.0252206759682801E-5</v>
      </c>
      <c r="AJ7" s="26">
        <v>6.7889452449233339E-5</v>
      </c>
      <c r="AK7" s="26">
        <v>9.3490691788351455E-6</v>
      </c>
      <c r="AL7" s="26">
        <v>8.0252191743346874E-6</v>
      </c>
      <c r="AM7" s="26">
        <v>-2.9975939178182985E-5</v>
      </c>
      <c r="AN7" s="26">
        <v>3.0774467478638299E-5</v>
      </c>
      <c r="AO7" s="26">
        <v>-6.8663771316362332E-5</v>
      </c>
      <c r="AP7" s="26">
        <v>-8.3477583589092931E-5</v>
      </c>
      <c r="AQ7" s="26">
        <v>-2.2565029514116646E-7</v>
      </c>
      <c r="AR7" s="26">
        <v>-4.5632403997780521E-5</v>
      </c>
      <c r="AS7" s="26">
        <v>-1.5331714991421384E-5</v>
      </c>
      <c r="AT7" s="26">
        <v>-3.9023583097698634E-5</v>
      </c>
      <c r="AU7" s="26">
        <v>9.9113921012147432E-5</v>
      </c>
      <c r="AV7" s="26">
        <v>9.4241148875598638E-5</v>
      </c>
    </row>
    <row r="8" spans="1:48" x14ac:dyDescent="0.2">
      <c r="A8" s="26" t="s">
        <v>79</v>
      </c>
      <c r="B8" s="26">
        <v>1.1403940193649645E-4</v>
      </c>
      <c r="C8" s="26">
        <v>4.0110625199038672E-5</v>
      </c>
      <c r="D8" s="26">
        <v>3.2447531333028895E-5</v>
      </c>
      <c r="E8" s="26">
        <v>6.2003141946410676E-5</v>
      </c>
      <c r="F8" s="26">
        <v>7.2452119711491442E-5</v>
      </c>
      <c r="G8" s="26">
        <v>1.9284605431704635E-5</v>
      </c>
      <c r="H8" s="26">
        <v>1.4007559399700047E-5</v>
      </c>
      <c r="I8" s="26">
        <v>6.4922380684327846E-6</v>
      </c>
      <c r="J8" s="26">
        <v>2.7107925993724136E-5</v>
      </c>
      <c r="K8" s="26">
        <v>3.4569331689495267E-5</v>
      </c>
      <c r="L8" s="26">
        <v>4.9318914062043339E-5</v>
      </c>
      <c r="M8" s="26">
        <v>1.3147078239488532E-5</v>
      </c>
      <c r="N8" s="26">
        <v>-7.5942881454895672E-6</v>
      </c>
      <c r="O8" s="26">
        <v>-2.7797614370104463E-6</v>
      </c>
      <c r="P8" s="26">
        <v>-1.1868683253285605E-5</v>
      </c>
      <c r="Q8" s="26">
        <v>-1.3336683399296087E-5</v>
      </c>
      <c r="R8" s="26">
        <v>-1.4177655607160223E-5</v>
      </c>
      <c r="S8" s="26">
        <v>-4.5486730130547333E-7</v>
      </c>
      <c r="T8" s="26">
        <v>-2.5438774293199574E-5</v>
      </c>
      <c r="U8" s="26">
        <v>2.0657820741079363E-6</v>
      </c>
      <c r="V8" s="26">
        <v>-1.4405091307832734E-5</v>
      </c>
      <c r="W8" s="26">
        <v>-2.4896648187493961E-5</v>
      </c>
      <c r="X8" s="26">
        <v>-1.5079178320473251E-5</v>
      </c>
      <c r="Y8" s="26">
        <v>-2.5400169042278499E-6</v>
      </c>
      <c r="Z8" s="26">
        <v>-1.494190939171031E-5</v>
      </c>
      <c r="AA8" s="26">
        <v>-1.5829646334039092E-5</v>
      </c>
      <c r="AB8" s="26">
        <v>-1.4314433943361141E-5</v>
      </c>
      <c r="AC8" s="26">
        <v>-1.8564364108841528E-5</v>
      </c>
      <c r="AD8" s="26">
        <v>-1.8516332158723377E-6</v>
      </c>
      <c r="AE8" s="26">
        <v>1.1724084896404829E-5</v>
      </c>
      <c r="AF8" s="26">
        <v>1.5617475373864401E-5</v>
      </c>
      <c r="AG8" s="26">
        <v>7.438928821990906E-6</v>
      </c>
      <c r="AH8" s="26">
        <v>6.5559976368918366E-6</v>
      </c>
      <c r="AI8" s="26">
        <v>1.0584522295218092E-5</v>
      </c>
      <c r="AJ8" s="26">
        <v>5.1844587557959338E-5</v>
      </c>
      <c r="AK8" s="26">
        <v>1.3622736776571865E-5</v>
      </c>
      <c r="AL8" s="26">
        <v>6.7732238078142217E-6</v>
      </c>
      <c r="AM8" s="26">
        <v>-1.3361123469412218E-5</v>
      </c>
      <c r="AN8" s="26">
        <v>1.7956954621250706E-5</v>
      </c>
      <c r="AO8" s="26">
        <v>-3.6467894878934953E-5</v>
      </c>
      <c r="AP8" s="26">
        <v>-4.9531168423847125E-5</v>
      </c>
      <c r="AQ8" s="26">
        <v>1.0646750413200486E-6</v>
      </c>
      <c r="AR8" s="26">
        <v>-2.4776590848337024E-5</v>
      </c>
      <c r="AS8" s="26">
        <v>-8.9139654016691296E-6</v>
      </c>
      <c r="AT8" s="26">
        <v>-1.5331483107821315E-5</v>
      </c>
      <c r="AU8" s="26">
        <v>5.8767082231536313E-5</v>
      </c>
      <c r="AV8" s="26">
        <v>5.0501993701297188E-5</v>
      </c>
    </row>
    <row r="9" spans="1:48" x14ac:dyDescent="0.2">
      <c r="A9" s="26" t="s">
        <v>80</v>
      </c>
      <c r="B9" s="26">
        <v>5.6038382189988676E-5</v>
      </c>
      <c r="C9" s="26">
        <v>1.7671519260754208E-5</v>
      </c>
      <c r="D9" s="26">
        <v>1.6204880857232386E-5</v>
      </c>
      <c r="E9" s="26">
        <v>2.7846555357264672E-5</v>
      </c>
      <c r="F9" s="26">
        <v>3.6454321585818169E-5</v>
      </c>
      <c r="G9" s="26">
        <v>9.3521096434334989E-6</v>
      </c>
      <c r="H9" s="26">
        <v>6.4922380684327846E-6</v>
      </c>
      <c r="I9" s="26">
        <v>4.134290033301255E-6</v>
      </c>
      <c r="J9" s="26">
        <v>1.2738244206861922E-5</v>
      </c>
      <c r="K9" s="26">
        <v>1.410648743076196E-5</v>
      </c>
      <c r="L9" s="26">
        <v>2.0079961192275125E-5</v>
      </c>
      <c r="M9" s="26">
        <v>5.5013010274168806E-6</v>
      </c>
      <c r="N9" s="26">
        <v>-1.0398769181449128E-5</v>
      </c>
      <c r="O9" s="26">
        <v>-1.1287638580349397E-5</v>
      </c>
      <c r="P9" s="26">
        <v>-1.0577188987663149E-5</v>
      </c>
      <c r="Q9" s="26">
        <v>-1.5189238737588172E-5</v>
      </c>
      <c r="R9" s="26">
        <v>-1.5287642557806165E-5</v>
      </c>
      <c r="S9" s="26">
        <v>-1.062977245781062E-5</v>
      </c>
      <c r="T9" s="26">
        <v>-1.9196561711591981E-5</v>
      </c>
      <c r="U9" s="26">
        <v>-8.505966752574047E-6</v>
      </c>
      <c r="V9" s="26">
        <v>-1.5740855187532221E-5</v>
      </c>
      <c r="W9" s="26">
        <v>-1.9304894559087271E-5</v>
      </c>
      <c r="X9" s="26">
        <v>-1.8029609082472578E-5</v>
      </c>
      <c r="Y9" s="26">
        <v>-1.2515157959066901E-5</v>
      </c>
      <c r="Z9" s="26">
        <v>-1.8003086852627013E-5</v>
      </c>
      <c r="AA9" s="26">
        <v>-1.8061373332166487E-5</v>
      </c>
      <c r="AB9" s="26">
        <v>-1.7826802094504203E-5</v>
      </c>
      <c r="AC9" s="26">
        <v>-1.8716855727426559E-5</v>
      </c>
      <c r="AD9" s="26">
        <v>-1.2184367555984244E-5</v>
      </c>
      <c r="AE9" s="26">
        <v>-7.9090656637263975E-6</v>
      </c>
      <c r="AF9" s="26">
        <v>-8.0776899223336296E-6</v>
      </c>
      <c r="AG9" s="26">
        <v>-9.191672065470328E-6</v>
      </c>
      <c r="AH9" s="26">
        <v>-9.3890110638982643E-6</v>
      </c>
      <c r="AI9" s="26">
        <v>-9.1361804995284151E-6</v>
      </c>
      <c r="AJ9" s="26">
        <v>9.8683343462163008E-6</v>
      </c>
      <c r="AK9" s="26">
        <v>-7.0747447243037141E-6</v>
      </c>
      <c r="AL9" s="26">
        <v>3.5805675159760412E-6</v>
      </c>
      <c r="AM9" s="26">
        <v>-1.6733265981829823E-5</v>
      </c>
      <c r="AN9" s="26">
        <v>5.7123379140481229E-6</v>
      </c>
      <c r="AO9" s="26">
        <v>-2.7067509217210387E-5</v>
      </c>
      <c r="AP9" s="26">
        <v>-3.4812464086267731E-5</v>
      </c>
      <c r="AQ9" s="26">
        <v>-9.3924826222634418E-6</v>
      </c>
      <c r="AR9" s="26">
        <v>-2.2524127741410524E-5</v>
      </c>
      <c r="AS9" s="26">
        <v>-1.6531920828632981E-5</v>
      </c>
      <c r="AT9" s="26">
        <v>-2.3982487505568586E-5</v>
      </c>
      <c r="AU9" s="26">
        <v>2.148007158698905E-5</v>
      </c>
      <c r="AV9" s="26">
        <v>2.5023847946497971E-5</v>
      </c>
    </row>
    <row r="10" spans="1:48" x14ac:dyDescent="0.2">
      <c r="A10" s="26" t="s">
        <v>81</v>
      </c>
      <c r="B10" s="26">
        <v>3.7389928159206479E-4</v>
      </c>
      <c r="C10" s="26">
        <v>9.5520386619928828E-5</v>
      </c>
      <c r="D10" s="26">
        <v>7.6464537096673199E-5</v>
      </c>
      <c r="E10" s="26">
        <v>1.9088047110722589E-4</v>
      </c>
      <c r="F10" s="26">
        <v>2.281055453251351E-4</v>
      </c>
      <c r="G10" s="26">
        <v>4.6132028691300331E-5</v>
      </c>
      <c r="H10" s="26">
        <v>2.7107925993724136E-5</v>
      </c>
      <c r="I10" s="26">
        <v>1.2738244206861922E-5</v>
      </c>
      <c r="J10" s="26">
        <v>6.9563262451780358E-5</v>
      </c>
      <c r="K10" s="26">
        <v>8.4708284472561666E-5</v>
      </c>
      <c r="L10" s="26">
        <v>1.5767532323223183E-4</v>
      </c>
      <c r="M10" s="26">
        <v>2.6788510329881491E-5</v>
      </c>
      <c r="N10" s="26">
        <v>-2.6929423966070587E-5</v>
      </c>
      <c r="O10" s="26">
        <v>-2.2173134387789921E-5</v>
      </c>
      <c r="P10" s="26">
        <v>-2.9132416668872783E-5</v>
      </c>
      <c r="Q10" s="26">
        <v>-4.4584542142589894E-5</v>
      </c>
      <c r="R10" s="26">
        <v>-4.5220586925401601E-5</v>
      </c>
      <c r="S10" s="26">
        <v>-1.6816831130558703E-5</v>
      </c>
      <c r="T10" s="26">
        <v>-6.8547707435660758E-5</v>
      </c>
      <c r="U10" s="26">
        <v>3.7843335598647319E-6</v>
      </c>
      <c r="V10" s="26">
        <v>-4.7494192979170482E-5</v>
      </c>
      <c r="W10" s="26">
        <v>-6.779234165148765E-5</v>
      </c>
      <c r="X10" s="26">
        <v>-6.0125422276723399E-5</v>
      </c>
      <c r="Y10" s="26">
        <v>-3.2982879589952872E-5</v>
      </c>
      <c r="Z10" s="26">
        <v>-5.2405722902409209E-5</v>
      </c>
      <c r="AA10" s="26">
        <v>-6.1661739182570382E-5</v>
      </c>
      <c r="AB10" s="26">
        <v>-5.8490782004384388E-5</v>
      </c>
      <c r="AC10" s="26">
        <v>-6.769988045725153E-5</v>
      </c>
      <c r="AD10" s="26">
        <v>-2.9955404733425059E-5</v>
      </c>
      <c r="AE10" s="26">
        <v>-7.9499272365064952E-6</v>
      </c>
      <c r="AF10" s="26">
        <v>-2.9964180303868613E-6</v>
      </c>
      <c r="AG10" s="26">
        <v>-1.4735340939537785E-5</v>
      </c>
      <c r="AH10" s="26">
        <v>-2.4698229322720579E-5</v>
      </c>
      <c r="AI10" s="26">
        <v>5.1601349001153345E-7</v>
      </c>
      <c r="AJ10" s="26">
        <v>8.4181282183047964E-5</v>
      </c>
      <c r="AK10" s="26">
        <v>-4.8073226162863967E-6</v>
      </c>
      <c r="AL10" s="26">
        <v>9.664668140821694E-6</v>
      </c>
      <c r="AM10" s="26">
        <v>-5.8065379726976114E-5</v>
      </c>
      <c r="AN10" s="26">
        <v>3.7792211000801677E-5</v>
      </c>
      <c r="AO10" s="26">
        <v>-1.0235881239066862E-4</v>
      </c>
      <c r="AP10" s="26">
        <v>-1.3507048890475156E-4</v>
      </c>
      <c r="AQ10" s="26">
        <v>-1.0484752134327049E-5</v>
      </c>
      <c r="AR10" s="26">
        <v>-7.9645803485972215E-5</v>
      </c>
      <c r="AS10" s="26">
        <v>-4.166856312834427E-5</v>
      </c>
      <c r="AT10" s="26">
        <v>-6.9788501754976275E-5</v>
      </c>
      <c r="AU10" s="26">
        <v>1.4360617957250135E-4</v>
      </c>
      <c r="AV10" s="26">
        <v>1.3109104528496199E-4</v>
      </c>
    </row>
    <row r="11" spans="1:48" x14ac:dyDescent="0.2">
      <c r="A11" s="26" t="s">
        <v>82</v>
      </c>
      <c r="B11" s="26">
        <v>3.3257559247800898E-4</v>
      </c>
      <c r="C11" s="26">
        <v>1.2393706144548497E-4</v>
      </c>
      <c r="D11" s="26">
        <v>8.6108283780673395E-5</v>
      </c>
      <c r="E11" s="26">
        <v>2.2684089547295801E-4</v>
      </c>
      <c r="F11" s="26">
        <v>2.1951558350955734E-4</v>
      </c>
      <c r="G11" s="26">
        <v>5.6020720155031998E-5</v>
      </c>
      <c r="H11" s="26">
        <v>3.4569331689495267E-5</v>
      </c>
      <c r="I11" s="26">
        <v>1.410648743076196E-5</v>
      </c>
      <c r="J11" s="26">
        <v>8.4708284472561666E-5</v>
      </c>
      <c r="K11" s="26">
        <v>1.4604664467403751E-4</v>
      </c>
      <c r="L11" s="26">
        <v>2.4671213706053128E-4</v>
      </c>
      <c r="M11" s="26">
        <v>5.1670245151114908E-5</v>
      </c>
      <c r="N11" s="26">
        <v>5.8525584241051242E-5</v>
      </c>
      <c r="O11" s="26">
        <v>9.0594070822952585E-5</v>
      </c>
      <c r="P11" s="26">
        <v>6.0522502642352546E-5</v>
      </c>
      <c r="Q11" s="26">
        <v>6.3732240850087018E-5</v>
      </c>
      <c r="R11" s="26">
        <v>6.0588399396861609E-5</v>
      </c>
      <c r="S11" s="26">
        <v>9.3324020503697159E-5</v>
      </c>
      <c r="T11" s="26">
        <v>3.5946754342252411E-5</v>
      </c>
      <c r="U11" s="26">
        <v>1.6333060362718415E-4</v>
      </c>
      <c r="V11" s="26">
        <v>6.3118612642753912E-5</v>
      </c>
      <c r="W11" s="26">
        <v>3.8408521955873937E-5</v>
      </c>
      <c r="X11" s="26">
        <v>6.4622320191361264E-5</v>
      </c>
      <c r="Y11" s="26">
        <v>8.6186243223758508E-5</v>
      </c>
      <c r="Z11" s="26">
        <v>6.1054472896523347E-5</v>
      </c>
      <c r="AA11" s="26">
        <v>6.144844752417661E-5</v>
      </c>
      <c r="AB11" s="26">
        <v>6.2663085476744938E-5</v>
      </c>
      <c r="AC11" s="26">
        <v>5.6187574966606318E-5</v>
      </c>
      <c r="AD11" s="26">
        <v>1.029133911248276E-4</v>
      </c>
      <c r="AE11" s="26">
        <v>1.5292567951390518E-4</v>
      </c>
      <c r="AF11" s="26">
        <v>1.6019660025251635E-4</v>
      </c>
      <c r="AG11" s="26">
        <v>1.3129548227729549E-4</v>
      </c>
      <c r="AH11" s="26">
        <v>1.3436293836193314E-4</v>
      </c>
      <c r="AI11" s="26">
        <v>1.2049111952272998E-4</v>
      </c>
      <c r="AJ11" s="26">
        <v>2.6687146093402002E-4</v>
      </c>
      <c r="AK11" s="26">
        <v>1.501181426158718E-4</v>
      </c>
      <c r="AL11" s="26">
        <v>7.9751898172262289E-5</v>
      </c>
      <c r="AM11" s="26">
        <v>4.3577832743955254E-5</v>
      </c>
      <c r="AN11" s="26">
        <v>9.7560907153063789E-5</v>
      </c>
      <c r="AO11" s="26">
        <v>5.5248516322297319E-5</v>
      </c>
      <c r="AP11" s="26">
        <v>4.2098751658629086E-6</v>
      </c>
      <c r="AQ11" s="26">
        <v>6.9722909547620943E-5</v>
      </c>
      <c r="AR11" s="26">
        <v>3.4322417332573407E-5</v>
      </c>
      <c r="AS11" s="26">
        <v>6.4116717977343181E-5</v>
      </c>
      <c r="AT11" s="26">
        <v>8.857943415252378E-5</v>
      </c>
      <c r="AU11" s="26">
        <v>3.1183136241020817E-4</v>
      </c>
      <c r="AV11" s="26">
        <v>1.9943608611315688E-4</v>
      </c>
    </row>
    <row r="12" spans="1:48" x14ac:dyDescent="0.2">
      <c r="A12" s="26" t="s">
        <v>83</v>
      </c>
      <c r="B12" s="26">
        <v>8.8622792831195222E-4</v>
      </c>
      <c r="C12" s="26">
        <v>2.1257360045897375E-4</v>
      </c>
      <c r="D12" s="26">
        <v>1.4395386568825014E-4</v>
      </c>
      <c r="E12" s="26">
        <v>5.2518938111710762E-4</v>
      </c>
      <c r="F12" s="26">
        <v>5.3282863251686912E-4</v>
      </c>
      <c r="G12" s="26">
        <v>9.0297484217918941E-5</v>
      </c>
      <c r="H12" s="26">
        <v>4.9318914062043339E-5</v>
      </c>
      <c r="I12" s="26">
        <v>2.0079961192275125E-5</v>
      </c>
      <c r="J12" s="26">
        <v>1.5767532323223183E-4</v>
      </c>
      <c r="K12" s="26">
        <v>2.4671213706053128E-4</v>
      </c>
      <c r="L12" s="26">
        <v>5.6831792789868566E-4</v>
      </c>
      <c r="M12" s="26">
        <v>7.854807761613377E-5</v>
      </c>
      <c r="N12" s="26">
        <v>7.1990209863497111E-5</v>
      </c>
      <c r="O12" s="26">
        <v>9.758864416327715E-5</v>
      </c>
      <c r="P12" s="26">
        <v>9.4431885670162783E-5</v>
      </c>
      <c r="Q12" s="26">
        <v>6.7742371196317488E-5</v>
      </c>
      <c r="R12" s="26">
        <v>6.5111431854544401E-5</v>
      </c>
      <c r="S12" s="26">
        <v>1.1207637450445811E-4</v>
      </c>
      <c r="T12" s="26">
        <v>3.3704883681171255E-5</v>
      </c>
      <c r="U12" s="26">
        <v>2.8571296463581863E-4</v>
      </c>
      <c r="V12" s="26">
        <v>6.3123853985332616E-5</v>
      </c>
      <c r="W12" s="26">
        <v>3.645691889027037E-5</v>
      </c>
      <c r="X12" s="26">
        <v>2.9716301369150069E-5</v>
      </c>
      <c r="Y12" s="26">
        <v>6.4925439872976821E-5</v>
      </c>
      <c r="Z12" s="26">
        <v>5.4216783708038946E-5</v>
      </c>
      <c r="AA12" s="26">
        <v>2.8220651204611866E-5</v>
      </c>
      <c r="AB12" s="26">
        <v>2.001618923868164E-5</v>
      </c>
      <c r="AC12" s="26">
        <v>2.3805995186629197E-5</v>
      </c>
      <c r="AD12" s="26">
        <v>1.0510599965089086E-4</v>
      </c>
      <c r="AE12" s="26">
        <v>1.7218221741034423E-4</v>
      </c>
      <c r="AF12" s="26">
        <v>1.3909033456430695E-4</v>
      </c>
      <c r="AG12" s="26">
        <v>1.4638259557755144E-4</v>
      </c>
      <c r="AH12" s="26">
        <v>1.4306182974653875E-4</v>
      </c>
      <c r="AI12" s="26">
        <v>1.4329030071600778E-4</v>
      </c>
      <c r="AJ12" s="26">
        <v>3.4549122275787916E-4</v>
      </c>
      <c r="AK12" s="26">
        <v>1.6367196546207091E-4</v>
      </c>
      <c r="AL12" s="26">
        <v>1.0481036910443993E-4</v>
      </c>
      <c r="AM12" s="26">
        <v>-1.2294634850685947E-6</v>
      </c>
      <c r="AN12" s="26">
        <v>1.4986538367609852E-4</v>
      </c>
      <c r="AO12" s="26">
        <v>6.204127162751357E-5</v>
      </c>
      <c r="AP12" s="26">
        <v>-5.1217395354065621E-5</v>
      </c>
      <c r="AQ12" s="26">
        <v>8.0971099256490269E-5</v>
      </c>
      <c r="AR12" s="26">
        <v>7.2011876823672605E-6</v>
      </c>
      <c r="AS12" s="26">
        <v>4.6531918006122676E-5</v>
      </c>
      <c r="AT12" s="26">
        <v>2.8847419968630239E-5</v>
      </c>
      <c r="AU12" s="26">
        <v>5.274198748918366E-4</v>
      </c>
      <c r="AV12" s="26">
        <v>3.9332155600415453E-4</v>
      </c>
    </row>
    <row r="13" spans="1:48" x14ac:dyDescent="0.2">
      <c r="A13" s="26" t="s">
        <v>84</v>
      </c>
      <c r="B13" s="26">
        <v>6.3298650645020313E-5</v>
      </c>
      <c r="C13" s="26">
        <v>4.0665713907051E-5</v>
      </c>
      <c r="D13" s="26">
        <v>2.6532535431190778E-5</v>
      </c>
      <c r="E13" s="26">
        <v>6.1642562978606879E-5</v>
      </c>
      <c r="F13" s="26">
        <v>4.8755748275570835E-5</v>
      </c>
      <c r="G13" s="26">
        <v>1.902881291777763E-5</v>
      </c>
      <c r="H13" s="26">
        <v>1.3147078239488532E-5</v>
      </c>
      <c r="I13" s="26">
        <v>5.5013010274168806E-6</v>
      </c>
      <c r="J13" s="26">
        <v>2.6788510329881491E-5</v>
      </c>
      <c r="K13" s="26">
        <v>5.1670245151114908E-5</v>
      </c>
      <c r="L13" s="26">
        <v>7.854807761613377E-5</v>
      </c>
      <c r="M13" s="26">
        <v>2.2121005061259985E-5</v>
      </c>
      <c r="N13" s="26">
        <v>3.7586280133377841E-5</v>
      </c>
      <c r="O13" s="26">
        <v>5.6081700562894439E-5</v>
      </c>
      <c r="P13" s="26">
        <v>3.6568955389069648E-5</v>
      </c>
      <c r="Q13" s="26">
        <v>4.5456703497618232E-5</v>
      </c>
      <c r="R13" s="26">
        <v>4.373011139204779E-5</v>
      </c>
      <c r="S13" s="26">
        <v>5.7005171740486328E-5</v>
      </c>
      <c r="T13" s="26">
        <v>3.3880698986594775E-5</v>
      </c>
      <c r="U13" s="26">
        <v>1.1107149221084417E-4</v>
      </c>
      <c r="V13" s="26">
        <v>4.5704369406590903E-5</v>
      </c>
      <c r="W13" s="26">
        <v>3.5182253538746221E-5</v>
      </c>
      <c r="X13" s="26">
        <v>5.0664827310482126E-5</v>
      </c>
      <c r="Y13" s="26">
        <v>5.8294572416712128E-5</v>
      </c>
      <c r="Z13" s="26">
        <v>4.3907081265116447E-5</v>
      </c>
      <c r="AA13" s="26">
        <v>4.930790462228668E-5</v>
      </c>
      <c r="AB13" s="26">
        <v>5.2281556144288333E-5</v>
      </c>
      <c r="AC13" s="26">
        <v>4.5112957181961707E-5</v>
      </c>
      <c r="AD13" s="26">
        <v>6.3096270571435706E-5</v>
      </c>
      <c r="AE13" s="26">
        <v>8.452436894073104E-5</v>
      </c>
      <c r="AF13" s="26">
        <v>8.594632220187276E-5</v>
      </c>
      <c r="AG13" s="26">
        <v>7.6720728056547854E-5</v>
      </c>
      <c r="AH13" s="26">
        <v>8.3759460146397651E-5</v>
      </c>
      <c r="AI13" s="26">
        <v>6.3449185608335513E-5</v>
      </c>
      <c r="AJ13" s="26">
        <v>1.1760025261359988E-4</v>
      </c>
      <c r="AK13" s="26">
        <v>8.1943560559173892E-5</v>
      </c>
      <c r="AL13" s="26">
        <v>4.25417781884147E-5</v>
      </c>
      <c r="AM13" s="26">
        <v>4.3343736994321428E-5</v>
      </c>
      <c r="AN13" s="26">
        <v>4.46855669448728E-5</v>
      </c>
      <c r="AO13" s="26">
        <v>4.697338847856524E-5</v>
      </c>
      <c r="AP13" s="26">
        <v>3.1505341884352314E-5</v>
      </c>
      <c r="AQ13" s="26">
        <v>4.2771657446942659E-5</v>
      </c>
      <c r="AR13" s="26">
        <v>3.6800081515511667E-5</v>
      </c>
      <c r="AS13" s="26">
        <v>5.1811435700552808E-5</v>
      </c>
      <c r="AT13" s="26">
        <v>5.751491095251096E-5</v>
      </c>
      <c r="AU13" s="26">
        <v>1.2206292536902091E-4</v>
      </c>
      <c r="AV13" s="26">
        <v>7.0994261255271897E-5</v>
      </c>
    </row>
    <row r="14" spans="1:48" x14ac:dyDescent="0.2">
      <c r="A14" s="26" t="s">
        <v>86</v>
      </c>
      <c r="B14" s="26">
        <v>-5.6031888601866563E-4</v>
      </c>
      <c r="C14" s="26">
        <v>-3.131115129164425E-5</v>
      </c>
      <c r="D14" s="26">
        <v>-7.2150721270531547E-5</v>
      </c>
      <c r="E14" s="26">
        <v>-1.1547280712865052E-4</v>
      </c>
      <c r="F14" s="26">
        <v>-3.1627073715602465E-4</v>
      </c>
      <c r="G14" s="26">
        <v>-1.0108038368214861E-5</v>
      </c>
      <c r="H14" s="26">
        <v>-7.5942881454895672E-6</v>
      </c>
      <c r="I14" s="26">
        <v>-1.0398769181449128E-5</v>
      </c>
      <c r="J14" s="26">
        <v>-2.6929423966070587E-5</v>
      </c>
      <c r="K14" s="26">
        <v>5.8525584241051242E-5</v>
      </c>
      <c r="L14" s="26">
        <v>7.1990209863497111E-5</v>
      </c>
      <c r="M14" s="26">
        <v>3.7586280133377841E-5</v>
      </c>
      <c r="N14" s="26">
        <v>9.7505709559705912E-4</v>
      </c>
      <c r="O14" s="26">
        <v>1.0325423798259862E-3</v>
      </c>
      <c r="P14" s="26">
        <v>8.8376704601767441E-4</v>
      </c>
      <c r="Q14" s="26">
        <v>9.9803867382221734E-4</v>
      </c>
      <c r="R14" s="26">
        <v>9.8716911117196745E-4</v>
      </c>
      <c r="S14" s="26">
        <v>1.0142652299665088E-3</v>
      </c>
      <c r="T14" s="26">
        <v>9.6332629313651249E-4</v>
      </c>
      <c r="U14" s="26">
        <v>1.3721962132649734E-3</v>
      </c>
      <c r="V14" s="26">
        <v>1.0205378153871571E-3</v>
      </c>
      <c r="W14" s="26">
        <v>9.7578901134501034E-4</v>
      </c>
      <c r="X14" s="26">
        <v>1.1360809580351747E-3</v>
      </c>
      <c r="Y14" s="26">
        <v>1.0919970688320537E-3</v>
      </c>
      <c r="Z14" s="26">
        <v>1.0466694134945809E-3</v>
      </c>
      <c r="AA14" s="26">
        <v>1.1529132388749344E-3</v>
      </c>
      <c r="AB14" s="26">
        <v>1.1702782808947826E-3</v>
      </c>
      <c r="AC14" s="26">
        <v>1.1395331624213063E-3</v>
      </c>
      <c r="AD14" s="26">
        <v>1.0131609300149374E-3</v>
      </c>
      <c r="AE14" s="26">
        <v>9.9858880754240113E-4</v>
      </c>
      <c r="AF14" s="26">
        <v>9.5631661505606047E-4</v>
      </c>
      <c r="AG14" s="26">
        <v>9.7500829533811461E-4</v>
      </c>
      <c r="AH14" s="26">
        <v>1.0480209727694032E-3</v>
      </c>
      <c r="AI14" s="26">
        <v>8.5234171160446183E-4</v>
      </c>
      <c r="AJ14" s="26">
        <v>8.7184452713780594E-4</v>
      </c>
      <c r="AK14" s="26">
        <v>9.625002461423549E-4</v>
      </c>
      <c r="AL14" s="26">
        <v>6.8495680484335572E-4</v>
      </c>
      <c r="AM14" s="26">
        <v>1.1039018942149714E-3</v>
      </c>
      <c r="AN14" s="26">
        <v>7.1747043360083601E-4</v>
      </c>
      <c r="AO14" s="26">
        <v>1.2136743598650942E-3</v>
      </c>
      <c r="AP14" s="26">
        <v>1.1095745111598218E-3</v>
      </c>
      <c r="AQ14" s="26">
        <v>9.4284858996939477E-4</v>
      </c>
      <c r="AR14" s="26">
        <v>1.2227760732298836E-3</v>
      </c>
      <c r="AS14" s="26">
        <v>1.0302341044824913E-3</v>
      </c>
      <c r="AT14" s="26">
        <v>1.2620056159013781E-3</v>
      </c>
      <c r="AU14" s="26">
        <v>7.7929731415060557E-4</v>
      </c>
      <c r="AV14" s="26">
        <v>3.7247630980359576E-4</v>
      </c>
    </row>
    <row r="15" spans="1:48" x14ac:dyDescent="0.2">
      <c r="A15" s="26" t="s">
        <v>88</v>
      </c>
      <c r="B15" s="26">
        <v>-6.9095726913048815E-4</v>
      </c>
      <c r="C15" s="26">
        <v>-1.9221845966087615E-5</v>
      </c>
      <c r="D15" s="26">
        <v>-8.1229421303431843E-5</v>
      </c>
      <c r="E15" s="26">
        <v>-1.272753109507374E-4</v>
      </c>
      <c r="F15" s="26">
        <v>-3.8530395780493528E-4</v>
      </c>
      <c r="G15" s="26">
        <v>-4.4309602256940271E-6</v>
      </c>
      <c r="H15" s="26">
        <v>-2.7797614370104463E-6</v>
      </c>
      <c r="I15" s="26">
        <v>-1.1287638580349397E-5</v>
      </c>
      <c r="J15" s="26">
        <v>-2.2173134387789921E-5</v>
      </c>
      <c r="K15" s="26">
        <v>9.0594070822952585E-5</v>
      </c>
      <c r="L15" s="26">
        <v>9.758864416327715E-5</v>
      </c>
      <c r="M15" s="26">
        <v>5.6081700562894439E-5</v>
      </c>
      <c r="N15" s="26">
        <v>1.0325423798259862E-3</v>
      </c>
      <c r="O15" s="26">
        <v>1.3158907200267148E-3</v>
      </c>
      <c r="P15" s="26">
        <v>9.36841267884095E-4</v>
      </c>
      <c r="Q15" s="26">
        <v>1.1742666843313279E-3</v>
      </c>
      <c r="R15" s="26">
        <v>1.1589497252935115E-3</v>
      </c>
      <c r="S15" s="26">
        <v>1.2889937338461221E-3</v>
      </c>
      <c r="T15" s="26">
        <v>1.0475592163066E-3</v>
      </c>
      <c r="U15" s="26">
        <v>1.5321753100207463E-3</v>
      </c>
      <c r="V15" s="26">
        <v>1.2005004727213169E-3</v>
      </c>
      <c r="W15" s="26">
        <v>1.0630901106319867E-3</v>
      </c>
      <c r="X15" s="26">
        <v>1.358849587635541E-3</v>
      </c>
      <c r="Y15" s="26">
        <v>1.3466291621031497E-3</v>
      </c>
      <c r="Z15" s="26">
        <v>1.1847903410555386E-3</v>
      </c>
      <c r="AA15" s="26">
        <v>1.3514711140121362E-3</v>
      </c>
      <c r="AB15" s="26">
        <v>1.4335010561810234E-3</v>
      </c>
      <c r="AC15" s="26">
        <v>1.2938056680877586E-3</v>
      </c>
      <c r="AD15" s="26">
        <v>1.2340386381814736E-3</v>
      </c>
      <c r="AE15" s="26">
        <v>1.2565296324174901E-3</v>
      </c>
      <c r="AF15" s="26">
        <v>1.2502840335406689E-3</v>
      </c>
      <c r="AG15" s="26">
        <v>1.2302298299138226E-3</v>
      </c>
      <c r="AH15" s="26">
        <v>1.3215460179338732E-3</v>
      </c>
      <c r="AI15" s="26">
        <v>1.0961756527047793E-3</v>
      </c>
      <c r="AJ15" s="26">
        <v>1.1029008818892905E-3</v>
      </c>
      <c r="AK15" s="26">
        <v>1.2222245917282251E-3</v>
      </c>
      <c r="AL15" s="26">
        <v>7.3100040404184229E-4</v>
      </c>
      <c r="AM15" s="26">
        <v>1.3272784324771811E-3</v>
      </c>
      <c r="AN15" s="26">
        <v>6.7408540976726585E-4</v>
      </c>
      <c r="AO15" s="26">
        <v>1.3853800639797829E-3</v>
      </c>
      <c r="AP15" s="26">
        <v>1.2548588725599169E-3</v>
      </c>
      <c r="AQ15" s="26">
        <v>1.0889835751500194E-3</v>
      </c>
      <c r="AR15" s="26">
        <v>1.341265728367231E-3</v>
      </c>
      <c r="AS15" s="26">
        <v>1.4125467829262579E-3</v>
      </c>
      <c r="AT15" s="26">
        <v>1.5246254937845293E-3</v>
      </c>
      <c r="AU15" s="26">
        <v>8.9330689661399883E-4</v>
      </c>
      <c r="AV15" s="26">
        <v>2.8249781231038919E-4</v>
      </c>
    </row>
    <row r="16" spans="1:48" x14ac:dyDescent="0.2">
      <c r="A16" s="26" t="s">
        <v>89</v>
      </c>
      <c r="B16" s="26">
        <v>-5.2021899927348668E-4</v>
      </c>
      <c r="C16" s="26">
        <v>-3.4031813843579076E-5</v>
      </c>
      <c r="D16" s="26">
        <v>-7.5923942934572625E-5</v>
      </c>
      <c r="E16" s="26">
        <v>-1.0045869287483888E-4</v>
      </c>
      <c r="F16" s="26">
        <v>-3.0383939768923661E-4</v>
      </c>
      <c r="G16" s="26">
        <v>-1.3209808054088919E-5</v>
      </c>
      <c r="H16" s="26">
        <v>-1.1868683253285605E-5</v>
      </c>
      <c r="I16" s="26">
        <v>-1.0577188987663149E-5</v>
      </c>
      <c r="J16" s="26">
        <v>-2.9132416668872783E-5</v>
      </c>
      <c r="K16" s="26">
        <v>6.0522502642352546E-5</v>
      </c>
      <c r="L16" s="26">
        <v>9.4431885670162783E-5</v>
      </c>
      <c r="M16" s="26">
        <v>3.6568955389069648E-5</v>
      </c>
      <c r="N16" s="26">
        <v>8.8376704601767441E-4</v>
      </c>
      <c r="O16" s="26">
        <v>9.36841267884095E-4</v>
      </c>
      <c r="P16" s="26">
        <v>8.8474797510821831E-4</v>
      </c>
      <c r="Q16" s="26">
        <v>9.3809510520333672E-4</v>
      </c>
      <c r="R16" s="26">
        <v>9.3376301063603589E-4</v>
      </c>
      <c r="S16" s="26">
        <v>9.2057626965341938E-4</v>
      </c>
      <c r="T16" s="26">
        <v>9.4540753896730047E-4</v>
      </c>
      <c r="U16" s="26">
        <v>1.3815078059712747E-3</v>
      </c>
      <c r="V16" s="26">
        <v>9.5568618909123645E-4</v>
      </c>
      <c r="W16" s="26">
        <v>9.5196816736465531E-4</v>
      </c>
      <c r="X16" s="26">
        <v>1.0320944103082823E-3</v>
      </c>
      <c r="Y16" s="26">
        <v>9.5854933224540507E-4</v>
      </c>
      <c r="Z16" s="26">
        <v>9.8395484695692646E-4</v>
      </c>
      <c r="AA16" s="26">
        <v>1.0549834505792582E-3</v>
      </c>
      <c r="AB16" s="26">
        <v>1.0389399101635543E-3</v>
      </c>
      <c r="AC16" s="26">
        <v>1.070452120797268E-3</v>
      </c>
      <c r="AD16" s="26">
        <v>9.4168195657893194E-4</v>
      </c>
      <c r="AE16" s="26">
        <v>9.2548473194062634E-4</v>
      </c>
      <c r="AF16" s="26">
        <v>8.6665427648365922E-4</v>
      </c>
      <c r="AG16" s="26">
        <v>9.0556865562764456E-4</v>
      </c>
      <c r="AH16" s="26">
        <v>9.6440919460303969E-4</v>
      </c>
      <c r="AI16" s="26">
        <v>7.9833935159259913E-4</v>
      </c>
      <c r="AJ16" s="26">
        <v>8.1156835198012932E-4</v>
      </c>
      <c r="AK16" s="26">
        <v>8.8926983641466489E-4</v>
      </c>
      <c r="AL16" s="26">
        <v>7.2821624613102871E-4</v>
      </c>
      <c r="AM16" s="26">
        <v>9.8294925660111936E-4</v>
      </c>
      <c r="AN16" s="26">
        <v>6.8740671782866283E-4</v>
      </c>
      <c r="AO16" s="26">
        <v>1.2384566538595353E-3</v>
      </c>
      <c r="AP16" s="26">
        <v>1.0892549101809287E-3</v>
      </c>
      <c r="AQ16" s="26">
        <v>8.8308256269956965E-4</v>
      </c>
      <c r="AR16" s="26">
        <v>1.1134238658357118E-3</v>
      </c>
      <c r="AS16" s="26">
        <v>9.3387330279406857E-4</v>
      </c>
      <c r="AT16" s="26">
        <v>1.1721534671670247E-3</v>
      </c>
      <c r="AU16" s="26">
        <v>7.6354885030422109E-4</v>
      </c>
      <c r="AV16" s="26">
        <v>3.8486378662002605E-4</v>
      </c>
    </row>
    <row r="17" spans="1:48" x14ac:dyDescent="0.2">
      <c r="A17" s="26" t="s">
        <v>90</v>
      </c>
      <c r="B17" s="26">
        <v>-7.6758484274299873E-4</v>
      </c>
      <c r="C17" s="26">
        <v>-5.2442045680269501E-5</v>
      </c>
      <c r="D17" s="26">
        <v>-1.0490107325827243E-4</v>
      </c>
      <c r="E17" s="26">
        <v>-1.7025476525680115E-4</v>
      </c>
      <c r="F17" s="26">
        <v>-4.3282348111147785E-4</v>
      </c>
      <c r="G17" s="26">
        <v>-2.2056445345046959E-5</v>
      </c>
      <c r="H17" s="26">
        <v>-1.3336683399296087E-5</v>
      </c>
      <c r="I17" s="26">
        <v>-1.5189238737588172E-5</v>
      </c>
      <c r="J17" s="26">
        <v>-4.4584542142589894E-5</v>
      </c>
      <c r="K17" s="26">
        <v>6.3732240850087018E-5</v>
      </c>
      <c r="L17" s="26">
        <v>6.7742371196317488E-5</v>
      </c>
      <c r="M17" s="26">
        <v>4.5456703497618232E-5</v>
      </c>
      <c r="N17" s="26">
        <v>9.9803867382221734E-4</v>
      </c>
      <c r="O17" s="26">
        <v>1.1742666843313279E-3</v>
      </c>
      <c r="P17" s="26">
        <v>9.3809510520333672E-4</v>
      </c>
      <c r="Q17" s="26">
        <v>1.1186429627361493E-3</v>
      </c>
      <c r="R17" s="26">
        <v>1.1038129693873616E-3</v>
      </c>
      <c r="S17" s="26">
        <v>1.1553949096986219E-3</v>
      </c>
      <c r="T17" s="26">
        <v>1.061055046325679E-3</v>
      </c>
      <c r="U17" s="26">
        <v>1.5102886259624E-3</v>
      </c>
      <c r="V17" s="26">
        <v>1.1452779498788888E-3</v>
      </c>
      <c r="W17" s="26">
        <v>1.0748529124409423E-3</v>
      </c>
      <c r="X17" s="26">
        <v>1.300249091472874E-3</v>
      </c>
      <c r="Y17" s="26">
        <v>1.2436023345725451E-3</v>
      </c>
      <c r="Z17" s="26">
        <v>1.1629099950186104E-3</v>
      </c>
      <c r="AA17" s="26">
        <v>1.3091852557806669E-3</v>
      </c>
      <c r="AB17" s="26">
        <v>1.3418907503933669E-3</v>
      </c>
      <c r="AC17" s="26">
        <v>1.2825975992256581E-3</v>
      </c>
      <c r="AD17" s="26">
        <v>1.1522428458918192E-3</v>
      </c>
      <c r="AE17" s="26">
        <v>1.1526966639169777E-3</v>
      </c>
      <c r="AF17" s="26">
        <v>1.1277966966909863E-3</v>
      </c>
      <c r="AG17" s="26">
        <v>1.1266599452336595E-3</v>
      </c>
      <c r="AH17" s="26">
        <v>1.2093653225588436E-3</v>
      </c>
      <c r="AI17" s="26">
        <v>9.9145524080251576E-4</v>
      </c>
      <c r="AJ17" s="26">
        <v>9.897934698737277E-4</v>
      </c>
      <c r="AK17" s="26">
        <v>1.1135795340203394E-3</v>
      </c>
      <c r="AL17" s="26">
        <v>7.2984393886581581E-4</v>
      </c>
      <c r="AM17" s="26">
        <v>1.233495487385935E-3</v>
      </c>
      <c r="AN17" s="26">
        <v>6.7110456196557981E-4</v>
      </c>
      <c r="AO17" s="26">
        <v>1.4006149319290056E-3</v>
      </c>
      <c r="AP17" s="26">
        <v>1.302464832928367E-3</v>
      </c>
      <c r="AQ17" s="26">
        <v>1.0419911273771875E-3</v>
      </c>
      <c r="AR17" s="26">
        <v>1.3175382432526707E-3</v>
      </c>
      <c r="AS17" s="26">
        <v>1.2334791758148997E-3</v>
      </c>
      <c r="AT17" s="26">
        <v>1.4520352391825171E-3</v>
      </c>
      <c r="AU17" s="26">
        <v>8.6362904720146906E-4</v>
      </c>
      <c r="AV17" s="26">
        <v>2.8725254456757186E-4</v>
      </c>
    </row>
    <row r="18" spans="1:48" x14ac:dyDescent="0.2">
      <c r="A18" s="26" t="s">
        <v>91</v>
      </c>
      <c r="B18" s="26">
        <v>-7.4362964327518983E-4</v>
      </c>
      <c r="C18" s="26">
        <v>-5.2446090173676298E-5</v>
      </c>
      <c r="D18" s="26">
        <v>-1.035773081123943E-4</v>
      </c>
      <c r="E18" s="26">
        <v>-1.6825825253878279E-4</v>
      </c>
      <c r="F18" s="26">
        <v>-4.239272797660139E-4</v>
      </c>
      <c r="G18" s="26">
        <v>-2.26277904476685E-5</v>
      </c>
      <c r="H18" s="26">
        <v>-1.4177655607160223E-5</v>
      </c>
      <c r="I18" s="26">
        <v>-1.5287642557806165E-5</v>
      </c>
      <c r="J18" s="26">
        <v>-4.5220586925401601E-5</v>
      </c>
      <c r="K18" s="26">
        <v>6.0588399396861609E-5</v>
      </c>
      <c r="L18" s="26">
        <v>6.5111431854544401E-5</v>
      </c>
      <c r="M18" s="26">
        <v>4.373011139204779E-5</v>
      </c>
      <c r="N18" s="26">
        <v>9.8716911117196745E-4</v>
      </c>
      <c r="O18" s="26">
        <v>1.1589497252935115E-3</v>
      </c>
      <c r="P18" s="26">
        <v>9.3376301063603589E-4</v>
      </c>
      <c r="Q18" s="26">
        <v>1.1038129693873616E-3</v>
      </c>
      <c r="R18" s="26">
        <v>1.0943668622240834E-3</v>
      </c>
      <c r="S18" s="26">
        <v>1.1432163431959301E-3</v>
      </c>
      <c r="T18" s="26">
        <v>1.0518598787180803E-3</v>
      </c>
      <c r="U18" s="26">
        <v>1.5254633497578747E-3</v>
      </c>
      <c r="V18" s="26">
        <v>1.1269174549050492E-3</v>
      </c>
      <c r="W18" s="26">
        <v>1.0628626553568674E-3</v>
      </c>
      <c r="X18" s="26">
        <v>1.2566737722144053E-3</v>
      </c>
      <c r="Y18" s="26">
        <v>1.2023778327612897E-3</v>
      </c>
      <c r="Z18" s="26">
        <v>1.1327092649967183E-3</v>
      </c>
      <c r="AA18" s="26">
        <v>1.2659131100168934E-3</v>
      </c>
      <c r="AB18" s="26">
        <v>1.2959680469312399E-3</v>
      </c>
      <c r="AC18" s="26">
        <v>1.2433579793749031E-3</v>
      </c>
      <c r="AD18" s="26">
        <v>1.1308109562835533E-3</v>
      </c>
      <c r="AE18" s="26">
        <v>1.1275916817178875E-3</v>
      </c>
      <c r="AF18" s="26">
        <v>1.0933222046255494E-3</v>
      </c>
      <c r="AG18" s="26">
        <v>1.1042874182894305E-3</v>
      </c>
      <c r="AH18" s="26">
        <v>1.1874486452523845E-3</v>
      </c>
      <c r="AI18" s="26">
        <v>9.7022278981111069E-4</v>
      </c>
      <c r="AJ18" s="26">
        <v>9.5849038682477045E-4</v>
      </c>
      <c r="AK18" s="26">
        <v>1.0888980492626231E-3</v>
      </c>
      <c r="AL18" s="26">
        <v>7.269566908717763E-4</v>
      </c>
      <c r="AM18" s="26">
        <v>1.2070823258744055E-3</v>
      </c>
      <c r="AN18" s="26">
        <v>6.7314613484129829E-4</v>
      </c>
      <c r="AO18" s="26">
        <v>1.3698869019917036E-3</v>
      </c>
      <c r="AP18" s="26">
        <v>1.2753840834798843E-3</v>
      </c>
      <c r="AQ18" s="26">
        <v>1.025128661637223E-3</v>
      </c>
      <c r="AR18" s="26">
        <v>1.2866919904110394E-3</v>
      </c>
      <c r="AS18" s="26">
        <v>1.2239970519521682E-3</v>
      </c>
      <c r="AT18" s="26">
        <v>1.4154125286605379E-3</v>
      </c>
      <c r="AU18" s="26">
        <v>8.2889838572749574E-4</v>
      </c>
      <c r="AV18" s="26">
        <v>2.8718500791059435E-4</v>
      </c>
    </row>
    <row r="19" spans="1:48" x14ac:dyDescent="0.2">
      <c r="A19" s="26" t="s">
        <v>92</v>
      </c>
      <c r="B19" s="26">
        <v>-6.337346389923941E-4</v>
      </c>
      <c r="C19" s="26">
        <v>-1.0772898765356065E-5</v>
      </c>
      <c r="D19" s="26">
        <v>-7.4307661510965463E-5</v>
      </c>
      <c r="E19" s="26">
        <v>-1.0495029391017903E-4</v>
      </c>
      <c r="F19" s="26">
        <v>-3.5870015994999844E-4</v>
      </c>
      <c r="G19" s="26">
        <v>-1.829705764152349E-6</v>
      </c>
      <c r="H19" s="26">
        <v>-4.5486730130547333E-7</v>
      </c>
      <c r="I19" s="26">
        <v>-1.062977245781062E-5</v>
      </c>
      <c r="J19" s="26">
        <v>-1.6816831130558703E-5</v>
      </c>
      <c r="K19" s="26">
        <v>9.3324020503697159E-5</v>
      </c>
      <c r="L19" s="26">
        <v>1.1207637450445811E-4</v>
      </c>
      <c r="M19" s="26">
        <v>5.7005171740486328E-5</v>
      </c>
      <c r="N19" s="26">
        <v>1.0142652299665088E-3</v>
      </c>
      <c r="O19" s="26">
        <v>1.2889937338461221E-3</v>
      </c>
      <c r="P19" s="26">
        <v>9.2057626965341938E-4</v>
      </c>
      <c r="Q19" s="26">
        <v>1.1553949096986219E-3</v>
      </c>
      <c r="R19" s="26">
        <v>1.1432163431959301E-3</v>
      </c>
      <c r="S19" s="26">
        <v>1.2821157745796831E-3</v>
      </c>
      <c r="T19" s="26">
        <v>1.0232923894594953E-3</v>
      </c>
      <c r="U19" s="26">
        <v>1.5765459616063978E-3</v>
      </c>
      <c r="V19" s="26">
        <v>1.1773808988582901E-3</v>
      </c>
      <c r="W19" s="26">
        <v>1.0389425537719432E-3</v>
      </c>
      <c r="X19" s="26">
        <v>1.3210488085572249E-3</v>
      </c>
      <c r="Y19" s="26">
        <v>1.313340709780636E-3</v>
      </c>
      <c r="Z19" s="26">
        <v>1.1554635068526775E-3</v>
      </c>
      <c r="AA19" s="26">
        <v>1.3148684310299403E-3</v>
      </c>
      <c r="AB19" s="26">
        <v>1.3858840846817573E-3</v>
      </c>
      <c r="AC19" s="26">
        <v>1.2580064225131283E-3</v>
      </c>
      <c r="AD19" s="26">
        <v>1.2059874108021826E-3</v>
      </c>
      <c r="AE19" s="26">
        <v>1.2223131728528198E-3</v>
      </c>
      <c r="AF19" s="26">
        <v>1.201682500621321E-3</v>
      </c>
      <c r="AG19" s="26">
        <v>1.2009042694730108E-3</v>
      </c>
      <c r="AH19" s="26">
        <v>1.2880847106632148E-3</v>
      </c>
      <c r="AI19" s="26">
        <v>1.0744836191505535E-3</v>
      </c>
      <c r="AJ19" s="26">
        <v>1.0658145700735689E-3</v>
      </c>
      <c r="AK19" s="26">
        <v>1.1882892912619457E-3</v>
      </c>
      <c r="AL19" s="26">
        <v>7.1285036609385836E-4</v>
      </c>
      <c r="AM19" s="26">
        <v>1.3074958269831155E-3</v>
      </c>
      <c r="AN19" s="26">
        <v>6.8046141862541248E-4</v>
      </c>
      <c r="AO19" s="26">
        <v>1.3313947100298533E-3</v>
      </c>
      <c r="AP19" s="26">
        <v>1.223717265779227E-3</v>
      </c>
      <c r="AQ19" s="26">
        <v>1.0760460957089087E-3</v>
      </c>
      <c r="AR19" s="26">
        <v>1.3080447695195739E-3</v>
      </c>
      <c r="AS19" s="26">
        <v>1.4050923655658527E-3</v>
      </c>
      <c r="AT19" s="26">
        <v>1.4767484001455523E-3</v>
      </c>
      <c r="AU19" s="26">
        <v>8.8360949325183786E-4</v>
      </c>
      <c r="AV19" s="26">
        <v>2.7673230726473451E-4</v>
      </c>
    </row>
    <row r="20" spans="1:48" x14ac:dyDescent="0.2">
      <c r="A20" s="26" t="s">
        <v>93</v>
      </c>
      <c r="B20" s="26">
        <v>-8.4718785921752721E-4</v>
      </c>
      <c r="C20" s="26">
        <v>-8.689968753051834E-5</v>
      </c>
      <c r="D20" s="26">
        <v>-1.3023644380995194E-4</v>
      </c>
      <c r="E20" s="26">
        <v>-2.1930994033133984E-4</v>
      </c>
      <c r="F20" s="26">
        <v>-4.8353882630232419E-4</v>
      </c>
      <c r="G20" s="26">
        <v>-4.0380144292641789E-5</v>
      </c>
      <c r="H20" s="26">
        <v>-2.5438774293199574E-5</v>
      </c>
      <c r="I20" s="26">
        <v>-1.9196561711591981E-5</v>
      </c>
      <c r="J20" s="26">
        <v>-6.8547707435660758E-5</v>
      </c>
      <c r="K20" s="26">
        <v>3.5946754342252411E-5</v>
      </c>
      <c r="L20" s="26">
        <v>3.3704883681171255E-5</v>
      </c>
      <c r="M20" s="26">
        <v>3.3880698986594775E-5</v>
      </c>
      <c r="N20" s="26">
        <v>9.6332629313651249E-4</v>
      </c>
      <c r="O20" s="26">
        <v>1.0475592163066E-3</v>
      </c>
      <c r="P20" s="26">
        <v>9.4540753896730047E-4</v>
      </c>
      <c r="Q20" s="26">
        <v>1.061055046325679E-3</v>
      </c>
      <c r="R20" s="26">
        <v>1.0518598787180803E-3</v>
      </c>
      <c r="S20" s="26">
        <v>1.0232923894594953E-3</v>
      </c>
      <c r="T20" s="26">
        <v>1.0805366279428529E-3</v>
      </c>
      <c r="U20" s="26">
        <v>1.4735214258257549E-3</v>
      </c>
      <c r="V20" s="26">
        <v>1.0853365310098259E-3</v>
      </c>
      <c r="W20" s="26">
        <v>1.0860997571079977E-3</v>
      </c>
      <c r="X20" s="26">
        <v>1.2080733937651072E-3</v>
      </c>
      <c r="Y20" s="26">
        <v>1.1144019636717001E-3</v>
      </c>
      <c r="Z20" s="26">
        <v>1.1179030843656049E-3</v>
      </c>
      <c r="AA20" s="26">
        <v>1.2308625401862563E-3</v>
      </c>
      <c r="AB20" s="26">
        <v>1.2266306020484372E-3</v>
      </c>
      <c r="AC20" s="26">
        <v>1.2365154829218599E-3</v>
      </c>
      <c r="AD20" s="26">
        <v>1.0702755959375624E-3</v>
      </c>
      <c r="AE20" s="26">
        <v>1.0533417394607467E-3</v>
      </c>
      <c r="AF20" s="26">
        <v>1.0051859248021565E-3</v>
      </c>
      <c r="AG20" s="26">
        <v>1.0261899861095129E-3</v>
      </c>
      <c r="AH20" s="26">
        <v>1.1065348355594378E-3</v>
      </c>
      <c r="AI20" s="26">
        <v>8.8328791567547475E-4</v>
      </c>
      <c r="AJ20" s="26">
        <v>8.7618025323648067E-4</v>
      </c>
      <c r="AK20" s="26">
        <v>1.0095341089151227E-3</v>
      </c>
      <c r="AL20" s="26">
        <v>7.4171268308704434E-4</v>
      </c>
      <c r="AM20" s="26">
        <v>1.1232083289349521E-3</v>
      </c>
      <c r="AN20" s="26">
        <v>6.6565376383542676E-4</v>
      </c>
      <c r="AO20" s="26">
        <v>1.4107243182593795E-3</v>
      </c>
      <c r="AP20" s="26">
        <v>1.3292978157069518E-3</v>
      </c>
      <c r="AQ20" s="26">
        <v>9.8131501884314879E-4</v>
      </c>
      <c r="AR20" s="26">
        <v>1.2731482676690286E-3</v>
      </c>
      <c r="AS20" s="26">
        <v>1.0668510942071934E-3</v>
      </c>
      <c r="AT20" s="26">
        <v>1.3658405698181672E-3</v>
      </c>
      <c r="AU20" s="26">
        <v>7.9810842747016653E-4</v>
      </c>
      <c r="AV20" s="26">
        <v>2.9788392884911978E-4</v>
      </c>
    </row>
    <row r="21" spans="1:48" x14ac:dyDescent="0.2">
      <c r="A21" s="26" t="s">
        <v>94</v>
      </c>
      <c r="B21" s="26">
        <v>-6.0039544396922118E-4</v>
      </c>
      <c r="C21" s="26">
        <v>3.8542853199767677E-5</v>
      </c>
      <c r="D21" s="26">
        <v>-5.5040619463829165E-5</v>
      </c>
      <c r="E21" s="26">
        <v>-1.4970824917289283E-5</v>
      </c>
      <c r="F21" s="26">
        <v>-3.6984872636956599E-4</v>
      </c>
      <c r="G21" s="26">
        <v>3.2808257336717915E-5</v>
      </c>
      <c r="H21" s="26">
        <v>2.0657820741079363E-6</v>
      </c>
      <c r="I21" s="26">
        <v>-8.505966752574047E-6</v>
      </c>
      <c r="J21" s="26">
        <v>3.7843335598647319E-6</v>
      </c>
      <c r="K21" s="26">
        <v>1.6333060362718415E-4</v>
      </c>
      <c r="L21" s="26">
        <v>2.8571296463581863E-4</v>
      </c>
      <c r="M21" s="26">
        <v>1.1107149221084417E-4</v>
      </c>
      <c r="N21" s="26">
        <v>1.3721962132649734E-3</v>
      </c>
      <c r="O21" s="26">
        <v>1.5321753100207463E-3</v>
      </c>
      <c r="P21" s="26">
        <v>1.3815078059712747E-3</v>
      </c>
      <c r="Q21" s="26">
        <v>1.5102886259624E-3</v>
      </c>
      <c r="R21" s="26">
        <v>1.5254633497578747E-3</v>
      </c>
      <c r="S21" s="26">
        <v>1.5765459616063978E-3</v>
      </c>
      <c r="T21" s="26">
        <v>1.4735214258257549E-3</v>
      </c>
      <c r="U21" s="26">
        <v>1.3282854734783538E-2</v>
      </c>
      <c r="V21" s="26">
        <v>1.5180984773444741E-3</v>
      </c>
      <c r="W21" s="26">
        <v>1.4962153375689105E-3</v>
      </c>
      <c r="X21" s="26">
        <v>1.4917453024114295E-3</v>
      </c>
      <c r="Y21" s="26">
        <v>1.3706573353605639E-3</v>
      </c>
      <c r="Z21" s="26">
        <v>1.5718385744230342E-3</v>
      </c>
      <c r="AA21" s="26">
        <v>1.5577695035273646E-3</v>
      </c>
      <c r="AB21" s="26">
        <v>1.5044102080831892E-3</v>
      </c>
      <c r="AC21" s="26">
        <v>1.6223385896310864E-3</v>
      </c>
      <c r="AD21" s="26">
        <v>1.5024269900614717E-3</v>
      </c>
      <c r="AE21" s="26">
        <v>1.4985522640425391E-3</v>
      </c>
      <c r="AF21" s="26">
        <v>1.493065019993738E-3</v>
      </c>
      <c r="AG21" s="26">
        <v>1.4536879999686408E-3</v>
      </c>
      <c r="AH21" s="26">
        <v>1.6462451237811129E-3</v>
      </c>
      <c r="AI21" s="26">
        <v>1.1352771165522321E-3</v>
      </c>
      <c r="AJ21" s="26">
        <v>1.1720201650576745E-3</v>
      </c>
      <c r="AK21" s="26">
        <v>1.4982232010213501E-3</v>
      </c>
      <c r="AL21" s="26">
        <v>1.4892499128003796E-3</v>
      </c>
      <c r="AM21" s="26">
        <v>1.5629536552475027E-3</v>
      </c>
      <c r="AN21" s="26">
        <v>1.2546752600975234E-3</v>
      </c>
      <c r="AO21" s="26">
        <v>1.9039244783821856E-3</v>
      </c>
      <c r="AP21" s="26">
        <v>1.6101446842152595E-3</v>
      </c>
      <c r="AQ21" s="26">
        <v>1.2989904729015682E-3</v>
      </c>
      <c r="AR21" s="26">
        <v>1.7473090633211821E-3</v>
      </c>
      <c r="AS21" s="26">
        <v>1.5005980435087306E-3</v>
      </c>
      <c r="AT21" s="26">
        <v>1.847415346727129E-3</v>
      </c>
      <c r="AU21" s="26">
        <v>1.3050914495333894E-3</v>
      </c>
      <c r="AV21" s="26">
        <v>6.6275600668967564E-4</v>
      </c>
    </row>
    <row r="22" spans="1:48" x14ac:dyDescent="0.2">
      <c r="A22" s="26" t="s">
        <v>95</v>
      </c>
      <c r="B22" s="26">
        <v>-8.0242781340685281E-4</v>
      </c>
      <c r="C22" s="26">
        <v>-5.7189017596710382E-5</v>
      </c>
      <c r="D22" s="26">
        <v>-1.0911654280117006E-4</v>
      </c>
      <c r="E22" s="26">
        <v>-1.8128246315324788E-4</v>
      </c>
      <c r="F22" s="26">
        <v>-4.4937910909738637E-4</v>
      </c>
      <c r="G22" s="26">
        <v>-2.3980796951133183E-5</v>
      </c>
      <c r="H22" s="26">
        <v>-1.4405091307832734E-5</v>
      </c>
      <c r="I22" s="26">
        <v>-1.5740855187532221E-5</v>
      </c>
      <c r="J22" s="26">
        <v>-4.7494192979170482E-5</v>
      </c>
      <c r="K22" s="26">
        <v>6.3118612642753912E-5</v>
      </c>
      <c r="L22" s="26">
        <v>6.3123853985332616E-5</v>
      </c>
      <c r="M22" s="26">
        <v>4.5704369406590903E-5</v>
      </c>
      <c r="N22" s="26">
        <v>1.0205378153871571E-3</v>
      </c>
      <c r="O22" s="26">
        <v>1.2005004727213169E-3</v>
      </c>
      <c r="P22" s="26">
        <v>9.5568618909123645E-4</v>
      </c>
      <c r="Q22" s="26">
        <v>1.1452779498788888E-3</v>
      </c>
      <c r="R22" s="26">
        <v>1.1269174549050492E-3</v>
      </c>
      <c r="S22" s="26">
        <v>1.1773808988582901E-3</v>
      </c>
      <c r="T22" s="26">
        <v>1.0853365310098259E-3</v>
      </c>
      <c r="U22" s="26">
        <v>1.5180984773444741E-3</v>
      </c>
      <c r="V22" s="26">
        <v>1.1791986049304731E-3</v>
      </c>
      <c r="W22" s="26">
        <v>1.1018596027077829E-3</v>
      </c>
      <c r="X22" s="26">
        <v>1.369235360884295E-3</v>
      </c>
      <c r="Y22" s="26">
        <v>1.2934251199198379E-3</v>
      </c>
      <c r="Z22" s="26">
        <v>1.2067042082793107E-3</v>
      </c>
      <c r="AA22" s="26">
        <v>1.3812476661401191E-3</v>
      </c>
      <c r="AB22" s="26">
        <v>1.416564187677593E-3</v>
      </c>
      <c r="AC22" s="26">
        <v>1.3517386180411279E-3</v>
      </c>
      <c r="AD22" s="26">
        <v>1.1813359898046379E-3</v>
      </c>
      <c r="AE22" s="26">
        <v>1.1774868510998112E-3</v>
      </c>
      <c r="AF22" s="26">
        <v>1.1650409241943948E-3</v>
      </c>
      <c r="AG22" s="26">
        <v>1.151053327620694E-3</v>
      </c>
      <c r="AH22" s="26">
        <v>1.2338259154769105E-3</v>
      </c>
      <c r="AI22" s="26">
        <v>1.0131527632669371E-3</v>
      </c>
      <c r="AJ22" s="26">
        <v>1.0099663896034243E-3</v>
      </c>
      <c r="AK22" s="26">
        <v>1.1382211480436548E-3</v>
      </c>
      <c r="AL22" s="26">
        <v>7.4183645252989653E-4</v>
      </c>
      <c r="AM22" s="26">
        <v>1.2711145535766926E-3</v>
      </c>
      <c r="AN22" s="26">
        <v>6.6694724866383083E-4</v>
      </c>
      <c r="AO22" s="26">
        <v>1.4712904948039954E-3</v>
      </c>
      <c r="AP22" s="26">
        <v>1.3503590102978478E-3</v>
      </c>
      <c r="AQ22" s="26">
        <v>1.0755887951440608E-3</v>
      </c>
      <c r="AR22" s="26">
        <v>1.368632973824929E-3</v>
      </c>
      <c r="AS22" s="26">
        <v>1.2521793553012365E-3</v>
      </c>
      <c r="AT22" s="26">
        <v>1.5075830159267383E-3</v>
      </c>
      <c r="AU22" s="26">
        <v>8.970796448372892E-4</v>
      </c>
      <c r="AV22" s="26">
        <v>2.8897470630818544E-4</v>
      </c>
    </row>
    <row r="23" spans="1:48" x14ac:dyDescent="0.2">
      <c r="A23" s="26" t="s">
        <v>96</v>
      </c>
      <c r="B23" s="26">
        <v>-8.5022038857351977E-4</v>
      </c>
      <c r="C23" s="26">
        <v>-8.6205272393466973E-5</v>
      </c>
      <c r="D23" s="26">
        <v>-1.2966427965180961E-4</v>
      </c>
      <c r="E23" s="26">
        <v>-2.1799420463535722E-4</v>
      </c>
      <c r="F23" s="26">
        <v>-4.8372172252476061E-4</v>
      </c>
      <c r="G23" s="26">
        <v>-3.9769154103211811E-5</v>
      </c>
      <c r="H23" s="26">
        <v>-2.4896648187493961E-5</v>
      </c>
      <c r="I23" s="26">
        <v>-1.9304894559087271E-5</v>
      </c>
      <c r="J23" s="26">
        <v>-6.779234165148765E-5</v>
      </c>
      <c r="K23" s="26">
        <v>3.8408521955873937E-5</v>
      </c>
      <c r="L23" s="26">
        <v>3.645691889027037E-5</v>
      </c>
      <c r="M23" s="26">
        <v>3.5182253538746221E-5</v>
      </c>
      <c r="N23" s="26">
        <v>9.7578901134501034E-4</v>
      </c>
      <c r="O23" s="26">
        <v>1.0630901106319867E-3</v>
      </c>
      <c r="P23" s="26">
        <v>9.5196816736465531E-4</v>
      </c>
      <c r="Q23" s="26">
        <v>1.0748529124409423E-3</v>
      </c>
      <c r="R23" s="26">
        <v>1.0628626553568674E-3</v>
      </c>
      <c r="S23" s="26">
        <v>1.0389425537719432E-3</v>
      </c>
      <c r="T23" s="26">
        <v>1.0860997571079977E-3</v>
      </c>
      <c r="U23" s="26">
        <v>1.4962153375689105E-3</v>
      </c>
      <c r="V23" s="26">
        <v>1.1018596027077829E-3</v>
      </c>
      <c r="W23" s="26">
        <v>1.096591605732325E-3</v>
      </c>
      <c r="X23" s="26">
        <v>1.2410395122379959E-3</v>
      </c>
      <c r="Y23" s="26">
        <v>1.1436310603186671E-3</v>
      </c>
      <c r="Z23" s="26">
        <v>1.1449760806068795E-3</v>
      </c>
      <c r="AA23" s="26">
        <v>1.2624014494267604E-3</v>
      </c>
      <c r="AB23" s="26">
        <v>1.2579211008018601E-3</v>
      </c>
      <c r="AC23" s="26">
        <v>1.2667850559459893E-3</v>
      </c>
      <c r="AD23" s="26">
        <v>1.0900894106659204E-3</v>
      </c>
      <c r="AE23" s="26">
        <v>1.076796633505542E-3</v>
      </c>
      <c r="AF23" s="26">
        <v>1.0340819390411778E-3</v>
      </c>
      <c r="AG23" s="26">
        <v>1.0489099838403005E-3</v>
      </c>
      <c r="AH23" s="26">
        <v>1.1295114950696068E-3</v>
      </c>
      <c r="AI23" s="26">
        <v>9.0531331787660051E-4</v>
      </c>
      <c r="AJ23" s="26">
        <v>9.0055889909163446E-4</v>
      </c>
      <c r="AK23" s="26">
        <v>1.0333825300876055E-3</v>
      </c>
      <c r="AL23" s="26">
        <v>7.4394936746390624E-4</v>
      </c>
      <c r="AM23" s="26">
        <v>1.1466601447101806E-3</v>
      </c>
      <c r="AN23" s="26">
        <v>6.6953637008448149E-4</v>
      </c>
      <c r="AO23" s="26">
        <v>1.4382479392392549E-3</v>
      </c>
      <c r="AP23" s="26">
        <v>1.3454204518321335E-3</v>
      </c>
      <c r="AQ23" s="26">
        <v>9.9597912701061375E-4</v>
      </c>
      <c r="AR23" s="26">
        <v>1.2994985458413372E-3</v>
      </c>
      <c r="AS23" s="26">
        <v>1.0767343201442405E-3</v>
      </c>
      <c r="AT23" s="26">
        <v>1.3996144514103388E-3</v>
      </c>
      <c r="AU23" s="26">
        <v>8.162139538072633E-4</v>
      </c>
      <c r="AV23" s="26">
        <v>2.9861743533671106E-4</v>
      </c>
    </row>
    <row r="24" spans="1:48" x14ac:dyDescent="0.2">
      <c r="A24" s="26" t="s">
        <v>97</v>
      </c>
      <c r="B24" s="26">
        <v>-1.0379787912520133E-3</v>
      </c>
      <c r="C24" s="26">
        <v>-7.6626143361378454E-5</v>
      </c>
      <c r="D24" s="26">
        <v>-1.3276729766684026E-4</v>
      </c>
      <c r="E24" s="26">
        <v>-2.4722412794840815E-4</v>
      </c>
      <c r="F24" s="26">
        <v>-5.63520444840738E-4</v>
      </c>
      <c r="G24" s="26">
        <v>-3.2155406954271415E-5</v>
      </c>
      <c r="H24" s="26">
        <v>-1.5079178320473251E-5</v>
      </c>
      <c r="I24" s="26">
        <v>-1.8029609082472578E-5</v>
      </c>
      <c r="J24" s="26">
        <v>-6.0125422276723399E-5</v>
      </c>
      <c r="K24" s="26">
        <v>6.4622320191361264E-5</v>
      </c>
      <c r="L24" s="26">
        <v>2.9716301369150069E-5</v>
      </c>
      <c r="M24" s="26">
        <v>5.0664827310482126E-5</v>
      </c>
      <c r="N24" s="26">
        <v>1.1360809580351747E-3</v>
      </c>
      <c r="O24" s="26">
        <v>1.358849587635541E-3</v>
      </c>
      <c r="P24" s="26">
        <v>1.0320944103082823E-3</v>
      </c>
      <c r="Q24" s="26">
        <v>1.300249091472874E-3</v>
      </c>
      <c r="R24" s="26">
        <v>1.2566737722144053E-3</v>
      </c>
      <c r="S24" s="26">
        <v>1.3210488085572249E-3</v>
      </c>
      <c r="T24" s="26">
        <v>1.2080733937651072E-3</v>
      </c>
      <c r="U24" s="26">
        <v>1.4917453024114295E-3</v>
      </c>
      <c r="V24" s="26">
        <v>1.369235360884295E-3</v>
      </c>
      <c r="W24" s="26">
        <v>1.2410395122379959E-3</v>
      </c>
      <c r="X24" s="26">
        <v>1.7711588799485208E-3</v>
      </c>
      <c r="Y24" s="26">
        <v>1.6116621694189091E-3</v>
      </c>
      <c r="Z24" s="26">
        <v>1.4587770915071986E-3</v>
      </c>
      <c r="AA24" s="26">
        <v>1.7900689344950392E-3</v>
      </c>
      <c r="AB24" s="26">
        <v>1.8432618561411713E-3</v>
      </c>
      <c r="AC24" s="26">
        <v>1.7336482365003911E-3</v>
      </c>
      <c r="AD24" s="26">
        <v>1.3668511902273051E-3</v>
      </c>
      <c r="AE24" s="26">
        <v>1.3556141640303934E-3</v>
      </c>
      <c r="AF24" s="26">
        <v>1.417765036300662E-3</v>
      </c>
      <c r="AG24" s="26">
        <v>1.3225514257760266E-3</v>
      </c>
      <c r="AH24" s="26">
        <v>1.4022680258600475E-3</v>
      </c>
      <c r="AI24" s="26">
        <v>1.1778262371078113E-3</v>
      </c>
      <c r="AJ24" s="26">
        <v>1.183898298428909E-3</v>
      </c>
      <c r="AK24" s="26">
        <v>1.3160111461568542E-3</v>
      </c>
      <c r="AL24" s="26">
        <v>8.0141220569261284E-4</v>
      </c>
      <c r="AM24" s="26">
        <v>1.503250535196343E-3</v>
      </c>
      <c r="AN24" s="26">
        <v>6.3750144967177037E-4</v>
      </c>
      <c r="AO24" s="26">
        <v>1.8215767050784573E-3</v>
      </c>
      <c r="AP24" s="26">
        <v>1.6274128961376901E-3</v>
      </c>
      <c r="AQ24" s="26">
        <v>1.2788213948100346E-3</v>
      </c>
      <c r="AR24" s="26">
        <v>1.6567252280512681E-3</v>
      </c>
      <c r="AS24" s="26">
        <v>1.390612273074911E-3</v>
      </c>
      <c r="AT24" s="26">
        <v>1.8494559839697911E-3</v>
      </c>
      <c r="AU24" s="26">
        <v>1.0861029478286437E-3</v>
      </c>
      <c r="AV24" s="26">
        <v>2.501591250338514E-4</v>
      </c>
    </row>
    <row r="25" spans="1:48" x14ac:dyDescent="0.2">
      <c r="A25" s="26" t="s">
        <v>98</v>
      </c>
      <c r="B25" s="26">
        <v>-8.8836662580886678E-4</v>
      </c>
      <c r="C25" s="26">
        <v>-3.9788776116702121E-5</v>
      </c>
      <c r="D25" s="26">
        <v>-1.0184820547104777E-4</v>
      </c>
      <c r="E25" s="26">
        <v>-1.8334264021923092E-4</v>
      </c>
      <c r="F25" s="26">
        <v>-4.7305373589373378E-4</v>
      </c>
      <c r="G25" s="26">
        <v>-1.246055510627435E-5</v>
      </c>
      <c r="H25" s="26">
        <v>-2.5400169042278499E-6</v>
      </c>
      <c r="I25" s="26">
        <v>-1.2515157959066901E-5</v>
      </c>
      <c r="J25" s="26">
        <v>-3.2982879589952872E-5</v>
      </c>
      <c r="K25" s="26">
        <v>8.6186243223758508E-5</v>
      </c>
      <c r="L25" s="26">
        <v>6.4925439872976821E-5</v>
      </c>
      <c r="M25" s="26">
        <v>5.8294572416712128E-5</v>
      </c>
      <c r="N25" s="26">
        <v>1.0919970688320537E-3</v>
      </c>
      <c r="O25" s="26">
        <v>1.3466291621031497E-3</v>
      </c>
      <c r="P25" s="26">
        <v>9.5854933224540507E-4</v>
      </c>
      <c r="Q25" s="26">
        <v>1.2436023345725451E-3</v>
      </c>
      <c r="R25" s="26">
        <v>1.2023778327612897E-3</v>
      </c>
      <c r="S25" s="26">
        <v>1.313340709780636E-3</v>
      </c>
      <c r="T25" s="26">
        <v>1.1144019636717001E-3</v>
      </c>
      <c r="U25" s="26">
        <v>1.3706573353605639E-3</v>
      </c>
      <c r="V25" s="26">
        <v>1.2934251199198379E-3</v>
      </c>
      <c r="W25" s="26">
        <v>1.1436310603186671E-3</v>
      </c>
      <c r="X25" s="26">
        <v>1.6116621694189091E-3</v>
      </c>
      <c r="Y25" s="26">
        <v>1.5692144231150985E-3</v>
      </c>
      <c r="Z25" s="26">
        <v>1.3505639197658717E-3</v>
      </c>
      <c r="AA25" s="26">
        <v>1.6113215168105848E-3</v>
      </c>
      <c r="AB25" s="26">
        <v>1.6914012996611207E-3</v>
      </c>
      <c r="AC25" s="26">
        <v>1.5348373287345689E-3</v>
      </c>
      <c r="AD25" s="26">
        <v>1.3268827489301349E-3</v>
      </c>
      <c r="AE25" s="26">
        <v>1.3496397238722299E-3</v>
      </c>
      <c r="AF25" s="26">
        <v>1.3952903598242667E-3</v>
      </c>
      <c r="AG25" s="26">
        <v>1.3058071006135359E-3</v>
      </c>
      <c r="AH25" s="26">
        <v>1.3920146646974243E-3</v>
      </c>
      <c r="AI25" s="26">
        <v>1.1696777295342475E-3</v>
      </c>
      <c r="AJ25" s="26">
        <v>1.2175810956650312E-3</v>
      </c>
      <c r="AK25" s="26">
        <v>1.3086295284017758E-3</v>
      </c>
      <c r="AL25" s="26">
        <v>7.5048193410200137E-4</v>
      </c>
      <c r="AM25" s="26">
        <v>1.4583006987723124E-3</v>
      </c>
      <c r="AN25" s="26">
        <v>6.5682020392082967E-4</v>
      </c>
      <c r="AO25" s="26">
        <v>1.5497770311887198E-3</v>
      </c>
      <c r="AP25" s="26">
        <v>1.4365873710877281E-3</v>
      </c>
      <c r="AQ25" s="26">
        <v>1.2082386847331646E-3</v>
      </c>
      <c r="AR25" s="26">
        <v>1.5229510621942836E-3</v>
      </c>
      <c r="AS25" s="26">
        <v>1.4107809486029509E-3</v>
      </c>
      <c r="AT25" s="26">
        <v>1.7264116695654458E-3</v>
      </c>
      <c r="AU25" s="26">
        <v>1.0464782376232637E-3</v>
      </c>
      <c r="AV25" s="26">
        <v>2.7199715290531103E-4</v>
      </c>
    </row>
    <row r="26" spans="1:48" x14ac:dyDescent="0.2">
      <c r="A26" s="26" t="s">
        <v>99</v>
      </c>
      <c r="B26" s="26">
        <v>-8.5134299721719093E-4</v>
      </c>
      <c r="C26" s="26">
        <v>-6.294556990798139E-5</v>
      </c>
      <c r="D26" s="26">
        <v>-1.1734469023150029E-4</v>
      </c>
      <c r="E26" s="26">
        <v>-1.9696822345340606E-4</v>
      </c>
      <c r="F26" s="26">
        <v>-4.803354117836962E-4</v>
      </c>
      <c r="G26" s="26">
        <v>-2.8126652837234577E-5</v>
      </c>
      <c r="H26" s="26">
        <v>-1.494190939171031E-5</v>
      </c>
      <c r="I26" s="26">
        <v>-1.8003086852627013E-5</v>
      </c>
      <c r="J26" s="26">
        <v>-5.2405722902409209E-5</v>
      </c>
      <c r="K26" s="26">
        <v>6.1054472896523347E-5</v>
      </c>
      <c r="L26" s="26">
        <v>5.4216783708038946E-5</v>
      </c>
      <c r="M26" s="26">
        <v>4.3907081265116447E-5</v>
      </c>
      <c r="N26" s="26">
        <v>1.0466694134945809E-3</v>
      </c>
      <c r="O26" s="26">
        <v>1.1847903410555386E-3</v>
      </c>
      <c r="P26" s="26">
        <v>9.8395484695692646E-4</v>
      </c>
      <c r="Q26" s="26">
        <v>1.1629099950186104E-3</v>
      </c>
      <c r="R26" s="26">
        <v>1.1327092649967183E-3</v>
      </c>
      <c r="S26" s="26">
        <v>1.1554635068526775E-3</v>
      </c>
      <c r="T26" s="26">
        <v>1.1179030843656049E-3</v>
      </c>
      <c r="U26" s="26">
        <v>1.5718385744230342E-3</v>
      </c>
      <c r="V26" s="26">
        <v>1.2067042082793107E-3</v>
      </c>
      <c r="W26" s="26">
        <v>1.1449760806068795E-3</v>
      </c>
      <c r="X26" s="26">
        <v>1.4587770915071986E-3</v>
      </c>
      <c r="Y26" s="26">
        <v>1.3505639197658717E-3</v>
      </c>
      <c r="Z26" s="26">
        <v>1.3143292515704755E-3</v>
      </c>
      <c r="AA26" s="26">
        <v>1.4766235886322255E-3</v>
      </c>
      <c r="AB26" s="26">
        <v>1.4867943248206778E-3</v>
      </c>
      <c r="AC26" s="26">
        <v>1.4622520073567487E-3</v>
      </c>
      <c r="AD26" s="26">
        <v>1.2189813163271989E-3</v>
      </c>
      <c r="AE26" s="26">
        <v>1.2253955332085218E-3</v>
      </c>
      <c r="AF26" s="26">
        <v>1.2304613626307106E-3</v>
      </c>
      <c r="AG26" s="26">
        <v>1.1932239168828461E-3</v>
      </c>
      <c r="AH26" s="26">
        <v>1.281179633520708E-3</v>
      </c>
      <c r="AI26" s="26">
        <v>1.0468671572126044E-3</v>
      </c>
      <c r="AJ26" s="26">
        <v>1.0878646218209929E-3</v>
      </c>
      <c r="AK26" s="26">
        <v>1.1857082931572196E-3</v>
      </c>
      <c r="AL26" s="26">
        <v>7.9008336813647163E-4</v>
      </c>
      <c r="AM26" s="26">
        <v>1.3025596891876874E-3</v>
      </c>
      <c r="AN26" s="26">
        <v>7.1000006412941458E-4</v>
      </c>
      <c r="AO26" s="26">
        <v>1.6030029380147725E-3</v>
      </c>
      <c r="AP26" s="26">
        <v>1.4278845663358126E-3</v>
      </c>
      <c r="AQ26" s="26">
        <v>1.1189469503734748E-3</v>
      </c>
      <c r="AR26" s="26">
        <v>1.4553377499689421E-3</v>
      </c>
      <c r="AS26" s="26">
        <v>1.1802337956775088E-3</v>
      </c>
      <c r="AT26" s="26">
        <v>1.6014901438739261E-3</v>
      </c>
      <c r="AU26" s="26">
        <v>9.6201423828527126E-4</v>
      </c>
      <c r="AV26" s="26">
        <v>3.1945267235396766E-4</v>
      </c>
    </row>
    <row r="27" spans="1:48" x14ac:dyDescent="0.2">
      <c r="A27" s="26" t="s">
        <v>100</v>
      </c>
      <c r="B27" s="26">
        <v>-1.0403727570306072E-3</v>
      </c>
      <c r="C27" s="26">
        <v>-7.8887531058434741E-5</v>
      </c>
      <c r="D27" s="26">
        <v>-1.3433871341181935E-4</v>
      </c>
      <c r="E27" s="26">
        <v>-2.4874357324415614E-4</v>
      </c>
      <c r="F27" s="26">
        <v>-5.6618384924439534E-4</v>
      </c>
      <c r="G27" s="26">
        <v>-3.3064393391267729E-5</v>
      </c>
      <c r="H27" s="26">
        <v>-1.5829646334039092E-5</v>
      </c>
      <c r="I27" s="26">
        <v>-1.8061373332166487E-5</v>
      </c>
      <c r="J27" s="26">
        <v>-6.1661739182570382E-5</v>
      </c>
      <c r="K27" s="26">
        <v>6.144844752417661E-5</v>
      </c>
      <c r="L27" s="26">
        <v>2.8220651204611866E-5</v>
      </c>
      <c r="M27" s="26">
        <v>4.930790462228668E-5</v>
      </c>
      <c r="N27" s="26">
        <v>1.1529132388749344E-3</v>
      </c>
      <c r="O27" s="26">
        <v>1.3514711140121362E-3</v>
      </c>
      <c r="P27" s="26">
        <v>1.0549834505792582E-3</v>
      </c>
      <c r="Q27" s="26">
        <v>1.3091852557806669E-3</v>
      </c>
      <c r="R27" s="26">
        <v>1.2659131100168934E-3</v>
      </c>
      <c r="S27" s="26">
        <v>1.3148684310299403E-3</v>
      </c>
      <c r="T27" s="26">
        <v>1.2308625401862563E-3</v>
      </c>
      <c r="U27" s="26">
        <v>1.5577695035273646E-3</v>
      </c>
      <c r="V27" s="26">
        <v>1.3812476661401191E-3</v>
      </c>
      <c r="W27" s="26">
        <v>1.2624014494267604E-3</v>
      </c>
      <c r="X27" s="26">
        <v>1.7900689344950392E-3</v>
      </c>
      <c r="Y27" s="26">
        <v>1.6113215168105848E-3</v>
      </c>
      <c r="Z27" s="26">
        <v>1.4766235886322255E-3</v>
      </c>
      <c r="AA27" s="26">
        <v>1.8255498509322787E-3</v>
      </c>
      <c r="AB27" s="26">
        <v>1.8694403945212919E-3</v>
      </c>
      <c r="AC27" s="26">
        <v>1.7752957152255427E-3</v>
      </c>
      <c r="AD27" s="26">
        <v>1.3663999545757398E-3</v>
      </c>
      <c r="AE27" s="26">
        <v>1.3433451966505705E-3</v>
      </c>
      <c r="AF27" s="26">
        <v>1.3978446233158474E-3</v>
      </c>
      <c r="AG27" s="26">
        <v>1.3085239636698104E-3</v>
      </c>
      <c r="AH27" s="26">
        <v>1.3888842667993573E-3</v>
      </c>
      <c r="AI27" s="26">
        <v>1.1603864670297098E-3</v>
      </c>
      <c r="AJ27" s="26">
        <v>1.1671458779949754E-3</v>
      </c>
      <c r="AK27" s="26">
        <v>1.3005209249363928E-3</v>
      </c>
      <c r="AL27" s="26">
        <v>8.2232848415356369E-4</v>
      </c>
      <c r="AM27" s="26">
        <v>1.5064070898300665E-3</v>
      </c>
      <c r="AN27" s="26">
        <v>6.5349787890529897E-4</v>
      </c>
      <c r="AO27" s="26">
        <v>1.8788336469125228E-3</v>
      </c>
      <c r="AP27" s="26">
        <v>1.651793395621996E-3</v>
      </c>
      <c r="AQ27" s="26">
        <v>1.2823027816687158E-3</v>
      </c>
      <c r="AR27" s="26">
        <v>1.6866434226770041E-3</v>
      </c>
      <c r="AS27" s="26">
        <v>1.3779207173914693E-3</v>
      </c>
      <c r="AT27" s="26">
        <v>1.865363423946403E-3</v>
      </c>
      <c r="AU27" s="26">
        <v>1.1179844583379748E-3</v>
      </c>
      <c r="AV27" s="26">
        <v>2.8224048213665353E-4</v>
      </c>
    </row>
    <row r="28" spans="1:48" x14ac:dyDescent="0.2">
      <c r="A28" s="26" t="s">
        <v>101</v>
      </c>
      <c r="B28" s="26">
        <v>-1.0573677100147335E-3</v>
      </c>
      <c r="C28" s="26">
        <v>-7.8217523652826017E-5</v>
      </c>
      <c r="D28" s="26">
        <v>-1.3342644763994615E-4</v>
      </c>
      <c r="E28" s="26">
        <v>-2.5461960743323173E-4</v>
      </c>
      <c r="F28" s="26">
        <v>-5.6852447120099071E-4</v>
      </c>
      <c r="G28" s="26">
        <v>-3.0027707406042051E-5</v>
      </c>
      <c r="H28" s="26">
        <v>-1.4314433943361141E-5</v>
      </c>
      <c r="I28" s="26">
        <v>-1.7826802094504203E-5</v>
      </c>
      <c r="J28" s="26">
        <v>-5.8490782004384388E-5</v>
      </c>
      <c r="K28" s="26">
        <v>6.2663085476744938E-5</v>
      </c>
      <c r="L28" s="26">
        <v>2.001618923868164E-5</v>
      </c>
      <c r="M28" s="26">
        <v>5.2281556144288333E-5</v>
      </c>
      <c r="N28" s="26">
        <v>1.1702782808947826E-3</v>
      </c>
      <c r="O28" s="26">
        <v>1.4335010561810234E-3</v>
      </c>
      <c r="P28" s="26">
        <v>1.0389399101635543E-3</v>
      </c>
      <c r="Q28" s="26">
        <v>1.3418907503933669E-3</v>
      </c>
      <c r="R28" s="26">
        <v>1.2959680469312399E-3</v>
      </c>
      <c r="S28" s="26">
        <v>1.3858840846817573E-3</v>
      </c>
      <c r="T28" s="26">
        <v>1.2266306020484372E-3</v>
      </c>
      <c r="U28" s="26">
        <v>1.5044102080831892E-3</v>
      </c>
      <c r="V28" s="26">
        <v>1.416564187677593E-3</v>
      </c>
      <c r="W28" s="26">
        <v>1.2579211008018601E-3</v>
      </c>
      <c r="X28" s="26">
        <v>1.8432618561411713E-3</v>
      </c>
      <c r="Y28" s="26">
        <v>1.6914012996611207E-3</v>
      </c>
      <c r="Z28" s="26">
        <v>1.4867943248206778E-3</v>
      </c>
      <c r="AA28" s="26">
        <v>1.8694403945212919E-3</v>
      </c>
      <c r="AB28" s="26">
        <v>1.9753642900141657E-3</v>
      </c>
      <c r="AC28" s="26">
        <v>1.77413039763589E-3</v>
      </c>
      <c r="AD28" s="26">
        <v>1.4128213637746568E-3</v>
      </c>
      <c r="AE28" s="26">
        <v>1.3971381221930448E-3</v>
      </c>
      <c r="AF28" s="26">
        <v>1.4684542332205487E-3</v>
      </c>
      <c r="AG28" s="26">
        <v>1.3648994571390692E-3</v>
      </c>
      <c r="AH28" s="26">
        <v>1.4560023890790358E-3</v>
      </c>
      <c r="AI28" s="26">
        <v>1.2065628240030587E-3</v>
      </c>
      <c r="AJ28" s="26">
        <v>1.2029279133259642E-3</v>
      </c>
      <c r="AK28" s="26">
        <v>1.3519652685720692E-3</v>
      </c>
      <c r="AL28" s="26">
        <v>7.9263775932410675E-4</v>
      </c>
      <c r="AM28" s="26">
        <v>1.5664584289402136E-3</v>
      </c>
      <c r="AN28" s="26">
        <v>6.3281443878422129E-4</v>
      </c>
      <c r="AO28" s="26">
        <v>1.8461784607363618E-3</v>
      </c>
      <c r="AP28" s="26">
        <v>1.6278702640769229E-3</v>
      </c>
      <c r="AQ28" s="26">
        <v>1.3496052815599247E-3</v>
      </c>
      <c r="AR28" s="26">
        <v>1.6949717713805805E-3</v>
      </c>
      <c r="AS28" s="26">
        <v>1.4824967476284592E-3</v>
      </c>
      <c r="AT28" s="26">
        <v>1.8992600456520709E-3</v>
      </c>
      <c r="AU28" s="26">
        <v>1.1167796191073804E-3</v>
      </c>
      <c r="AV28" s="26">
        <v>2.5093952696314824E-4</v>
      </c>
    </row>
    <row r="29" spans="1:48" x14ac:dyDescent="0.2">
      <c r="A29" s="26" t="s">
        <v>102</v>
      </c>
      <c r="B29" s="26">
        <v>-1.0466863737863842E-3</v>
      </c>
      <c r="C29" s="26">
        <v>-8.3111127392644391E-5</v>
      </c>
      <c r="D29" s="26">
        <v>-1.3826087390682377E-4</v>
      </c>
      <c r="E29" s="26">
        <v>-2.5482450899409558E-4</v>
      </c>
      <c r="F29" s="26">
        <v>-5.7629721214027413E-4</v>
      </c>
      <c r="G29" s="26">
        <v>-3.7499946820961635E-5</v>
      </c>
      <c r="H29" s="26">
        <v>-1.8564364108841528E-5</v>
      </c>
      <c r="I29" s="26">
        <v>-1.8716855727426559E-5</v>
      </c>
      <c r="J29" s="26">
        <v>-6.769988045725153E-5</v>
      </c>
      <c r="K29" s="26">
        <v>5.6187574966606318E-5</v>
      </c>
      <c r="L29" s="26">
        <v>2.3805995186629197E-5</v>
      </c>
      <c r="M29" s="26">
        <v>4.5112957181961707E-5</v>
      </c>
      <c r="N29" s="26">
        <v>1.1395331624213063E-3</v>
      </c>
      <c r="O29" s="26">
        <v>1.2938056680877586E-3</v>
      </c>
      <c r="P29" s="26">
        <v>1.070452120797268E-3</v>
      </c>
      <c r="Q29" s="26">
        <v>1.2825975992256581E-3</v>
      </c>
      <c r="R29" s="26">
        <v>1.2433579793749031E-3</v>
      </c>
      <c r="S29" s="26">
        <v>1.2580064225131283E-3</v>
      </c>
      <c r="T29" s="26">
        <v>1.2365154829218599E-3</v>
      </c>
      <c r="U29" s="26">
        <v>1.6223385896310864E-3</v>
      </c>
      <c r="V29" s="26">
        <v>1.3517386180411279E-3</v>
      </c>
      <c r="W29" s="26">
        <v>1.2667850559459893E-3</v>
      </c>
      <c r="X29" s="26">
        <v>1.7336482365003911E-3</v>
      </c>
      <c r="Y29" s="26">
        <v>1.5348373287345689E-3</v>
      </c>
      <c r="Z29" s="26">
        <v>1.4622520073567487E-3</v>
      </c>
      <c r="AA29" s="26">
        <v>1.7752957152255427E-3</v>
      </c>
      <c r="AB29" s="26">
        <v>1.77413039763589E-3</v>
      </c>
      <c r="AC29" s="26">
        <v>1.7660044620401156E-3</v>
      </c>
      <c r="AD29" s="26">
        <v>1.3298045853779496E-3</v>
      </c>
      <c r="AE29" s="26">
        <v>1.3023882592082597E-3</v>
      </c>
      <c r="AF29" s="26">
        <v>1.3464167519705087E-3</v>
      </c>
      <c r="AG29" s="26">
        <v>1.2630275413605078E-3</v>
      </c>
      <c r="AH29" s="26">
        <v>1.3378061390758428E-3</v>
      </c>
      <c r="AI29" s="26">
        <v>1.1198547899240587E-3</v>
      </c>
      <c r="AJ29" s="26">
        <v>1.1379834353849475E-3</v>
      </c>
      <c r="AK29" s="26">
        <v>1.2633301711084885E-3</v>
      </c>
      <c r="AL29" s="26">
        <v>8.4738833033798225E-4</v>
      </c>
      <c r="AM29" s="26">
        <v>1.4495322444696053E-3</v>
      </c>
      <c r="AN29" s="26">
        <v>6.6439166661985303E-4</v>
      </c>
      <c r="AO29" s="26">
        <v>1.9239810756118201E-3</v>
      </c>
      <c r="AP29" s="26">
        <v>1.6642211475417191E-3</v>
      </c>
      <c r="AQ29" s="26">
        <v>1.2131145392908517E-3</v>
      </c>
      <c r="AR29" s="26">
        <v>1.6804448635068228E-3</v>
      </c>
      <c r="AS29" s="26">
        <v>1.2961825753815281E-3</v>
      </c>
      <c r="AT29" s="26">
        <v>1.8501885782641018E-3</v>
      </c>
      <c r="AU29" s="26">
        <v>1.0907730234904348E-3</v>
      </c>
      <c r="AV29" s="26">
        <v>2.9726852681801879E-4</v>
      </c>
    </row>
    <row r="30" spans="1:48" x14ac:dyDescent="0.2">
      <c r="A30" s="26" t="s">
        <v>106</v>
      </c>
      <c r="B30" s="26">
        <v>-8.7720588941474296E-4</v>
      </c>
      <c r="C30" s="26">
        <v>-3.0533178417083164E-5</v>
      </c>
      <c r="D30" s="26">
        <v>-9.9354375026182307E-5</v>
      </c>
      <c r="E30" s="26">
        <v>-1.6795982595121611E-4</v>
      </c>
      <c r="F30" s="26">
        <v>-4.7370215785887734E-4</v>
      </c>
      <c r="G30" s="26">
        <v>-9.1634643929305521E-6</v>
      </c>
      <c r="H30" s="26">
        <v>-1.8516332158723377E-6</v>
      </c>
      <c r="I30" s="26">
        <v>-1.2184367555984244E-5</v>
      </c>
      <c r="J30" s="26">
        <v>-2.9955404733425059E-5</v>
      </c>
      <c r="K30" s="26">
        <v>1.029133911248276E-4</v>
      </c>
      <c r="L30" s="26">
        <v>1.0510599965089086E-4</v>
      </c>
      <c r="M30" s="26">
        <v>6.3096270571435706E-5</v>
      </c>
      <c r="N30" s="26">
        <v>1.0131609300149374E-3</v>
      </c>
      <c r="O30" s="26">
        <v>1.2340386381814736E-3</v>
      </c>
      <c r="P30" s="26">
        <v>9.4168195657893194E-4</v>
      </c>
      <c r="Q30" s="26">
        <v>1.1522428458918192E-3</v>
      </c>
      <c r="R30" s="26">
        <v>1.1308109562835533E-3</v>
      </c>
      <c r="S30" s="26">
        <v>1.2059874108021826E-3</v>
      </c>
      <c r="T30" s="26">
        <v>1.0702755959375624E-3</v>
      </c>
      <c r="U30" s="26">
        <v>1.5024269900614717E-3</v>
      </c>
      <c r="V30" s="26">
        <v>1.1813359898046379E-3</v>
      </c>
      <c r="W30" s="26">
        <v>1.0900894106659204E-3</v>
      </c>
      <c r="X30" s="26">
        <v>1.3668511902273051E-3</v>
      </c>
      <c r="Y30" s="26">
        <v>1.3268827489301349E-3</v>
      </c>
      <c r="Z30" s="26">
        <v>1.2189813163271989E-3</v>
      </c>
      <c r="AA30" s="26">
        <v>1.3663999545757398E-3</v>
      </c>
      <c r="AB30" s="26">
        <v>1.4128213637746568E-3</v>
      </c>
      <c r="AC30" s="26">
        <v>1.3298045853779496E-3</v>
      </c>
      <c r="AD30" s="26">
        <v>1.3151745303125115E-3</v>
      </c>
      <c r="AE30" s="26">
        <v>1.4414940522246129E-3</v>
      </c>
      <c r="AF30" s="26">
        <v>1.4140236220064194E-3</v>
      </c>
      <c r="AG30" s="26">
        <v>1.3920625770876425E-3</v>
      </c>
      <c r="AH30" s="26">
        <v>1.5051284301855392E-3</v>
      </c>
      <c r="AI30" s="26">
        <v>1.2369581551912793E-3</v>
      </c>
      <c r="AJ30" s="26">
        <v>1.3073434679248305E-3</v>
      </c>
      <c r="AK30" s="26">
        <v>1.3964999741966871E-3</v>
      </c>
      <c r="AL30" s="26">
        <v>7.6783436612413395E-4</v>
      </c>
      <c r="AM30" s="26">
        <v>1.2738588864812108E-3</v>
      </c>
      <c r="AN30" s="26">
        <v>6.4516264656123664E-4</v>
      </c>
      <c r="AO30" s="26">
        <v>1.5755765776563108E-3</v>
      </c>
      <c r="AP30" s="26">
        <v>1.3141589045209622E-3</v>
      </c>
      <c r="AQ30" s="26">
        <v>1.0340975682640544E-3</v>
      </c>
      <c r="AR30" s="26">
        <v>1.3614402965873979E-3</v>
      </c>
      <c r="AS30" s="26">
        <v>1.27559131032929E-3</v>
      </c>
      <c r="AT30" s="26">
        <v>1.6181944943700211E-3</v>
      </c>
      <c r="AU30" s="26">
        <v>9.1282662584700209E-4</v>
      </c>
      <c r="AV30" s="26">
        <v>2.787675955265336E-4</v>
      </c>
    </row>
    <row r="31" spans="1:48" x14ac:dyDescent="0.2">
      <c r="A31" s="26" t="s">
        <v>108</v>
      </c>
      <c r="B31" s="26">
        <v>-9.2407446630009575E-4</v>
      </c>
      <c r="C31" s="26">
        <v>1.4251283955611658E-6</v>
      </c>
      <c r="D31" s="26">
        <v>-8.5230450682041934E-5</v>
      </c>
      <c r="E31" s="26">
        <v>-1.3691235746344173E-4</v>
      </c>
      <c r="F31" s="26">
        <v>-4.7929803785831833E-4</v>
      </c>
      <c r="G31" s="26">
        <v>7.9536884674896744E-6</v>
      </c>
      <c r="H31" s="26">
        <v>1.1724084896404829E-5</v>
      </c>
      <c r="I31" s="26">
        <v>-7.9090656637263975E-6</v>
      </c>
      <c r="J31" s="26">
        <v>-7.9499272365064952E-6</v>
      </c>
      <c r="K31" s="26">
        <v>1.5292567951390518E-4</v>
      </c>
      <c r="L31" s="26">
        <v>1.7218221741034423E-4</v>
      </c>
      <c r="M31" s="26">
        <v>8.452436894073104E-5</v>
      </c>
      <c r="N31" s="26">
        <v>9.9858880754240113E-4</v>
      </c>
      <c r="O31" s="26">
        <v>1.2565296324174901E-3</v>
      </c>
      <c r="P31" s="26">
        <v>9.2548473194062634E-4</v>
      </c>
      <c r="Q31" s="26">
        <v>1.1526966639169777E-3</v>
      </c>
      <c r="R31" s="26">
        <v>1.1275916817178875E-3</v>
      </c>
      <c r="S31" s="26">
        <v>1.2223131728528198E-3</v>
      </c>
      <c r="T31" s="26">
        <v>1.0533417394607467E-3</v>
      </c>
      <c r="U31" s="26">
        <v>1.4985522640425391E-3</v>
      </c>
      <c r="V31" s="26">
        <v>1.1774868510998112E-3</v>
      </c>
      <c r="W31" s="26">
        <v>1.076796633505542E-3</v>
      </c>
      <c r="X31" s="26">
        <v>1.3556141640303934E-3</v>
      </c>
      <c r="Y31" s="26">
        <v>1.3496397238722299E-3</v>
      </c>
      <c r="Z31" s="26">
        <v>1.2253955332085218E-3</v>
      </c>
      <c r="AA31" s="26">
        <v>1.3433451966505705E-3</v>
      </c>
      <c r="AB31" s="26">
        <v>1.3971381221930448E-3</v>
      </c>
      <c r="AC31" s="26">
        <v>1.3023882592082597E-3</v>
      </c>
      <c r="AD31" s="26">
        <v>1.4414940522246129E-3</v>
      </c>
      <c r="AE31" s="26">
        <v>1.7088277620542795E-3</v>
      </c>
      <c r="AF31" s="26">
        <v>1.657185979773168E-3</v>
      </c>
      <c r="AG31" s="26">
        <v>1.6345226947513316E-3</v>
      </c>
      <c r="AH31" s="26">
        <v>1.7791798895137776E-3</v>
      </c>
      <c r="AI31" s="26">
        <v>1.4595136672706339E-3</v>
      </c>
      <c r="AJ31" s="26">
        <v>1.6107354596604996E-3</v>
      </c>
      <c r="AK31" s="26">
        <v>1.6556341406536162E-3</v>
      </c>
      <c r="AL31" s="26">
        <v>7.8291670787365047E-4</v>
      </c>
      <c r="AM31" s="26">
        <v>1.2677309585862357E-3</v>
      </c>
      <c r="AN31" s="26">
        <v>6.1205267084173402E-4</v>
      </c>
      <c r="AO31" s="26">
        <v>1.6822831298122748E-3</v>
      </c>
      <c r="AP31" s="26">
        <v>1.2798388466717424E-3</v>
      </c>
      <c r="AQ31" s="26">
        <v>9.8363726062012324E-4</v>
      </c>
      <c r="AR31" s="26">
        <v>1.3524755180154664E-3</v>
      </c>
      <c r="AS31" s="26">
        <v>1.2767506160993231E-3</v>
      </c>
      <c r="AT31" s="26">
        <v>1.7119515860269606E-3</v>
      </c>
      <c r="AU31" s="26">
        <v>9.441591116406097E-4</v>
      </c>
      <c r="AV31" s="26">
        <v>2.7593825704323857E-4</v>
      </c>
    </row>
    <row r="32" spans="1:48" x14ac:dyDescent="0.2">
      <c r="A32" s="26" t="s">
        <v>109</v>
      </c>
      <c r="B32" s="26">
        <v>-9.6154532963813575E-4</v>
      </c>
      <c r="C32" s="26">
        <v>1.2512237065986004E-5</v>
      </c>
      <c r="D32" s="26">
        <v>-7.487103138298842E-5</v>
      </c>
      <c r="E32" s="26">
        <v>-1.4625655154304555E-4</v>
      </c>
      <c r="F32" s="26">
        <v>-4.8387140387048336E-4</v>
      </c>
      <c r="G32" s="26">
        <v>1.4052875494644304E-5</v>
      </c>
      <c r="H32" s="26">
        <v>1.5617475373864401E-5</v>
      </c>
      <c r="I32" s="26">
        <v>-8.0776899223336296E-6</v>
      </c>
      <c r="J32" s="26">
        <v>-2.9964180303868613E-6</v>
      </c>
      <c r="K32" s="26">
        <v>1.6019660025251635E-4</v>
      </c>
      <c r="L32" s="26">
        <v>1.3909033456430695E-4</v>
      </c>
      <c r="M32" s="26">
        <v>8.594632220187276E-5</v>
      </c>
      <c r="N32" s="26">
        <v>9.5631661505606047E-4</v>
      </c>
      <c r="O32" s="26">
        <v>1.2502840335406689E-3</v>
      </c>
      <c r="P32" s="26">
        <v>8.6665427648365922E-4</v>
      </c>
      <c r="Q32" s="26">
        <v>1.1277966966909863E-3</v>
      </c>
      <c r="R32" s="26">
        <v>1.0933222046255494E-3</v>
      </c>
      <c r="S32" s="26">
        <v>1.201682500621321E-3</v>
      </c>
      <c r="T32" s="26">
        <v>1.0051859248021565E-3</v>
      </c>
      <c r="U32" s="26">
        <v>1.493065019993738E-3</v>
      </c>
      <c r="V32" s="26">
        <v>1.1650409241943948E-3</v>
      </c>
      <c r="W32" s="26">
        <v>1.0340819390411778E-3</v>
      </c>
      <c r="X32" s="26">
        <v>1.417765036300662E-3</v>
      </c>
      <c r="Y32" s="26">
        <v>1.3952903598242667E-3</v>
      </c>
      <c r="Z32" s="26">
        <v>1.2304613626307106E-3</v>
      </c>
      <c r="AA32" s="26">
        <v>1.3978446233158474E-3</v>
      </c>
      <c r="AB32" s="26">
        <v>1.4684542332205487E-3</v>
      </c>
      <c r="AC32" s="26">
        <v>1.3464167519705087E-3</v>
      </c>
      <c r="AD32" s="26">
        <v>1.4140236220064194E-3</v>
      </c>
      <c r="AE32" s="26">
        <v>1.657185979773168E-3</v>
      </c>
      <c r="AF32" s="26">
        <v>1.7511576702023651E-3</v>
      </c>
      <c r="AG32" s="26">
        <v>1.5770627656904893E-3</v>
      </c>
      <c r="AH32" s="26">
        <v>1.7085330093775512E-3</v>
      </c>
      <c r="AI32" s="26">
        <v>1.4093197234743382E-3</v>
      </c>
      <c r="AJ32" s="26">
        <v>1.5937915151923358E-3</v>
      </c>
      <c r="AK32" s="26">
        <v>1.6228946060342095E-3</v>
      </c>
      <c r="AL32" s="26">
        <v>7.4677718896788497E-4</v>
      </c>
      <c r="AM32" s="26">
        <v>1.2598116523410716E-3</v>
      </c>
      <c r="AN32" s="26">
        <v>5.2553916809613087E-4</v>
      </c>
      <c r="AO32" s="26">
        <v>1.709755497427576E-3</v>
      </c>
      <c r="AP32" s="26">
        <v>1.250285145455818E-3</v>
      </c>
      <c r="AQ32" s="26">
        <v>9.8810988436694993E-4</v>
      </c>
      <c r="AR32" s="26">
        <v>1.3541057822918955E-3</v>
      </c>
      <c r="AS32" s="26">
        <v>1.2671484965374694E-3</v>
      </c>
      <c r="AT32" s="26">
        <v>1.7691042844910933E-3</v>
      </c>
      <c r="AU32" s="26">
        <v>9.0151467933507904E-4</v>
      </c>
      <c r="AV32" s="26">
        <v>2.1263951530951344E-4</v>
      </c>
    </row>
    <row r="33" spans="1:48" x14ac:dyDescent="0.2">
      <c r="A33" s="26" t="s">
        <v>110</v>
      </c>
      <c r="B33" s="26">
        <v>-8.8525280209717861E-4</v>
      </c>
      <c r="C33" s="26">
        <v>-1.0050769682841791E-5</v>
      </c>
      <c r="D33" s="26">
        <v>-8.9304403797138925E-5</v>
      </c>
      <c r="E33" s="26">
        <v>-1.4808299698027498E-4</v>
      </c>
      <c r="F33" s="26">
        <v>-4.702197121947291E-4</v>
      </c>
      <c r="G33" s="26">
        <v>5.5468700871805728E-6</v>
      </c>
      <c r="H33" s="26">
        <v>7.438928821990906E-6</v>
      </c>
      <c r="I33" s="26">
        <v>-9.191672065470328E-6</v>
      </c>
      <c r="J33" s="26">
        <v>-1.4735340939537785E-5</v>
      </c>
      <c r="K33" s="26">
        <v>1.3129548227729549E-4</v>
      </c>
      <c r="L33" s="26">
        <v>1.4638259557755144E-4</v>
      </c>
      <c r="M33" s="26">
        <v>7.6720728056547854E-5</v>
      </c>
      <c r="N33" s="26">
        <v>9.7500829533811461E-4</v>
      </c>
      <c r="O33" s="26">
        <v>1.2302298299138226E-3</v>
      </c>
      <c r="P33" s="26">
        <v>9.0556865562764456E-4</v>
      </c>
      <c r="Q33" s="26">
        <v>1.1266599452336595E-3</v>
      </c>
      <c r="R33" s="26">
        <v>1.1042874182894305E-3</v>
      </c>
      <c r="S33" s="26">
        <v>1.2009042694730108E-3</v>
      </c>
      <c r="T33" s="26">
        <v>1.0261899861095129E-3</v>
      </c>
      <c r="U33" s="26">
        <v>1.4536879999686408E-3</v>
      </c>
      <c r="V33" s="26">
        <v>1.151053327620694E-3</v>
      </c>
      <c r="W33" s="26">
        <v>1.0489099838403005E-3</v>
      </c>
      <c r="X33" s="26">
        <v>1.3225514257760266E-3</v>
      </c>
      <c r="Y33" s="26">
        <v>1.3058071006135359E-3</v>
      </c>
      <c r="Z33" s="26">
        <v>1.1932239168828461E-3</v>
      </c>
      <c r="AA33" s="26">
        <v>1.3085239636698104E-3</v>
      </c>
      <c r="AB33" s="26">
        <v>1.3648994571390692E-3</v>
      </c>
      <c r="AC33" s="26">
        <v>1.2630275413605078E-3</v>
      </c>
      <c r="AD33" s="26">
        <v>1.3920625770876425E-3</v>
      </c>
      <c r="AE33" s="26">
        <v>1.6345226947513316E-3</v>
      </c>
      <c r="AF33" s="26">
        <v>1.5770627656904893E-3</v>
      </c>
      <c r="AG33" s="26">
        <v>1.6110362008481269E-3</v>
      </c>
      <c r="AH33" s="26">
        <v>1.7600924034699708E-3</v>
      </c>
      <c r="AI33" s="26">
        <v>1.4288326824941314E-3</v>
      </c>
      <c r="AJ33" s="26">
        <v>1.5040628016538052E-3</v>
      </c>
      <c r="AK33" s="26">
        <v>1.5829329396925254E-3</v>
      </c>
      <c r="AL33" s="26">
        <v>7.5009374183801123E-4</v>
      </c>
      <c r="AM33" s="26">
        <v>1.2554423216674642E-3</v>
      </c>
      <c r="AN33" s="26">
        <v>6.1064442876040265E-4</v>
      </c>
      <c r="AO33" s="26">
        <v>1.6023108119815796E-3</v>
      </c>
      <c r="AP33" s="26">
        <v>1.2486995547197346E-3</v>
      </c>
      <c r="AQ33" s="26">
        <v>9.9633167562891874E-4</v>
      </c>
      <c r="AR33" s="26">
        <v>1.299742393026986E-3</v>
      </c>
      <c r="AS33" s="26">
        <v>1.2522034133680198E-3</v>
      </c>
      <c r="AT33" s="26">
        <v>1.6082432821562468E-3</v>
      </c>
      <c r="AU33" s="26">
        <v>9.2161722318003631E-4</v>
      </c>
      <c r="AV33" s="26">
        <v>2.6888465834030729E-4</v>
      </c>
    </row>
    <row r="34" spans="1:48" x14ac:dyDescent="0.2">
      <c r="A34" s="26" t="s">
        <v>111</v>
      </c>
      <c r="B34" s="26">
        <v>-1.0214768365307688E-3</v>
      </c>
      <c r="C34" s="26">
        <v>-2.5249989344604747E-5</v>
      </c>
      <c r="D34" s="26">
        <v>-1.0537588109910028E-4</v>
      </c>
      <c r="E34" s="26">
        <v>-1.9019098797708696E-4</v>
      </c>
      <c r="F34" s="26">
        <v>-5.4641869079412688E-4</v>
      </c>
      <c r="G34" s="26">
        <v>2.5428827470210873E-6</v>
      </c>
      <c r="H34" s="26">
        <v>6.5559976368918366E-6</v>
      </c>
      <c r="I34" s="26">
        <v>-9.3890110638982643E-6</v>
      </c>
      <c r="J34" s="26">
        <v>-2.4698229322720579E-5</v>
      </c>
      <c r="K34" s="26">
        <v>1.3436293836193314E-4</v>
      </c>
      <c r="L34" s="26">
        <v>1.4306182974653875E-4</v>
      </c>
      <c r="M34" s="26">
        <v>8.3759460146397651E-5</v>
      </c>
      <c r="N34" s="26">
        <v>1.0480209727694032E-3</v>
      </c>
      <c r="O34" s="26">
        <v>1.3215460179338732E-3</v>
      </c>
      <c r="P34" s="26">
        <v>9.6440919460303969E-4</v>
      </c>
      <c r="Q34" s="26">
        <v>1.2093653225588436E-3</v>
      </c>
      <c r="R34" s="26">
        <v>1.1874486452523845E-3</v>
      </c>
      <c r="S34" s="26">
        <v>1.2880847106632148E-3</v>
      </c>
      <c r="T34" s="26">
        <v>1.1065348355594378E-3</v>
      </c>
      <c r="U34" s="26">
        <v>1.6462451237811129E-3</v>
      </c>
      <c r="V34" s="26">
        <v>1.2338259154769105E-3</v>
      </c>
      <c r="W34" s="26">
        <v>1.1295114950696068E-3</v>
      </c>
      <c r="X34" s="26">
        <v>1.4022680258600475E-3</v>
      </c>
      <c r="Y34" s="26">
        <v>1.3920146646974243E-3</v>
      </c>
      <c r="Z34" s="26">
        <v>1.281179633520708E-3</v>
      </c>
      <c r="AA34" s="26">
        <v>1.3888842667993573E-3</v>
      </c>
      <c r="AB34" s="26">
        <v>1.4560023890790358E-3</v>
      </c>
      <c r="AC34" s="26">
        <v>1.3378061390758428E-3</v>
      </c>
      <c r="AD34" s="26">
        <v>1.5051284301855392E-3</v>
      </c>
      <c r="AE34" s="26">
        <v>1.7791798895137776E-3</v>
      </c>
      <c r="AF34" s="26">
        <v>1.7085330093775512E-3</v>
      </c>
      <c r="AG34" s="26">
        <v>1.7600924034699708E-3</v>
      </c>
      <c r="AH34" s="26">
        <v>2.0359605247043657E-3</v>
      </c>
      <c r="AI34" s="26">
        <v>1.3987566905587507E-3</v>
      </c>
      <c r="AJ34" s="26">
        <v>1.5597809865673866E-3</v>
      </c>
      <c r="AK34" s="26">
        <v>1.7191717533470965E-3</v>
      </c>
      <c r="AL34" s="26">
        <v>7.7109403485383266E-4</v>
      </c>
      <c r="AM34" s="26">
        <v>1.3430534876251001E-3</v>
      </c>
      <c r="AN34" s="26">
        <v>6.646964353739449E-4</v>
      </c>
      <c r="AO34" s="26">
        <v>1.7068760394294855E-3</v>
      </c>
      <c r="AP34" s="26">
        <v>1.3320016831605932E-3</v>
      </c>
      <c r="AQ34" s="26">
        <v>1.0546157678317319E-3</v>
      </c>
      <c r="AR34" s="26">
        <v>1.4105789161759173E-3</v>
      </c>
      <c r="AS34" s="26">
        <v>1.3427299221943397E-3</v>
      </c>
      <c r="AT34" s="26">
        <v>1.7335174846135604E-3</v>
      </c>
      <c r="AU34" s="26">
        <v>9.3096945836516995E-4</v>
      </c>
      <c r="AV34" s="26">
        <v>2.6394830962835986E-4</v>
      </c>
    </row>
    <row r="35" spans="1:48" x14ac:dyDescent="0.2">
      <c r="A35" s="26" t="s">
        <v>112</v>
      </c>
      <c r="B35" s="26">
        <v>-6.6398699259550946E-4</v>
      </c>
      <c r="C35" s="26">
        <v>1.4602662759740686E-5</v>
      </c>
      <c r="D35" s="26">
        <v>-6.4908003925305538E-5</v>
      </c>
      <c r="E35" s="26">
        <v>-8.5835796279613977E-5</v>
      </c>
      <c r="F35" s="26">
        <v>-3.5002965653333022E-4</v>
      </c>
      <c r="G35" s="26">
        <v>1.0252206759682801E-5</v>
      </c>
      <c r="H35" s="26">
        <v>1.0584522295218092E-5</v>
      </c>
      <c r="I35" s="26">
        <v>-9.1361804995284151E-6</v>
      </c>
      <c r="J35" s="26">
        <v>5.1601349001153345E-7</v>
      </c>
      <c r="K35" s="26">
        <v>1.2049111952272998E-4</v>
      </c>
      <c r="L35" s="26">
        <v>1.4329030071600778E-4</v>
      </c>
      <c r="M35" s="26">
        <v>6.3449185608335513E-5</v>
      </c>
      <c r="N35" s="26">
        <v>8.5234171160446183E-4</v>
      </c>
      <c r="O35" s="26">
        <v>1.0961756527047793E-3</v>
      </c>
      <c r="P35" s="26">
        <v>7.9833935159259913E-4</v>
      </c>
      <c r="Q35" s="26">
        <v>9.9145524080251576E-4</v>
      </c>
      <c r="R35" s="26">
        <v>9.7022278981111069E-4</v>
      </c>
      <c r="S35" s="26">
        <v>1.0744836191505535E-3</v>
      </c>
      <c r="T35" s="26">
        <v>8.8328791567547475E-4</v>
      </c>
      <c r="U35" s="26">
        <v>1.1352771165522321E-3</v>
      </c>
      <c r="V35" s="26">
        <v>1.0131527632669371E-3</v>
      </c>
      <c r="W35" s="26">
        <v>9.0531331787660051E-4</v>
      </c>
      <c r="X35" s="26">
        <v>1.1778262371078113E-3</v>
      </c>
      <c r="Y35" s="26">
        <v>1.1696777295342475E-3</v>
      </c>
      <c r="Z35" s="26">
        <v>1.0468671572126044E-3</v>
      </c>
      <c r="AA35" s="26">
        <v>1.1603864670297098E-3</v>
      </c>
      <c r="AB35" s="26">
        <v>1.2065628240030587E-3</v>
      </c>
      <c r="AC35" s="26">
        <v>1.1198547899240587E-3</v>
      </c>
      <c r="AD35" s="26">
        <v>1.2369581551912793E-3</v>
      </c>
      <c r="AE35" s="26">
        <v>1.4595136672706339E-3</v>
      </c>
      <c r="AF35" s="26">
        <v>1.4093197234743382E-3</v>
      </c>
      <c r="AG35" s="26">
        <v>1.4288326824941314E-3</v>
      </c>
      <c r="AH35" s="26">
        <v>1.3987566905587507E-3</v>
      </c>
      <c r="AI35" s="26">
        <v>1.5408600177162109E-3</v>
      </c>
      <c r="AJ35" s="26">
        <v>1.4718601525037401E-3</v>
      </c>
      <c r="AK35" s="26">
        <v>1.4217692668762115E-3</v>
      </c>
      <c r="AL35" s="26">
        <v>6.8475666284385068E-4</v>
      </c>
      <c r="AM35" s="26">
        <v>1.113826034618895E-3</v>
      </c>
      <c r="AN35" s="26">
        <v>5.2392120071193459E-4</v>
      </c>
      <c r="AO35" s="26">
        <v>1.3848280558583143E-3</v>
      </c>
      <c r="AP35" s="26">
        <v>1.0917762132950095E-3</v>
      </c>
      <c r="AQ35" s="26">
        <v>9.1228807959579884E-4</v>
      </c>
      <c r="AR35" s="26">
        <v>1.1116029567748225E-3</v>
      </c>
      <c r="AS35" s="26">
        <v>1.1365102278232168E-3</v>
      </c>
      <c r="AT35" s="26">
        <v>1.3982126638080756E-3</v>
      </c>
      <c r="AU35" s="26">
        <v>8.7292690115673343E-4</v>
      </c>
      <c r="AV35" s="26">
        <v>2.8170293858264216E-4</v>
      </c>
    </row>
    <row r="36" spans="1:48" x14ac:dyDescent="0.2">
      <c r="A36" s="26" t="s">
        <v>113</v>
      </c>
      <c r="B36" s="26">
        <v>-4.273359168958439E-4</v>
      </c>
      <c r="C36" s="26">
        <v>1.3976370097227108E-4</v>
      </c>
      <c r="D36" s="26">
        <v>2.5968441361811488E-5</v>
      </c>
      <c r="E36" s="26">
        <v>1.0455835390042724E-4</v>
      </c>
      <c r="F36" s="26">
        <v>-1.7082450660949855E-4</v>
      </c>
      <c r="G36" s="26">
        <v>6.7889452449233339E-5</v>
      </c>
      <c r="H36" s="26">
        <v>5.1844587557959338E-5</v>
      </c>
      <c r="I36" s="26">
        <v>9.8683343462163008E-6</v>
      </c>
      <c r="J36" s="26">
        <v>8.4181282183047964E-5</v>
      </c>
      <c r="K36" s="26">
        <v>2.6687146093402002E-4</v>
      </c>
      <c r="L36" s="26">
        <v>3.4549122275787916E-4</v>
      </c>
      <c r="M36" s="26">
        <v>1.1760025261359988E-4</v>
      </c>
      <c r="N36" s="26">
        <v>8.7184452713780594E-4</v>
      </c>
      <c r="O36" s="26">
        <v>1.1029008818892905E-3</v>
      </c>
      <c r="P36" s="26">
        <v>8.1156835198012932E-4</v>
      </c>
      <c r="Q36" s="26">
        <v>9.897934698737277E-4</v>
      </c>
      <c r="R36" s="26">
        <v>9.5849038682477045E-4</v>
      </c>
      <c r="S36" s="26">
        <v>1.0658145700735689E-3</v>
      </c>
      <c r="T36" s="26">
        <v>8.7618025323648067E-4</v>
      </c>
      <c r="U36" s="26">
        <v>1.1720201650576745E-3</v>
      </c>
      <c r="V36" s="26">
        <v>1.0099663896034243E-3</v>
      </c>
      <c r="W36" s="26">
        <v>9.0055889909163446E-4</v>
      </c>
      <c r="X36" s="26">
        <v>1.183898298428909E-3</v>
      </c>
      <c r="Y36" s="26">
        <v>1.2175810956650312E-3</v>
      </c>
      <c r="Z36" s="26">
        <v>1.0878646218209929E-3</v>
      </c>
      <c r="AA36" s="26">
        <v>1.1671458779949754E-3</v>
      </c>
      <c r="AB36" s="26">
        <v>1.2029279133259642E-3</v>
      </c>
      <c r="AC36" s="26">
        <v>1.1379834353849475E-3</v>
      </c>
      <c r="AD36" s="26">
        <v>1.3073434679248305E-3</v>
      </c>
      <c r="AE36" s="26">
        <v>1.6107354596604996E-3</v>
      </c>
      <c r="AF36" s="26">
        <v>1.5937915151923358E-3</v>
      </c>
      <c r="AG36" s="26">
        <v>1.5040628016538052E-3</v>
      </c>
      <c r="AH36" s="26">
        <v>1.5597809865673866E-3</v>
      </c>
      <c r="AI36" s="26">
        <v>1.4718601525037401E-3</v>
      </c>
      <c r="AJ36" s="26">
        <v>1.9118521978558213E-3</v>
      </c>
      <c r="AK36" s="26">
        <v>1.5703312183543909E-3</v>
      </c>
      <c r="AL36" s="26">
        <v>8.1539055367195945E-4</v>
      </c>
      <c r="AM36" s="26">
        <v>1.1019287219903007E-3</v>
      </c>
      <c r="AN36" s="26">
        <v>6.3166953356494858E-4</v>
      </c>
      <c r="AO36" s="26">
        <v>1.436537218072783E-3</v>
      </c>
      <c r="AP36" s="26">
        <v>1.0467523556746392E-3</v>
      </c>
      <c r="AQ36" s="26">
        <v>8.776104273501915E-4</v>
      </c>
      <c r="AR36" s="26">
        <v>1.1324956555973232E-3</v>
      </c>
      <c r="AS36" s="26">
        <v>1.0264411756299675E-3</v>
      </c>
      <c r="AT36" s="26">
        <v>1.5045168283677982E-3</v>
      </c>
      <c r="AU36" s="26">
        <v>1.2012078845148359E-3</v>
      </c>
      <c r="AV36" s="26">
        <v>4.7011435470128038E-4</v>
      </c>
    </row>
    <row r="37" spans="1:48" x14ac:dyDescent="0.2">
      <c r="A37" s="26" t="s">
        <v>116</v>
      </c>
      <c r="B37" s="26">
        <v>-8.9095984057892849E-4</v>
      </c>
      <c r="C37" s="26">
        <v>6.5322836981274514E-6</v>
      </c>
      <c r="D37" s="26">
        <v>-7.7009046110028455E-5</v>
      </c>
      <c r="E37" s="26">
        <v>-1.2876256387290874E-4</v>
      </c>
      <c r="F37" s="26">
        <v>-4.5880493676293078E-4</v>
      </c>
      <c r="G37" s="26">
        <v>9.3490691788351455E-6</v>
      </c>
      <c r="H37" s="26">
        <v>1.3622736776571865E-5</v>
      </c>
      <c r="I37" s="26">
        <v>-7.0747447243037141E-6</v>
      </c>
      <c r="J37" s="26">
        <v>-4.8073226162863967E-6</v>
      </c>
      <c r="K37" s="26">
        <v>1.501181426158718E-4</v>
      </c>
      <c r="L37" s="26">
        <v>1.6367196546207091E-4</v>
      </c>
      <c r="M37" s="26">
        <v>8.1943560559173892E-5</v>
      </c>
      <c r="N37" s="26">
        <v>9.625002461423549E-4</v>
      </c>
      <c r="O37" s="26">
        <v>1.2222245917282251E-3</v>
      </c>
      <c r="P37" s="26">
        <v>8.8926983641466489E-4</v>
      </c>
      <c r="Q37" s="26">
        <v>1.1135795340203394E-3</v>
      </c>
      <c r="R37" s="26">
        <v>1.0888980492626231E-3</v>
      </c>
      <c r="S37" s="26">
        <v>1.1882892912619457E-3</v>
      </c>
      <c r="T37" s="26">
        <v>1.0095341089151227E-3</v>
      </c>
      <c r="U37" s="26">
        <v>1.4982232010213501E-3</v>
      </c>
      <c r="V37" s="26">
        <v>1.1382211480436548E-3</v>
      </c>
      <c r="W37" s="26">
        <v>1.0333825300876055E-3</v>
      </c>
      <c r="X37" s="26">
        <v>1.3160111461568542E-3</v>
      </c>
      <c r="Y37" s="26">
        <v>1.3086295284017758E-3</v>
      </c>
      <c r="Z37" s="26">
        <v>1.1857082931572196E-3</v>
      </c>
      <c r="AA37" s="26">
        <v>1.3005209249363928E-3</v>
      </c>
      <c r="AB37" s="26">
        <v>1.3519652685720692E-3</v>
      </c>
      <c r="AC37" s="26">
        <v>1.2633301711084885E-3</v>
      </c>
      <c r="AD37" s="26">
        <v>1.3964999741966871E-3</v>
      </c>
      <c r="AE37" s="26">
        <v>1.6556341406536162E-3</v>
      </c>
      <c r="AF37" s="26">
        <v>1.6228946060342095E-3</v>
      </c>
      <c r="AG37" s="26">
        <v>1.5829329396925254E-3</v>
      </c>
      <c r="AH37" s="26">
        <v>1.7191717533470965E-3</v>
      </c>
      <c r="AI37" s="26">
        <v>1.4217692668762115E-3</v>
      </c>
      <c r="AJ37" s="26">
        <v>1.5703312183543909E-3</v>
      </c>
      <c r="AK37" s="26">
        <v>1.6171388122882338E-3</v>
      </c>
      <c r="AL37" s="26">
        <v>7.5206118164351202E-4</v>
      </c>
      <c r="AM37" s="26">
        <v>1.2238392038212724E-3</v>
      </c>
      <c r="AN37" s="26">
        <v>5.8468386859589357E-4</v>
      </c>
      <c r="AO37" s="26">
        <v>1.6148383079240109E-3</v>
      </c>
      <c r="AP37" s="26">
        <v>1.2353224432887077E-3</v>
      </c>
      <c r="AQ37" s="26">
        <v>9.6008089213825963E-4</v>
      </c>
      <c r="AR37" s="26">
        <v>1.310736155613369E-3</v>
      </c>
      <c r="AS37" s="26">
        <v>1.2401272343580932E-3</v>
      </c>
      <c r="AT37" s="26">
        <v>1.6684346721177914E-3</v>
      </c>
      <c r="AU37" s="26">
        <v>9.0597821982598868E-4</v>
      </c>
      <c r="AV37" s="26">
        <v>2.6185533083948826E-4</v>
      </c>
    </row>
    <row r="38" spans="1:48" x14ac:dyDescent="0.2">
      <c r="A38" s="26" t="s">
        <v>117</v>
      </c>
      <c r="B38" s="26">
        <v>-3.1639903714890643E-4</v>
      </c>
      <c r="C38" s="26">
        <v>1.782349994434469E-5</v>
      </c>
      <c r="D38" s="26">
        <v>-3.2350966371226673E-5</v>
      </c>
      <c r="E38" s="26">
        <v>-2.2815008446680568E-5</v>
      </c>
      <c r="F38" s="26">
        <v>-1.7405292765011011E-4</v>
      </c>
      <c r="G38" s="26">
        <v>8.0252191743346874E-6</v>
      </c>
      <c r="H38" s="26">
        <v>6.7732238078142217E-6</v>
      </c>
      <c r="I38" s="26">
        <v>3.5805675159760412E-6</v>
      </c>
      <c r="J38" s="26">
        <v>9.664668140821694E-6</v>
      </c>
      <c r="K38" s="26">
        <v>7.9751898172262289E-5</v>
      </c>
      <c r="L38" s="26">
        <v>1.0481036910443993E-4</v>
      </c>
      <c r="M38" s="26">
        <v>4.25417781884147E-5</v>
      </c>
      <c r="N38" s="26">
        <v>6.8495680484335572E-4</v>
      </c>
      <c r="O38" s="26">
        <v>7.3100040404184229E-4</v>
      </c>
      <c r="P38" s="26">
        <v>7.2821624613102871E-4</v>
      </c>
      <c r="Q38" s="26">
        <v>7.2984393886581581E-4</v>
      </c>
      <c r="R38" s="26">
        <v>7.269566908717763E-4</v>
      </c>
      <c r="S38" s="26">
        <v>7.1285036609385836E-4</v>
      </c>
      <c r="T38" s="26">
        <v>7.4171268308704434E-4</v>
      </c>
      <c r="U38" s="26">
        <v>1.4892499128003796E-3</v>
      </c>
      <c r="V38" s="26">
        <v>7.4183645252989653E-4</v>
      </c>
      <c r="W38" s="26">
        <v>7.4394936746390624E-4</v>
      </c>
      <c r="X38" s="26">
        <v>8.0141220569261284E-4</v>
      </c>
      <c r="Y38" s="26">
        <v>7.5048193410200137E-4</v>
      </c>
      <c r="Z38" s="26">
        <v>7.9008336813647163E-4</v>
      </c>
      <c r="AA38" s="26">
        <v>8.2232848415356369E-4</v>
      </c>
      <c r="AB38" s="26">
        <v>7.9263775932410675E-4</v>
      </c>
      <c r="AC38" s="26">
        <v>8.4738833033798225E-4</v>
      </c>
      <c r="AD38" s="26">
        <v>7.6783436612413395E-4</v>
      </c>
      <c r="AE38" s="26">
        <v>7.8291670787365047E-4</v>
      </c>
      <c r="AF38" s="26">
        <v>7.4677718896788497E-4</v>
      </c>
      <c r="AG38" s="26">
        <v>7.5009374183801123E-4</v>
      </c>
      <c r="AH38" s="26">
        <v>7.7109403485383266E-4</v>
      </c>
      <c r="AI38" s="26">
        <v>6.8475666284385068E-4</v>
      </c>
      <c r="AJ38" s="26">
        <v>8.1539055367195945E-4</v>
      </c>
      <c r="AK38" s="26">
        <v>7.5206118164351202E-4</v>
      </c>
      <c r="AL38" s="26">
        <v>1.2879087712518123E-3</v>
      </c>
      <c r="AM38" s="26">
        <v>8.0180875091687349E-4</v>
      </c>
      <c r="AN38" s="26">
        <v>6.9521891443724418E-4</v>
      </c>
      <c r="AO38" s="26">
        <v>1.12448053675073E-3</v>
      </c>
      <c r="AP38" s="26">
        <v>7.1110296899397102E-4</v>
      </c>
      <c r="AQ38" s="26">
        <v>7.38957938849931E-4</v>
      </c>
      <c r="AR38" s="26">
        <v>8.1439856271057782E-4</v>
      </c>
      <c r="AS38" s="26">
        <v>6.4211145047582267E-4</v>
      </c>
      <c r="AT38" s="26">
        <v>9.6232166828339957E-4</v>
      </c>
      <c r="AU38" s="26">
        <v>6.9521870381573589E-4</v>
      </c>
      <c r="AV38" s="26">
        <v>4.227937335703796E-4</v>
      </c>
    </row>
    <row r="39" spans="1:48" x14ac:dyDescent="0.2">
      <c r="A39" s="26" t="s">
        <v>118</v>
      </c>
      <c r="B39" s="26">
        <v>-8.8014939742485506E-4</v>
      </c>
      <c r="C39" s="26">
        <v>-6.7330706155791902E-5</v>
      </c>
      <c r="D39" s="26">
        <v>-1.1850828004308929E-4</v>
      </c>
      <c r="E39" s="26">
        <v>-2.3047947443292666E-4</v>
      </c>
      <c r="F39" s="26">
        <v>-5.055189473824128E-4</v>
      </c>
      <c r="G39" s="26">
        <v>-2.9975939178182985E-5</v>
      </c>
      <c r="H39" s="26">
        <v>-1.3361123469412218E-5</v>
      </c>
      <c r="I39" s="26">
        <v>-1.6733265981829823E-5</v>
      </c>
      <c r="J39" s="26">
        <v>-5.8065379726976114E-5</v>
      </c>
      <c r="K39" s="26">
        <v>4.3577832743955254E-5</v>
      </c>
      <c r="L39" s="26">
        <v>-1.2294634850685947E-6</v>
      </c>
      <c r="M39" s="26">
        <v>4.3343736994321428E-5</v>
      </c>
      <c r="N39" s="26">
        <v>1.1039018942149714E-3</v>
      </c>
      <c r="O39" s="26">
        <v>1.3272784324771811E-3</v>
      </c>
      <c r="P39" s="26">
        <v>9.8294925660111936E-4</v>
      </c>
      <c r="Q39" s="26">
        <v>1.233495487385935E-3</v>
      </c>
      <c r="R39" s="26">
        <v>1.2070823258744055E-3</v>
      </c>
      <c r="S39" s="26">
        <v>1.3074958269831155E-3</v>
      </c>
      <c r="T39" s="26">
        <v>1.1232083289349521E-3</v>
      </c>
      <c r="U39" s="26">
        <v>1.5629536552475027E-3</v>
      </c>
      <c r="V39" s="26">
        <v>1.2711145535766926E-3</v>
      </c>
      <c r="W39" s="26">
        <v>1.1466601447101806E-3</v>
      </c>
      <c r="X39" s="26">
        <v>1.503250535196343E-3</v>
      </c>
      <c r="Y39" s="26">
        <v>1.4583006987723124E-3</v>
      </c>
      <c r="Z39" s="26">
        <v>1.3025596891876874E-3</v>
      </c>
      <c r="AA39" s="26">
        <v>1.5064070898300665E-3</v>
      </c>
      <c r="AB39" s="26">
        <v>1.5664584289402136E-3</v>
      </c>
      <c r="AC39" s="26">
        <v>1.4495322444696053E-3</v>
      </c>
      <c r="AD39" s="26">
        <v>1.2738588864812108E-3</v>
      </c>
      <c r="AE39" s="26">
        <v>1.2677309585862357E-3</v>
      </c>
      <c r="AF39" s="26">
        <v>1.2598116523410716E-3</v>
      </c>
      <c r="AG39" s="26">
        <v>1.2554423216674642E-3</v>
      </c>
      <c r="AH39" s="26">
        <v>1.3430534876251001E-3</v>
      </c>
      <c r="AI39" s="26">
        <v>1.113826034618895E-3</v>
      </c>
      <c r="AJ39" s="26">
        <v>1.1019287219903007E-3</v>
      </c>
      <c r="AK39" s="26">
        <v>1.2238392038212724E-3</v>
      </c>
      <c r="AL39" s="26">
        <v>8.0180875091687349E-4</v>
      </c>
      <c r="AM39" s="26">
        <v>1.5488499505071879E-3</v>
      </c>
      <c r="AN39" s="26">
        <v>7.1774724241316487E-4</v>
      </c>
      <c r="AO39" s="26">
        <v>1.4951708796193744E-3</v>
      </c>
      <c r="AP39" s="26">
        <v>1.4110650869117571E-3</v>
      </c>
      <c r="AQ39" s="26">
        <v>1.1742035936727756E-3</v>
      </c>
      <c r="AR39" s="26">
        <v>1.4644397008797391E-3</v>
      </c>
      <c r="AS39" s="26">
        <v>1.3698856637697095E-3</v>
      </c>
      <c r="AT39" s="26">
        <v>1.6046378922091738E-3</v>
      </c>
      <c r="AU39" s="26">
        <v>8.9146012489160591E-4</v>
      </c>
      <c r="AV39" s="26">
        <v>1.8659486958130138E-4</v>
      </c>
    </row>
    <row r="40" spans="1:48" x14ac:dyDescent="0.2">
      <c r="A40" s="26" t="s">
        <v>119</v>
      </c>
      <c r="B40" s="26">
        <v>-3.1211163705051756E-5</v>
      </c>
      <c r="C40" s="26">
        <v>6.2185957453390607E-5</v>
      </c>
      <c r="D40" s="26">
        <v>2.2194432738183999E-5</v>
      </c>
      <c r="E40" s="26">
        <v>6.7449573045703985E-5</v>
      </c>
      <c r="F40" s="26">
        <v>-2.5955957938205279E-5</v>
      </c>
      <c r="G40" s="26">
        <v>3.0774467478638299E-5</v>
      </c>
      <c r="H40" s="26">
        <v>1.7956954621250706E-5</v>
      </c>
      <c r="I40" s="26">
        <v>5.7123379140481229E-6</v>
      </c>
      <c r="J40" s="26">
        <v>3.7792211000801677E-5</v>
      </c>
      <c r="K40" s="26">
        <v>9.7560907153063789E-5</v>
      </c>
      <c r="L40" s="26">
        <v>1.4986538367609852E-4</v>
      </c>
      <c r="M40" s="26">
        <v>4.46855669448728E-5</v>
      </c>
      <c r="N40" s="26">
        <v>7.1747043360083601E-4</v>
      </c>
      <c r="O40" s="26">
        <v>6.7408540976726585E-4</v>
      </c>
      <c r="P40" s="26">
        <v>6.8740671782866283E-4</v>
      </c>
      <c r="Q40" s="26">
        <v>6.7110456196557981E-4</v>
      </c>
      <c r="R40" s="26">
        <v>6.7314613484129829E-4</v>
      </c>
      <c r="S40" s="26">
        <v>6.8046141862541248E-4</v>
      </c>
      <c r="T40" s="26">
        <v>6.6565376383542676E-4</v>
      </c>
      <c r="U40" s="26">
        <v>1.2546752600975234E-3</v>
      </c>
      <c r="V40" s="26">
        <v>6.6694724866383083E-4</v>
      </c>
      <c r="W40" s="26">
        <v>6.6953637008448149E-4</v>
      </c>
      <c r="X40" s="26">
        <v>6.3750144967177037E-4</v>
      </c>
      <c r="Y40" s="26">
        <v>6.5682020392082967E-4</v>
      </c>
      <c r="Z40" s="26">
        <v>7.1000006412941458E-4</v>
      </c>
      <c r="AA40" s="26">
        <v>6.5349787890529897E-4</v>
      </c>
      <c r="AB40" s="26">
        <v>6.3281443878422129E-4</v>
      </c>
      <c r="AC40" s="26">
        <v>6.6439166661985303E-4</v>
      </c>
      <c r="AD40" s="26">
        <v>6.4516264656123664E-4</v>
      </c>
      <c r="AE40" s="26">
        <v>6.1205267084173402E-4</v>
      </c>
      <c r="AF40" s="26">
        <v>5.2553916809613087E-4</v>
      </c>
      <c r="AG40" s="26">
        <v>6.1064442876040265E-4</v>
      </c>
      <c r="AH40" s="26">
        <v>6.646964353739449E-4</v>
      </c>
      <c r="AI40" s="26">
        <v>5.2392120071193459E-4</v>
      </c>
      <c r="AJ40" s="26">
        <v>6.3166953356494858E-4</v>
      </c>
      <c r="AK40" s="26">
        <v>5.8468386859589357E-4</v>
      </c>
      <c r="AL40" s="26">
        <v>6.9521891443724418E-4</v>
      </c>
      <c r="AM40" s="26">
        <v>7.1774724241316487E-4</v>
      </c>
      <c r="AN40" s="26">
        <v>9.3861790764092064E-4</v>
      </c>
      <c r="AO40" s="26">
        <v>6.3432243212750272E-4</v>
      </c>
      <c r="AP40" s="26">
        <v>6.1028265578996527E-4</v>
      </c>
      <c r="AQ40" s="26">
        <v>7.1885275322031475E-4</v>
      </c>
      <c r="AR40" s="26">
        <v>7.0399337735913329E-4</v>
      </c>
      <c r="AS40" s="26">
        <v>5.9468797263762744E-4</v>
      </c>
      <c r="AT40" s="26">
        <v>6.2325739774064413E-4</v>
      </c>
      <c r="AU40" s="26">
        <v>7.2169387019929818E-4</v>
      </c>
      <c r="AV40" s="26">
        <v>5.8362227216815889E-4</v>
      </c>
    </row>
    <row r="41" spans="1:48" x14ac:dyDescent="0.2">
      <c r="A41" s="26" t="s">
        <v>120</v>
      </c>
      <c r="B41" s="26">
        <v>-1.42083654283337E-3</v>
      </c>
      <c r="C41" s="26">
        <v>-1.2851405642223956E-4</v>
      </c>
      <c r="D41" s="26">
        <v>-2.0748102746430874E-4</v>
      </c>
      <c r="E41" s="26">
        <v>-3.3749735690034318E-4</v>
      </c>
      <c r="F41" s="26">
        <v>-8.0044620792240955E-4</v>
      </c>
      <c r="G41" s="26">
        <v>-6.8663771316362332E-5</v>
      </c>
      <c r="H41" s="26">
        <v>-3.6467894878934953E-5</v>
      </c>
      <c r="I41" s="26">
        <v>-2.7067509217210387E-5</v>
      </c>
      <c r="J41" s="26">
        <v>-1.0235881239066862E-4</v>
      </c>
      <c r="K41" s="26">
        <v>5.5248516322297319E-5</v>
      </c>
      <c r="L41" s="26">
        <v>6.204127162751357E-5</v>
      </c>
      <c r="M41" s="26">
        <v>4.697338847856524E-5</v>
      </c>
      <c r="N41" s="26">
        <v>1.2136743598650942E-3</v>
      </c>
      <c r="O41" s="26">
        <v>1.3853800639797829E-3</v>
      </c>
      <c r="P41" s="26">
        <v>1.2384566538595353E-3</v>
      </c>
      <c r="Q41" s="26">
        <v>1.4006149319290056E-3</v>
      </c>
      <c r="R41" s="26">
        <v>1.3698869019917036E-3</v>
      </c>
      <c r="S41" s="26">
        <v>1.3313947100298533E-3</v>
      </c>
      <c r="T41" s="26">
        <v>1.4107243182593795E-3</v>
      </c>
      <c r="U41" s="26">
        <v>1.9039244783821856E-3</v>
      </c>
      <c r="V41" s="26">
        <v>1.4712904948039954E-3</v>
      </c>
      <c r="W41" s="26">
        <v>1.4382479392392549E-3</v>
      </c>
      <c r="X41" s="26">
        <v>1.8215767050784573E-3</v>
      </c>
      <c r="Y41" s="26">
        <v>1.5497770311887198E-3</v>
      </c>
      <c r="Z41" s="26">
        <v>1.6030029380147725E-3</v>
      </c>
      <c r="AA41" s="26">
        <v>1.8788336469125228E-3</v>
      </c>
      <c r="AB41" s="26">
        <v>1.8461784607363618E-3</v>
      </c>
      <c r="AC41" s="26">
        <v>1.9239810756118201E-3</v>
      </c>
      <c r="AD41" s="26">
        <v>1.5755765776563108E-3</v>
      </c>
      <c r="AE41" s="26">
        <v>1.6822831298122748E-3</v>
      </c>
      <c r="AF41" s="26">
        <v>1.709755497427576E-3</v>
      </c>
      <c r="AG41" s="26">
        <v>1.6023108119815796E-3</v>
      </c>
      <c r="AH41" s="26">
        <v>1.7068760394294855E-3</v>
      </c>
      <c r="AI41" s="26">
        <v>1.3848280558583143E-3</v>
      </c>
      <c r="AJ41" s="26">
        <v>1.436537218072783E-3</v>
      </c>
      <c r="AK41" s="26">
        <v>1.6148383079240109E-3</v>
      </c>
      <c r="AL41" s="26">
        <v>1.12448053675073E-3</v>
      </c>
      <c r="AM41" s="26">
        <v>1.4951708796193744E-3</v>
      </c>
      <c r="AN41" s="26">
        <v>6.3432243212750272E-4</v>
      </c>
      <c r="AO41" s="26">
        <v>3.3674933402922389E-3</v>
      </c>
      <c r="AP41" s="26">
        <v>1.6995649631178821E-3</v>
      </c>
      <c r="AQ41" s="26">
        <v>1.0393786414795326E-3</v>
      </c>
      <c r="AR41" s="26">
        <v>1.7946765436297474E-3</v>
      </c>
      <c r="AS41" s="26">
        <v>1.2697437841969286E-3</v>
      </c>
      <c r="AT41" s="26">
        <v>2.2478371022509364E-3</v>
      </c>
      <c r="AU41" s="26">
        <v>9.4639531504261433E-4</v>
      </c>
      <c r="AV41" s="26">
        <v>1.8726580749190783E-4</v>
      </c>
    </row>
    <row r="42" spans="1:48" x14ac:dyDescent="0.2">
      <c r="A42" s="26" t="s">
        <v>121</v>
      </c>
      <c r="B42" s="26">
        <v>-1.4049279287033424E-3</v>
      </c>
      <c r="C42" s="26">
        <v>-1.7203825526201257E-4</v>
      </c>
      <c r="D42" s="26">
        <v>-2.2014306063521515E-4</v>
      </c>
      <c r="E42" s="26">
        <v>-4.0786132529799598E-4</v>
      </c>
      <c r="F42" s="26">
        <v>-7.959879592105098E-4</v>
      </c>
      <c r="G42" s="26">
        <v>-8.3477583589092931E-5</v>
      </c>
      <c r="H42" s="26">
        <v>-4.9531168423847125E-5</v>
      </c>
      <c r="I42" s="26">
        <v>-3.4812464086267731E-5</v>
      </c>
      <c r="J42" s="26">
        <v>-1.3507048890475156E-4</v>
      </c>
      <c r="K42" s="26">
        <v>4.2098751658629086E-6</v>
      </c>
      <c r="L42" s="26">
        <v>-5.1217395354065621E-5</v>
      </c>
      <c r="M42" s="26">
        <v>3.1505341884352314E-5</v>
      </c>
      <c r="N42" s="26">
        <v>1.1095745111598218E-3</v>
      </c>
      <c r="O42" s="26">
        <v>1.2548588725599169E-3</v>
      </c>
      <c r="P42" s="26">
        <v>1.0892549101809287E-3</v>
      </c>
      <c r="Q42" s="26">
        <v>1.302464832928367E-3</v>
      </c>
      <c r="R42" s="26">
        <v>1.2753840834798843E-3</v>
      </c>
      <c r="S42" s="26">
        <v>1.223717265779227E-3</v>
      </c>
      <c r="T42" s="26">
        <v>1.3292978157069518E-3</v>
      </c>
      <c r="U42" s="26">
        <v>1.6101446842152595E-3</v>
      </c>
      <c r="V42" s="26">
        <v>1.3503590102978478E-3</v>
      </c>
      <c r="W42" s="26">
        <v>1.3454204518321335E-3</v>
      </c>
      <c r="X42" s="26">
        <v>1.6274128961376901E-3</v>
      </c>
      <c r="Y42" s="26">
        <v>1.4365873710877281E-3</v>
      </c>
      <c r="Z42" s="26">
        <v>1.4278845663358126E-3</v>
      </c>
      <c r="AA42" s="26">
        <v>1.651793395621996E-3</v>
      </c>
      <c r="AB42" s="26">
        <v>1.6278702640769229E-3</v>
      </c>
      <c r="AC42" s="26">
        <v>1.6642211475417191E-3</v>
      </c>
      <c r="AD42" s="26">
        <v>1.3141589045209622E-3</v>
      </c>
      <c r="AE42" s="26">
        <v>1.2798388466717424E-3</v>
      </c>
      <c r="AF42" s="26">
        <v>1.250285145455818E-3</v>
      </c>
      <c r="AG42" s="26">
        <v>1.2486995547197346E-3</v>
      </c>
      <c r="AH42" s="26">
        <v>1.3320016831605932E-3</v>
      </c>
      <c r="AI42" s="26">
        <v>1.0917762132950095E-3</v>
      </c>
      <c r="AJ42" s="26">
        <v>1.0467523556746392E-3</v>
      </c>
      <c r="AK42" s="26">
        <v>1.2353224432887077E-3</v>
      </c>
      <c r="AL42" s="26">
        <v>7.1110296899397102E-4</v>
      </c>
      <c r="AM42" s="26">
        <v>1.4110650869117571E-3</v>
      </c>
      <c r="AN42" s="26">
        <v>6.1028265578996527E-4</v>
      </c>
      <c r="AO42" s="26">
        <v>1.6995649631178821E-3</v>
      </c>
      <c r="AP42" s="26">
        <v>1.9618188296076705E-3</v>
      </c>
      <c r="AQ42" s="26">
        <v>1.168219304210075E-3</v>
      </c>
      <c r="AR42" s="26">
        <v>1.6349542752073104E-3</v>
      </c>
      <c r="AS42" s="26">
        <v>1.2987769755138973E-3</v>
      </c>
      <c r="AT42" s="26">
        <v>1.7482306412827215E-3</v>
      </c>
      <c r="AU42" s="26">
        <v>9.9357904739659844E-4</v>
      </c>
      <c r="AV42" s="26">
        <v>1.5896587988389115E-4</v>
      </c>
    </row>
    <row r="43" spans="1:48" x14ac:dyDescent="0.2">
      <c r="A43" s="26" t="s">
        <v>122</v>
      </c>
      <c r="B43" s="26">
        <v>-4.4413937625789731E-4</v>
      </c>
      <c r="C43" s="26">
        <v>-1.1985579354122717E-5</v>
      </c>
      <c r="D43" s="26">
        <v>-5.450771674439065E-5</v>
      </c>
      <c r="E43" s="26">
        <v>-7.6796640435620078E-5</v>
      </c>
      <c r="F43" s="26">
        <v>-2.5132825157980673E-4</v>
      </c>
      <c r="G43" s="26">
        <v>-2.2565029514116646E-7</v>
      </c>
      <c r="H43" s="26">
        <v>1.0646750413200486E-6</v>
      </c>
      <c r="I43" s="26">
        <v>-9.3924826222634418E-6</v>
      </c>
      <c r="J43" s="26">
        <v>-1.0484752134327049E-5</v>
      </c>
      <c r="K43" s="26">
        <v>6.9722909547620943E-5</v>
      </c>
      <c r="L43" s="26">
        <v>8.0971099256490269E-5</v>
      </c>
      <c r="M43" s="26">
        <v>4.2771657446942659E-5</v>
      </c>
      <c r="N43" s="26">
        <v>9.4284858996939477E-4</v>
      </c>
      <c r="O43" s="26">
        <v>1.0889835751500194E-3</v>
      </c>
      <c r="P43" s="26">
        <v>8.8308256269956965E-4</v>
      </c>
      <c r="Q43" s="26">
        <v>1.0419911273771875E-3</v>
      </c>
      <c r="R43" s="26">
        <v>1.025128661637223E-3</v>
      </c>
      <c r="S43" s="26">
        <v>1.0760460957089087E-3</v>
      </c>
      <c r="T43" s="26">
        <v>9.8131501884314879E-4</v>
      </c>
      <c r="U43" s="26">
        <v>1.2989904729015682E-3</v>
      </c>
      <c r="V43" s="26">
        <v>1.0755887951440608E-3</v>
      </c>
      <c r="W43" s="26">
        <v>9.9597912701061375E-4</v>
      </c>
      <c r="X43" s="26">
        <v>1.2788213948100346E-3</v>
      </c>
      <c r="Y43" s="26">
        <v>1.2082386847331646E-3</v>
      </c>
      <c r="Z43" s="26">
        <v>1.1189469503734748E-3</v>
      </c>
      <c r="AA43" s="26">
        <v>1.2823027816687158E-3</v>
      </c>
      <c r="AB43" s="26">
        <v>1.3496052815599247E-3</v>
      </c>
      <c r="AC43" s="26">
        <v>1.2131145392908517E-3</v>
      </c>
      <c r="AD43" s="26">
        <v>1.0340975682640544E-3</v>
      </c>
      <c r="AE43" s="26">
        <v>9.8363726062012324E-4</v>
      </c>
      <c r="AF43" s="26">
        <v>9.8810988436694993E-4</v>
      </c>
      <c r="AG43" s="26">
        <v>9.9633167562891874E-4</v>
      </c>
      <c r="AH43" s="26">
        <v>1.0546157678317319E-3</v>
      </c>
      <c r="AI43" s="26">
        <v>9.1228807959579884E-4</v>
      </c>
      <c r="AJ43" s="26">
        <v>8.776104273501915E-4</v>
      </c>
      <c r="AK43" s="26">
        <v>9.6008089213825963E-4</v>
      </c>
      <c r="AL43" s="26">
        <v>7.38957938849931E-4</v>
      </c>
      <c r="AM43" s="26">
        <v>1.1742035936727756E-3</v>
      </c>
      <c r="AN43" s="26">
        <v>7.1885275322031475E-4</v>
      </c>
      <c r="AO43" s="26">
        <v>1.0393786414795326E-3</v>
      </c>
      <c r="AP43" s="26">
        <v>1.168219304210075E-3</v>
      </c>
      <c r="AQ43" s="26">
        <v>1.4291060461874936E-3</v>
      </c>
      <c r="AR43" s="26">
        <v>1.2229303571154372E-3</v>
      </c>
      <c r="AS43" s="26">
        <v>1.0372428098405927E-3</v>
      </c>
      <c r="AT43" s="26">
        <v>1.2903165536933821E-3</v>
      </c>
      <c r="AU43" s="26">
        <v>9.1222445780812279E-4</v>
      </c>
      <c r="AV43" s="26">
        <v>3.370317818085367E-4</v>
      </c>
    </row>
    <row r="44" spans="1:48" x14ac:dyDescent="0.2">
      <c r="A44" s="26" t="s">
        <v>123</v>
      </c>
      <c r="B44" s="26">
        <v>-1.0875009958836127E-3</v>
      </c>
      <c r="C44" s="26">
        <v>-1.0348331007037469E-4</v>
      </c>
      <c r="D44" s="26">
        <v>-1.5473180303344049E-4</v>
      </c>
      <c r="E44" s="26">
        <v>-2.7965038413920351E-4</v>
      </c>
      <c r="F44" s="26">
        <v>-6.0838009414390377E-4</v>
      </c>
      <c r="G44" s="26">
        <v>-4.5632403997780521E-5</v>
      </c>
      <c r="H44" s="26">
        <v>-2.4776590848337024E-5</v>
      </c>
      <c r="I44" s="26">
        <v>-2.2524127741410524E-5</v>
      </c>
      <c r="J44" s="26">
        <v>-7.9645803485972215E-5</v>
      </c>
      <c r="K44" s="26">
        <v>3.4322417332573407E-5</v>
      </c>
      <c r="L44" s="26">
        <v>7.2011876823672605E-6</v>
      </c>
      <c r="M44" s="26">
        <v>3.6800081515511667E-5</v>
      </c>
      <c r="N44" s="26">
        <v>1.2227760732298836E-3</v>
      </c>
      <c r="O44" s="26">
        <v>1.341265728367231E-3</v>
      </c>
      <c r="P44" s="26">
        <v>1.1134238658357118E-3</v>
      </c>
      <c r="Q44" s="26">
        <v>1.3175382432526707E-3</v>
      </c>
      <c r="R44" s="26">
        <v>1.2866919904110394E-3</v>
      </c>
      <c r="S44" s="26">
        <v>1.3080447695195739E-3</v>
      </c>
      <c r="T44" s="26">
        <v>1.2731482676690286E-3</v>
      </c>
      <c r="U44" s="26">
        <v>1.7473090633211821E-3</v>
      </c>
      <c r="V44" s="26">
        <v>1.368632973824929E-3</v>
      </c>
      <c r="W44" s="26">
        <v>1.2994985458413372E-3</v>
      </c>
      <c r="X44" s="26">
        <v>1.6567252280512681E-3</v>
      </c>
      <c r="Y44" s="26">
        <v>1.5229510621942836E-3</v>
      </c>
      <c r="Z44" s="26">
        <v>1.4553377499689421E-3</v>
      </c>
      <c r="AA44" s="26">
        <v>1.6866434226770041E-3</v>
      </c>
      <c r="AB44" s="26">
        <v>1.6949717713805805E-3</v>
      </c>
      <c r="AC44" s="26">
        <v>1.6804448635068228E-3</v>
      </c>
      <c r="AD44" s="26">
        <v>1.3614402965873979E-3</v>
      </c>
      <c r="AE44" s="26">
        <v>1.3524755180154664E-3</v>
      </c>
      <c r="AF44" s="26">
        <v>1.3541057822918955E-3</v>
      </c>
      <c r="AG44" s="26">
        <v>1.299742393026986E-3</v>
      </c>
      <c r="AH44" s="26">
        <v>1.4105789161759173E-3</v>
      </c>
      <c r="AI44" s="26">
        <v>1.1116029567748225E-3</v>
      </c>
      <c r="AJ44" s="26">
        <v>1.1324956555973232E-3</v>
      </c>
      <c r="AK44" s="26">
        <v>1.310736155613369E-3</v>
      </c>
      <c r="AL44" s="26">
        <v>8.1439856271057782E-4</v>
      </c>
      <c r="AM44" s="26">
        <v>1.4644397008797391E-3</v>
      </c>
      <c r="AN44" s="26">
        <v>7.0399337735913329E-4</v>
      </c>
      <c r="AO44" s="26">
        <v>1.7946765436297474E-3</v>
      </c>
      <c r="AP44" s="26">
        <v>1.6349542752073104E-3</v>
      </c>
      <c r="AQ44" s="26">
        <v>1.2229303571154372E-3</v>
      </c>
      <c r="AR44" s="26">
        <v>1.8165582618740806E-3</v>
      </c>
      <c r="AS44" s="26">
        <v>1.3445740412956534E-3</v>
      </c>
      <c r="AT44" s="26">
        <v>1.9053285048106496E-3</v>
      </c>
      <c r="AU44" s="26">
        <v>9.2274410698447583E-4</v>
      </c>
      <c r="AV44" s="26">
        <v>2.0617520517638013E-4</v>
      </c>
    </row>
    <row r="45" spans="1:48" x14ac:dyDescent="0.2">
      <c r="A45" s="26" t="s">
        <v>124</v>
      </c>
      <c r="B45" s="26">
        <v>-7.8649484404540301E-4</v>
      </c>
      <c r="C45" s="26">
        <v>-4.1568123505683639E-5</v>
      </c>
      <c r="D45" s="26">
        <v>-1.0926204657426717E-4</v>
      </c>
      <c r="E45" s="26">
        <v>-1.8491367851282783E-4</v>
      </c>
      <c r="F45" s="26">
        <v>-4.6693850453054139E-4</v>
      </c>
      <c r="G45" s="26">
        <v>-1.5331714991421384E-5</v>
      </c>
      <c r="H45" s="26">
        <v>-8.9139654016691296E-6</v>
      </c>
      <c r="I45" s="26">
        <v>-1.6531920828632981E-5</v>
      </c>
      <c r="J45" s="26">
        <v>-4.166856312834427E-5</v>
      </c>
      <c r="K45" s="26">
        <v>6.4116717977343181E-5</v>
      </c>
      <c r="L45" s="26">
        <v>4.6531918006122676E-5</v>
      </c>
      <c r="M45" s="26">
        <v>5.1811435700552808E-5</v>
      </c>
      <c r="N45" s="26">
        <v>1.0302341044824913E-3</v>
      </c>
      <c r="O45" s="26">
        <v>1.4125467829262579E-3</v>
      </c>
      <c r="P45" s="26">
        <v>9.3387330279406857E-4</v>
      </c>
      <c r="Q45" s="26">
        <v>1.2334791758148997E-3</v>
      </c>
      <c r="R45" s="26">
        <v>1.2239970519521682E-3</v>
      </c>
      <c r="S45" s="26">
        <v>1.4050923655658527E-3</v>
      </c>
      <c r="T45" s="26">
        <v>1.0668510942071934E-3</v>
      </c>
      <c r="U45" s="26">
        <v>1.5005980435087306E-3</v>
      </c>
      <c r="V45" s="26">
        <v>1.2521793553012365E-3</v>
      </c>
      <c r="W45" s="26">
        <v>1.0767343201442405E-3</v>
      </c>
      <c r="X45" s="26">
        <v>1.390612273074911E-3</v>
      </c>
      <c r="Y45" s="26">
        <v>1.4107809486029509E-3</v>
      </c>
      <c r="Z45" s="26">
        <v>1.1802337956775088E-3</v>
      </c>
      <c r="AA45" s="26">
        <v>1.3779207173914693E-3</v>
      </c>
      <c r="AB45" s="26">
        <v>1.4824967476284592E-3</v>
      </c>
      <c r="AC45" s="26">
        <v>1.2961825753815281E-3</v>
      </c>
      <c r="AD45" s="26">
        <v>1.27559131032929E-3</v>
      </c>
      <c r="AE45" s="26">
        <v>1.2767506160993231E-3</v>
      </c>
      <c r="AF45" s="26">
        <v>1.2671484965374694E-3</v>
      </c>
      <c r="AG45" s="26">
        <v>1.2522034133680198E-3</v>
      </c>
      <c r="AH45" s="26">
        <v>1.3427299221943397E-3</v>
      </c>
      <c r="AI45" s="26">
        <v>1.1365102278232168E-3</v>
      </c>
      <c r="AJ45" s="26">
        <v>1.0264411756299675E-3</v>
      </c>
      <c r="AK45" s="26">
        <v>1.2401272343580932E-3</v>
      </c>
      <c r="AL45" s="26">
        <v>6.4211145047582267E-4</v>
      </c>
      <c r="AM45" s="26">
        <v>1.3698856637697095E-3</v>
      </c>
      <c r="AN45" s="26">
        <v>5.9468797263762744E-4</v>
      </c>
      <c r="AO45" s="26">
        <v>1.2697437841969286E-3</v>
      </c>
      <c r="AP45" s="26">
        <v>1.2987769755138973E-3</v>
      </c>
      <c r="AQ45" s="26">
        <v>1.0372428098405927E-3</v>
      </c>
      <c r="AR45" s="26">
        <v>1.3445740412956534E-3</v>
      </c>
      <c r="AS45" s="26">
        <v>1.7654434431105032E-3</v>
      </c>
      <c r="AT45" s="26">
        <v>1.5315358311963235E-3</v>
      </c>
      <c r="AU45" s="26">
        <v>7.899087312821727E-4</v>
      </c>
      <c r="AV45" s="26">
        <v>1.6907408251226147E-4</v>
      </c>
    </row>
    <row r="46" spans="1:48" x14ac:dyDescent="0.2">
      <c r="A46" s="26" t="s">
        <v>125</v>
      </c>
      <c r="B46" s="26">
        <v>-1.2810344870428949E-3</v>
      </c>
      <c r="C46" s="26">
        <v>-7.7923445597876339E-5</v>
      </c>
      <c r="D46" s="26">
        <v>-1.6037972172906103E-4</v>
      </c>
      <c r="E46" s="26">
        <v>-2.8986124235431981E-4</v>
      </c>
      <c r="F46" s="26">
        <v>-6.9199283202149868E-4</v>
      </c>
      <c r="G46" s="26">
        <v>-3.9023583097698634E-5</v>
      </c>
      <c r="H46" s="26">
        <v>-1.5331483107821315E-5</v>
      </c>
      <c r="I46" s="26">
        <v>-2.3982487505568586E-5</v>
      </c>
      <c r="J46" s="26">
        <v>-6.9788501754976275E-5</v>
      </c>
      <c r="K46" s="26">
        <v>8.857943415252378E-5</v>
      </c>
      <c r="L46" s="26">
        <v>2.8847419968630239E-5</v>
      </c>
      <c r="M46" s="26">
        <v>5.751491095251096E-5</v>
      </c>
      <c r="N46" s="26">
        <v>1.2620056159013781E-3</v>
      </c>
      <c r="O46" s="26">
        <v>1.5246254937845293E-3</v>
      </c>
      <c r="P46" s="26">
        <v>1.1721534671670247E-3</v>
      </c>
      <c r="Q46" s="26">
        <v>1.4520352391825171E-3</v>
      </c>
      <c r="R46" s="26">
        <v>1.4154125286605379E-3</v>
      </c>
      <c r="S46" s="26">
        <v>1.4767484001455523E-3</v>
      </c>
      <c r="T46" s="26">
        <v>1.3658405698181672E-3</v>
      </c>
      <c r="U46" s="26">
        <v>1.847415346727129E-3</v>
      </c>
      <c r="V46" s="26">
        <v>1.5075830159267383E-3</v>
      </c>
      <c r="W46" s="26">
        <v>1.3996144514103388E-3</v>
      </c>
      <c r="X46" s="26">
        <v>1.8494559839697911E-3</v>
      </c>
      <c r="Y46" s="26">
        <v>1.7264116695654458E-3</v>
      </c>
      <c r="Z46" s="26">
        <v>1.6014901438739261E-3</v>
      </c>
      <c r="AA46" s="26">
        <v>1.865363423946403E-3</v>
      </c>
      <c r="AB46" s="26">
        <v>1.8992600456520709E-3</v>
      </c>
      <c r="AC46" s="26">
        <v>1.8501885782641018E-3</v>
      </c>
      <c r="AD46" s="26">
        <v>1.6181944943700211E-3</v>
      </c>
      <c r="AE46" s="26">
        <v>1.7119515860269606E-3</v>
      </c>
      <c r="AF46" s="26">
        <v>1.7691042844910933E-3</v>
      </c>
      <c r="AG46" s="26">
        <v>1.6082432821562468E-3</v>
      </c>
      <c r="AH46" s="26">
        <v>1.7335174846135604E-3</v>
      </c>
      <c r="AI46" s="26">
        <v>1.3982126638080756E-3</v>
      </c>
      <c r="AJ46" s="26">
        <v>1.5045168283677982E-3</v>
      </c>
      <c r="AK46" s="26">
        <v>1.6684346721177914E-3</v>
      </c>
      <c r="AL46" s="26">
        <v>9.6232166828339957E-4</v>
      </c>
      <c r="AM46" s="26">
        <v>1.6046378922091738E-3</v>
      </c>
      <c r="AN46" s="26">
        <v>6.2325739774064413E-4</v>
      </c>
      <c r="AO46" s="26">
        <v>2.2478371022509364E-3</v>
      </c>
      <c r="AP46" s="26">
        <v>1.7482306412827215E-3</v>
      </c>
      <c r="AQ46" s="26">
        <v>1.2903165536933821E-3</v>
      </c>
      <c r="AR46" s="26">
        <v>1.9053285048106496E-3</v>
      </c>
      <c r="AS46" s="26">
        <v>1.5315358311963235E-3</v>
      </c>
      <c r="AT46" s="26">
        <v>2.4791737765483273E-3</v>
      </c>
      <c r="AU46" s="26">
        <v>1.0365273375002536E-3</v>
      </c>
      <c r="AV46" s="26">
        <v>1.03736067492094E-4</v>
      </c>
    </row>
    <row r="47" spans="1:48" x14ac:dyDescent="0.2">
      <c r="A47" s="26" t="s">
        <v>126</v>
      </c>
      <c r="B47" s="26">
        <v>2.2455789398665181E-4</v>
      </c>
      <c r="C47" s="26">
        <v>1.9987099800140303E-4</v>
      </c>
      <c r="D47" s="26">
        <v>1.0648184228480984E-4</v>
      </c>
      <c r="E47" s="26">
        <v>3.603164333138695E-4</v>
      </c>
      <c r="F47" s="26">
        <v>2.210179612261696E-4</v>
      </c>
      <c r="G47" s="26">
        <v>9.9113921012147432E-5</v>
      </c>
      <c r="H47" s="26">
        <v>5.8767082231536313E-5</v>
      </c>
      <c r="I47" s="26">
        <v>2.148007158698905E-5</v>
      </c>
      <c r="J47" s="26">
        <v>1.4360617957250135E-4</v>
      </c>
      <c r="K47" s="26">
        <v>3.1183136241020817E-4</v>
      </c>
      <c r="L47" s="26">
        <v>5.274198748918366E-4</v>
      </c>
      <c r="M47" s="26">
        <v>1.2206292536902091E-4</v>
      </c>
      <c r="N47" s="26">
        <v>7.7929731415060557E-4</v>
      </c>
      <c r="O47" s="26">
        <v>8.9330689661399883E-4</v>
      </c>
      <c r="P47" s="26">
        <v>7.6354885030422109E-4</v>
      </c>
      <c r="Q47" s="26">
        <v>8.6362904720146906E-4</v>
      </c>
      <c r="R47" s="26">
        <v>8.2889838572749574E-4</v>
      </c>
      <c r="S47" s="26">
        <v>8.8360949325183786E-4</v>
      </c>
      <c r="T47" s="26">
        <v>7.9810842747016653E-4</v>
      </c>
      <c r="U47" s="26">
        <v>1.3050914495333894E-3</v>
      </c>
      <c r="V47" s="26">
        <v>8.970796448372892E-4</v>
      </c>
      <c r="W47" s="26">
        <v>8.162139538072633E-4</v>
      </c>
      <c r="X47" s="26">
        <v>1.0861029478286437E-3</v>
      </c>
      <c r="Y47" s="26">
        <v>1.0464782376232637E-3</v>
      </c>
      <c r="Z47" s="26">
        <v>9.6201423828527126E-4</v>
      </c>
      <c r="AA47" s="26">
        <v>1.1179844583379748E-3</v>
      </c>
      <c r="AB47" s="26">
        <v>1.1167796191073804E-3</v>
      </c>
      <c r="AC47" s="26">
        <v>1.0907730234904348E-3</v>
      </c>
      <c r="AD47" s="26">
        <v>9.1282662584700209E-4</v>
      </c>
      <c r="AE47" s="26">
        <v>9.441591116406097E-4</v>
      </c>
      <c r="AF47" s="26">
        <v>9.0151467933507904E-4</v>
      </c>
      <c r="AG47" s="26">
        <v>9.2161722318003631E-4</v>
      </c>
      <c r="AH47" s="26">
        <v>9.3096945836516995E-4</v>
      </c>
      <c r="AI47" s="26">
        <v>8.7292690115673343E-4</v>
      </c>
      <c r="AJ47" s="26">
        <v>1.2012078845148359E-3</v>
      </c>
      <c r="AK47" s="26">
        <v>9.0597821982598868E-4</v>
      </c>
      <c r="AL47" s="26">
        <v>6.9521870381573589E-4</v>
      </c>
      <c r="AM47" s="26">
        <v>8.9146012489160591E-4</v>
      </c>
      <c r="AN47" s="26">
        <v>7.2169387019929818E-4</v>
      </c>
      <c r="AO47" s="26">
        <v>9.4639531504261433E-4</v>
      </c>
      <c r="AP47" s="26">
        <v>9.9357904739659844E-4</v>
      </c>
      <c r="AQ47" s="26">
        <v>9.1222445780812279E-4</v>
      </c>
      <c r="AR47" s="26">
        <v>9.2274410698447583E-4</v>
      </c>
      <c r="AS47" s="26">
        <v>7.899087312821727E-4</v>
      </c>
      <c r="AT47" s="26">
        <v>1.0365273375002536E-3</v>
      </c>
      <c r="AU47" s="26">
        <v>1.8741026401396731E-3</v>
      </c>
      <c r="AV47" s="26">
        <v>9.2115894629354747E-4</v>
      </c>
    </row>
    <row r="48" spans="1:48" ht="15" thickBot="1" x14ac:dyDescent="0.25">
      <c r="A48" s="27" t="s">
        <v>127</v>
      </c>
      <c r="B48" s="27">
        <v>6.2233180001900737E-4</v>
      </c>
      <c r="C48" s="27">
        <v>1.794403402738438E-4</v>
      </c>
      <c r="D48" s="27">
        <v>1.3970960389563401E-4</v>
      </c>
      <c r="E48" s="27">
        <v>3.6565546839237029E-4</v>
      </c>
      <c r="F48" s="27">
        <v>3.9275955305909712E-4</v>
      </c>
      <c r="G48" s="27">
        <v>9.4241148875598638E-5</v>
      </c>
      <c r="H48" s="27">
        <v>5.0501993701297188E-5</v>
      </c>
      <c r="I48" s="27">
        <v>2.5023847946497971E-5</v>
      </c>
      <c r="J48" s="27">
        <v>1.3109104528496199E-4</v>
      </c>
      <c r="K48" s="27">
        <v>1.9943608611315688E-4</v>
      </c>
      <c r="L48" s="27">
        <v>3.9332155600415453E-4</v>
      </c>
      <c r="M48" s="27">
        <v>7.0994261255271897E-5</v>
      </c>
      <c r="N48" s="27">
        <v>3.7247630980359576E-4</v>
      </c>
      <c r="O48" s="27">
        <v>2.8249781231038919E-4</v>
      </c>
      <c r="P48" s="27">
        <v>3.8486378662002605E-4</v>
      </c>
      <c r="Q48" s="27">
        <v>2.8725254456757186E-4</v>
      </c>
      <c r="R48" s="27">
        <v>2.8718500791059435E-4</v>
      </c>
      <c r="S48" s="27">
        <v>2.7673230726473451E-4</v>
      </c>
      <c r="T48" s="27">
        <v>2.9788392884911978E-4</v>
      </c>
      <c r="U48" s="27">
        <v>6.6275600668967564E-4</v>
      </c>
      <c r="V48" s="27">
        <v>2.8897470630818544E-4</v>
      </c>
      <c r="W48" s="27">
        <v>2.9861743533671106E-4</v>
      </c>
      <c r="X48" s="27">
        <v>2.501591250338514E-4</v>
      </c>
      <c r="Y48" s="27">
        <v>2.7199715290531103E-4</v>
      </c>
      <c r="Z48" s="27">
        <v>3.1945267235396766E-4</v>
      </c>
      <c r="AA48" s="27">
        <v>2.8224048213665353E-4</v>
      </c>
      <c r="AB48" s="27">
        <v>2.5093952696314824E-4</v>
      </c>
      <c r="AC48" s="27">
        <v>2.9726852681801879E-4</v>
      </c>
      <c r="AD48" s="27">
        <v>2.787675955265336E-4</v>
      </c>
      <c r="AE48" s="27">
        <v>2.7593825704323857E-4</v>
      </c>
      <c r="AF48" s="27">
        <v>2.1263951530951344E-4</v>
      </c>
      <c r="AG48" s="27">
        <v>2.6888465834030729E-4</v>
      </c>
      <c r="AH48" s="27">
        <v>2.6394830962835986E-4</v>
      </c>
      <c r="AI48" s="27">
        <v>2.8170293858264216E-4</v>
      </c>
      <c r="AJ48" s="27">
        <v>4.7011435470128038E-4</v>
      </c>
      <c r="AK48" s="27">
        <v>2.6185533083948826E-4</v>
      </c>
      <c r="AL48" s="27">
        <v>4.227937335703796E-4</v>
      </c>
      <c r="AM48" s="27">
        <v>1.8659486958130138E-4</v>
      </c>
      <c r="AN48" s="27">
        <v>5.8362227216815889E-4</v>
      </c>
      <c r="AO48" s="27">
        <v>1.8726580749190783E-4</v>
      </c>
      <c r="AP48" s="27">
        <v>1.5896587988389115E-4</v>
      </c>
      <c r="AQ48" s="27">
        <v>3.370317818085367E-4</v>
      </c>
      <c r="AR48" s="27">
        <v>2.0617520517638013E-4</v>
      </c>
      <c r="AS48" s="27">
        <v>1.6907408251226147E-4</v>
      </c>
      <c r="AT48" s="27">
        <v>1.03736067492094E-4</v>
      </c>
      <c r="AU48" s="27">
        <v>9.2115894629354747E-4</v>
      </c>
      <c r="AV48" s="27">
        <v>1.1566027709879983E-3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0.79998168889431442"/>
  </sheetPr>
  <dimension ref="A1:AW49"/>
  <sheetViews>
    <sheetView showGridLines="0" topLeftCell="E1" zoomScale="55" zoomScaleNormal="55" workbookViewId="0">
      <selection activeCell="B2" sqref="B2:AW2"/>
    </sheetView>
  </sheetViews>
  <sheetFormatPr defaultRowHeight="14.25" x14ac:dyDescent="0.2"/>
  <cols>
    <col min="1" max="1" width="14.25" bestFit="1" customWidth="1"/>
    <col min="2" max="2" width="14.25" customWidth="1"/>
  </cols>
  <sheetData>
    <row r="1" spans="1:49" x14ac:dyDescent="0.2">
      <c r="A1" s="28" t="s">
        <v>168</v>
      </c>
      <c r="B1" s="28" t="s">
        <v>169</v>
      </c>
      <c r="C1" s="28" t="s">
        <v>73</v>
      </c>
      <c r="D1" s="28" t="s">
        <v>74</v>
      </c>
      <c r="E1" s="28" t="s">
        <v>75</v>
      </c>
      <c r="F1" s="28" t="s">
        <v>76</v>
      </c>
      <c r="G1" s="28" t="s">
        <v>77</v>
      </c>
      <c r="H1" s="28" t="s">
        <v>78</v>
      </c>
      <c r="I1" s="28" t="s">
        <v>79</v>
      </c>
      <c r="J1" s="28" t="s">
        <v>80</v>
      </c>
      <c r="K1" s="28" t="s">
        <v>81</v>
      </c>
      <c r="L1" s="28" t="s">
        <v>82</v>
      </c>
      <c r="M1" s="28" t="s">
        <v>83</v>
      </c>
      <c r="N1" s="28" t="s">
        <v>84</v>
      </c>
      <c r="O1" s="28" t="s">
        <v>86</v>
      </c>
      <c r="P1" s="28" t="s">
        <v>88</v>
      </c>
      <c r="Q1" s="28" t="s">
        <v>89</v>
      </c>
      <c r="R1" s="28" t="s">
        <v>90</v>
      </c>
      <c r="S1" s="28" t="s">
        <v>91</v>
      </c>
      <c r="T1" s="28" t="s">
        <v>92</v>
      </c>
      <c r="U1" s="28" t="s">
        <v>93</v>
      </c>
      <c r="V1" s="28" t="s">
        <v>94</v>
      </c>
      <c r="W1" s="28" t="s">
        <v>95</v>
      </c>
      <c r="X1" s="28" t="s">
        <v>96</v>
      </c>
      <c r="Y1" s="28" t="s">
        <v>97</v>
      </c>
      <c r="Z1" s="28" t="s">
        <v>98</v>
      </c>
      <c r="AA1" s="28" t="s">
        <v>99</v>
      </c>
      <c r="AB1" s="28" t="s">
        <v>100</v>
      </c>
      <c r="AC1" s="28" t="s">
        <v>101</v>
      </c>
      <c r="AD1" s="28" t="s">
        <v>102</v>
      </c>
      <c r="AE1" s="28" t="s">
        <v>106</v>
      </c>
      <c r="AF1" s="28" t="s">
        <v>108</v>
      </c>
      <c r="AG1" s="28" t="s">
        <v>109</v>
      </c>
      <c r="AH1" s="28" t="s">
        <v>110</v>
      </c>
      <c r="AI1" s="28" t="s">
        <v>111</v>
      </c>
      <c r="AJ1" s="28" t="s">
        <v>112</v>
      </c>
      <c r="AK1" s="28" t="s">
        <v>113</v>
      </c>
      <c r="AL1" s="28" t="s">
        <v>116</v>
      </c>
      <c r="AM1" s="28" t="s">
        <v>117</v>
      </c>
      <c r="AN1" s="28" t="s">
        <v>118</v>
      </c>
      <c r="AO1" s="28" t="s">
        <v>119</v>
      </c>
      <c r="AP1" s="28" t="s">
        <v>120</v>
      </c>
      <c r="AQ1" s="28" t="s">
        <v>121</v>
      </c>
      <c r="AR1" s="28" t="s">
        <v>122</v>
      </c>
      <c r="AS1" s="28" t="s">
        <v>123</v>
      </c>
      <c r="AT1" s="28" t="s">
        <v>124</v>
      </c>
      <c r="AU1" s="28" t="s">
        <v>125</v>
      </c>
      <c r="AV1" s="28" t="s">
        <v>126</v>
      </c>
      <c r="AW1" s="28" t="s">
        <v>127</v>
      </c>
    </row>
    <row r="2" spans="1:49" x14ac:dyDescent="0.2">
      <c r="A2" s="29" t="s">
        <v>169</v>
      </c>
      <c r="B2" s="30">
        <f t="array" ref="B2:AW2">TRANSPOSE('prod-GMVP'!E2:E48)</f>
        <v>0</v>
      </c>
      <c r="C2" s="26">
        <v>0</v>
      </c>
      <c r="D2" s="26">
        <v>2.5270492211217837E-2</v>
      </c>
      <c r="E2" s="26">
        <v>0</v>
      </c>
      <c r="F2" s="26">
        <v>0</v>
      </c>
      <c r="G2" s="26">
        <v>0</v>
      </c>
      <c r="H2" s="26">
        <v>0</v>
      </c>
      <c r="I2" s="26">
        <v>0.62235405365052499</v>
      </c>
      <c r="J2" s="26">
        <v>1.5768675658189419E-2</v>
      </c>
      <c r="K2" s="26">
        <v>0</v>
      </c>
      <c r="L2" s="26">
        <v>0</v>
      </c>
      <c r="M2" s="26">
        <v>1.551585129149455E-2</v>
      </c>
      <c r="N2" s="26">
        <v>0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4.5749265913502216E-2</v>
      </c>
      <c r="V2" s="26">
        <v>0</v>
      </c>
      <c r="W2" s="26">
        <v>0</v>
      </c>
      <c r="X2" s="26">
        <v>0</v>
      </c>
      <c r="Y2" s="26">
        <v>0</v>
      </c>
      <c r="Z2" s="26">
        <v>0</v>
      </c>
      <c r="AA2" s="26">
        <v>0</v>
      </c>
      <c r="AB2" s="26">
        <v>0</v>
      </c>
      <c r="AC2" s="26">
        <v>0</v>
      </c>
      <c r="AD2" s="26">
        <v>0</v>
      </c>
      <c r="AE2" s="26">
        <v>0</v>
      </c>
      <c r="AF2" s="26">
        <v>0</v>
      </c>
      <c r="AG2" s="26">
        <v>7.3856566963619178E-3</v>
      </c>
      <c r="AH2" s="26">
        <v>9.6789926840193091E-3</v>
      </c>
      <c r="AI2" s="26">
        <v>0</v>
      </c>
      <c r="AJ2" s="26">
        <v>0.10433484298014233</v>
      </c>
      <c r="AK2" s="26">
        <v>0</v>
      </c>
      <c r="AL2" s="26">
        <v>0</v>
      </c>
      <c r="AM2" s="26">
        <v>0</v>
      </c>
      <c r="AN2" s="26">
        <v>0</v>
      </c>
      <c r="AO2" s="26">
        <v>0</v>
      </c>
      <c r="AP2" s="26">
        <v>2.3634101428358135E-2</v>
      </c>
      <c r="AQ2" s="26">
        <v>0</v>
      </c>
      <c r="AR2" s="26">
        <v>0</v>
      </c>
      <c r="AS2" s="26">
        <v>0</v>
      </c>
      <c r="AT2" s="26">
        <v>0</v>
      </c>
      <c r="AU2" s="26">
        <v>0</v>
      </c>
      <c r="AV2" s="26">
        <v>0.14074155178420344</v>
      </c>
      <c r="AW2" s="26" t="e">
        <v>#N/A</v>
      </c>
    </row>
    <row r="3" spans="1:49" x14ac:dyDescent="0.2">
      <c r="A3" s="26" t="s">
        <v>73</v>
      </c>
      <c r="B3" s="26">
        <f>'prod-GMVP'!E3</f>
        <v>0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x14ac:dyDescent="0.2">
      <c r="A4" s="26" t="s">
        <v>74</v>
      </c>
      <c r="B4" s="26">
        <f>'prod-GMVP'!E4</f>
        <v>2.5270492211217837E-2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x14ac:dyDescent="0.2">
      <c r="A5" s="26" t="s">
        <v>75</v>
      </c>
      <c r="B5" s="26">
        <f>'prod-GMVP'!E5</f>
        <v>0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x14ac:dyDescent="0.2">
      <c r="A6" s="26" t="s">
        <v>76</v>
      </c>
      <c r="B6" s="26">
        <f>'prod-GMVP'!E6</f>
        <v>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x14ac:dyDescent="0.2">
      <c r="A7" s="26" t="s">
        <v>77</v>
      </c>
      <c r="B7" s="26">
        <f>'prod-GMVP'!E7</f>
        <v>0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x14ac:dyDescent="0.2">
      <c r="A8" s="26" t="s">
        <v>78</v>
      </c>
      <c r="B8" s="26">
        <f>'prod-GMVP'!E8</f>
        <v>0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x14ac:dyDescent="0.2">
      <c r="A9" s="26" t="s">
        <v>79</v>
      </c>
      <c r="B9" s="26">
        <f>'prod-GMVP'!E9</f>
        <v>0.62235405365052499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x14ac:dyDescent="0.2">
      <c r="A10" s="26" t="s">
        <v>80</v>
      </c>
      <c r="B10" s="26">
        <f>'prod-GMVP'!E10</f>
        <v>1.5768675658189419E-2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x14ac:dyDescent="0.2">
      <c r="A11" s="26" t="s">
        <v>81</v>
      </c>
      <c r="B11" s="26">
        <f>'prod-GMVP'!E11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x14ac:dyDescent="0.2">
      <c r="A12" s="26" t="s">
        <v>82</v>
      </c>
      <c r="B12" s="26">
        <f>'prod-GMVP'!E12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x14ac:dyDescent="0.2">
      <c r="A13" s="26" t="s">
        <v>83</v>
      </c>
      <c r="B13" s="26">
        <f>'prod-GMVP'!E13</f>
        <v>1.551585129149455E-2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x14ac:dyDescent="0.2">
      <c r="A14" s="26" t="s">
        <v>84</v>
      </c>
      <c r="B14" s="26">
        <f>'prod-GMVP'!E14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x14ac:dyDescent="0.2">
      <c r="A15" s="26" t="s">
        <v>86</v>
      </c>
      <c r="B15" s="26">
        <f>'prod-GMVP'!E15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x14ac:dyDescent="0.2">
      <c r="A16" s="26" t="s">
        <v>88</v>
      </c>
      <c r="B16" s="26">
        <f>'prod-GMVP'!E16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x14ac:dyDescent="0.2">
      <c r="A17" s="26" t="s">
        <v>89</v>
      </c>
      <c r="B17" s="26">
        <f>'prod-GMVP'!E17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x14ac:dyDescent="0.2">
      <c r="A18" s="26" t="s">
        <v>90</v>
      </c>
      <c r="B18" s="26">
        <f>'prod-GMVP'!E18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x14ac:dyDescent="0.2">
      <c r="A19" s="26" t="s">
        <v>91</v>
      </c>
      <c r="B19" s="26">
        <f>'prod-GMVP'!E19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x14ac:dyDescent="0.2">
      <c r="A20" s="26" t="s">
        <v>92</v>
      </c>
      <c r="B20" s="26">
        <f>'prod-GMVP'!E20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x14ac:dyDescent="0.2">
      <c r="A21" s="26" t="s">
        <v>93</v>
      </c>
      <c r="B21" s="26">
        <f>'prod-GMVP'!E21</f>
        <v>4.5749265913502216E-2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x14ac:dyDescent="0.2">
      <c r="A22" s="26" t="s">
        <v>94</v>
      </c>
      <c r="B22" s="26">
        <f>'prod-GMVP'!E22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2">
      <c r="A23" s="26" t="s">
        <v>95</v>
      </c>
      <c r="B23" s="26">
        <f>'prod-GMVP'!E23</f>
        <v>0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x14ac:dyDescent="0.2">
      <c r="A24" s="26" t="s">
        <v>96</v>
      </c>
      <c r="B24" s="26">
        <f>'prod-GMVP'!E24</f>
        <v>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x14ac:dyDescent="0.2">
      <c r="A25" s="26" t="s">
        <v>97</v>
      </c>
      <c r="B25" s="26">
        <f>'prod-GMVP'!E25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x14ac:dyDescent="0.2">
      <c r="A26" s="26" t="s">
        <v>98</v>
      </c>
      <c r="B26" s="26">
        <f>'prod-GMVP'!E26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x14ac:dyDescent="0.2">
      <c r="A27" s="26" t="s">
        <v>99</v>
      </c>
      <c r="B27" s="26">
        <f>'prod-GMVP'!E27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x14ac:dyDescent="0.2">
      <c r="A28" s="26" t="s">
        <v>100</v>
      </c>
      <c r="B28" s="26">
        <f>'prod-GMVP'!E28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x14ac:dyDescent="0.2">
      <c r="A29" s="26" t="s">
        <v>101</v>
      </c>
      <c r="B29" s="26">
        <f>'prod-GMVP'!E29</f>
        <v>0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x14ac:dyDescent="0.2">
      <c r="A30" s="26" t="s">
        <v>102</v>
      </c>
      <c r="B30" s="26">
        <f>'prod-GMVP'!E30</f>
        <v>0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x14ac:dyDescent="0.2">
      <c r="A31" s="26" t="s">
        <v>106</v>
      </c>
      <c r="B31" s="26">
        <f>'prod-GMVP'!E31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x14ac:dyDescent="0.2">
      <c r="A32" s="26" t="s">
        <v>108</v>
      </c>
      <c r="B32" s="26">
        <f>'prod-GMVP'!E32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x14ac:dyDescent="0.2">
      <c r="A33" s="26" t="s">
        <v>109</v>
      </c>
      <c r="B33" s="26">
        <f>'prod-GMVP'!E33</f>
        <v>7.3856566963619178E-3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x14ac:dyDescent="0.2">
      <c r="A34" s="26" t="s">
        <v>110</v>
      </c>
      <c r="B34" s="26">
        <f>'prod-GMVP'!E34</f>
        <v>9.6789926840193091E-3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x14ac:dyDescent="0.2">
      <c r="A35" s="26" t="s">
        <v>111</v>
      </c>
      <c r="B35" s="26">
        <f>'prod-GMVP'!E35</f>
        <v>0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x14ac:dyDescent="0.2">
      <c r="A36" s="26" t="s">
        <v>112</v>
      </c>
      <c r="B36" s="26">
        <f>'prod-GMVP'!E36</f>
        <v>0.10433484298014233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x14ac:dyDescent="0.2">
      <c r="A37" s="26" t="s">
        <v>113</v>
      </c>
      <c r="B37" s="26">
        <f>'prod-GMVP'!E37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x14ac:dyDescent="0.2">
      <c r="A38" s="26" t="s">
        <v>116</v>
      </c>
      <c r="B38" s="26">
        <f>'prod-GMVP'!E38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x14ac:dyDescent="0.2">
      <c r="A39" s="26" t="s">
        <v>117</v>
      </c>
      <c r="B39" s="26">
        <f>'prod-GMVP'!E39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x14ac:dyDescent="0.2">
      <c r="A40" s="26" t="s">
        <v>118</v>
      </c>
      <c r="B40" s="26">
        <f>'prod-GMVP'!E40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x14ac:dyDescent="0.2">
      <c r="A41" s="26" t="s">
        <v>119</v>
      </c>
      <c r="B41" s="26">
        <f>'prod-GMVP'!E41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x14ac:dyDescent="0.2">
      <c r="A42" s="26" t="s">
        <v>120</v>
      </c>
      <c r="B42" s="26">
        <f>'prod-GMVP'!E42</f>
        <v>2.3634101428358135E-2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x14ac:dyDescent="0.2">
      <c r="A43" s="26" t="s">
        <v>121</v>
      </c>
      <c r="B43" s="26">
        <f>'prod-GMVP'!E43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x14ac:dyDescent="0.2">
      <c r="A44" s="26" t="s">
        <v>122</v>
      </c>
      <c r="B44" s="26">
        <f>'prod-GMVP'!E44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x14ac:dyDescent="0.2">
      <c r="A45" s="26" t="s">
        <v>123</v>
      </c>
      <c r="B45" s="26">
        <f>'prod-GMVP'!E45</f>
        <v>0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x14ac:dyDescent="0.2">
      <c r="A46" s="26" t="s">
        <v>124</v>
      </c>
      <c r="B46" s="26">
        <f>'prod-GMVP'!E46</f>
        <v>0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x14ac:dyDescent="0.2">
      <c r="A47" s="26" t="s">
        <v>125</v>
      </c>
      <c r="B47" s="26">
        <f>'prod-GMVP'!E47</f>
        <v>0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x14ac:dyDescent="0.2">
      <c r="A48" s="26" t="s">
        <v>126</v>
      </c>
      <c r="B48" s="26">
        <f>'prod-GMVP'!E48</f>
        <v>0.14074155178420344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ht="15" thickBot="1" x14ac:dyDescent="0.25">
      <c r="A49" s="27" t="s">
        <v>127</v>
      </c>
      <c r="B49" s="27" t="e">
        <f>'prod-GMVP'!#REF!</f>
        <v>#REF!</v>
      </c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79998168889431442"/>
  </sheetPr>
  <dimension ref="A1:AV48"/>
  <sheetViews>
    <sheetView showGridLines="0" zoomScale="55" zoomScaleNormal="55" workbookViewId="0">
      <selection activeCell="P7" sqref="P7"/>
    </sheetView>
  </sheetViews>
  <sheetFormatPr defaultRowHeight="14.25" x14ac:dyDescent="0.2"/>
  <cols>
    <col min="1" max="1" width="14.25" bestFit="1" customWidth="1"/>
  </cols>
  <sheetData>
    <row r="1" spans="1:48" x14ac:dyDescent="0.2">
      <c r="A1" s="28" t="s">
        <v>168</v>
      </c>
      <c r="B1" s="28" t="s">
        <v>73</v>
      </c>
      <c r="C1" s="28" t="s">
        <v>74</v>
      </c>
      <c r="D1" s="28" t="s">
        <v>75</v>
      </c>
      <c r="E1" s="28" t="s">
        <v>76</v>
      </c>
      <c r="F1" s="28" t="s">
        <v>77</v>
      </c>
      <c r="G1" s="28" t="s">
        <v>78</v>
      </c>
      <c r="H1" s="28" t="s">
        <v>79</v>
      </c>
      <c r="I1" s="28" t="s">
        <v>80</v>
      </c>
      <c r="J1" s="28" t="s">
        <v>81</v>
      </c>
      <c r="K1" s="28" t="s">
        <v>82</v>
      </c>
      <c r="L1" s="28" t="s">
        <v>83</v>
      </c>
      <c r="M1" s="28" t="s">
        <v>84</v>
      </c>
      <c r="N1" s="28" t="s">
        <v>86</v>
      </c>
      <c r="O1" s="28" t="s">
        <v>88</v>
      </c>
      <c r="P1" s="28" t="s">
        <v>89</v>
      </c>
      <c r="Q1" s="28" t="s">
        <v>90</v>
      </c>
      <c r="R1" s="28" t="s">
        <v>91</v>
      </c>
      <c r="S1" s="28" t="s">
        <v>92</v>
      </c>
      <c r="T1" s="28" t="s">
        <v>93</v>
      </c>
      <c r="U1" s="28" t="s">
        <v>94</v>
      </c>
      <c r="V1" s="28" t="s">
        <v>95</v>
      </c>
      <c r="W1" s="28" t="s">
        <v>96</v>
      </c>
      <c r="X1" s="28" t="s">
        <v>97</v>
      </c>
      <c r="Y1" s="28" t="s">
        <v>98</v>
      </c>
      <c r="Z1" s="28" t="s">
        <v>99</v>
      </c>
      <c r="AA1" s="28" t="s">
        <v>100</v>
      </c>
      <c r="AB1" s="28" t="s">
        <v>101</v>
      </c>
      <c r="AC1" s="28" t="s">
        <v>102</v>
      </c>
      <c r="AD1" s="28" t="s">
        <v>106</v>
      </c>
      <c r="AE1" s="28" t="s">
        <v>108</v>
      </c>
      <c r="AF1" s="28" t="s">
        <v>109</v>
      </c>
      <c r="AG1" s="28" t="s">
        <v>110</v>
      </c>
      <c r="AH1" s="28" t="s">
        <v>111</v>
      </c>
      <c r="AI1" s="28" t="s">
        <v>112</v>
      </c>
      <c r="AJ1" s="28" t="s">
        <v>113</v>
      </c>
      <c r="AK1" s="28" t="s">
        <v>116</v>
      </c>
      <c r="AL1" s="28" t="s">
        <v>117</v>
      </c>
      <c r="AM1" s="28" t="s">
        <v>118</v>
      </c>
      <c r="AN1" s="28" t="s">
        <v>119</v>
      </c>
      <c r="AO1" s="28" t="s">
        <v>120</v>
      </c>
      <c r="AP1" s="28" t="s">
        <v>121</v>
      </c>
      <c r="AQ1" s="28" t="s">
        <v>122</v>
      </c>
      <c r="AR1" s="28" t="s">
        <v>123</v>
      </c>
      <c r="AS1" s="28" t="s">
        <v>124</v>
      </c>
      <c r="AT1" s="28" t="s">
        <v>125</v>
      </c>
      <c r="AU1" s="28" t="s">
        <v>126</v>
      </c>
      <c r="AV1" s="28" t="s">
        <v>127</v>
      </c>
    </row>
    <row r="2" spans="1:48" x14ac:dyDescent="0.2">
      <c r="A2" s="26" t="s">
        <v>73</v>
      </c>
      <c r="B2" s="26">
        <f>'calc-Weights'!B$2*'calc-Weights'!$B2*'calc-CovarMatrix'!B2</f>
        <v>0</v>
      </c>
      <c r="C2" s="26">
        <f>'calc-Weights'!C$2*'calc-Weights'!$B2*'calc-CovarMatrix'!C2</f>
        <v>0</v>
      </c>
      <c r="D2" s="26">
        <f>'calc-Weights'!D$2*'calc-Weights'!$B2*'calc-CovarMatrix'!D2</f>
        <v>0</v>
      </c>
      <c r="E2" s="26">
        <f>'calc-Weights'!E$2*'calc-Weights'!$B2*'calc-CovarMatrix'!E2</f>
        <v>0</v>
      </c>
      <c r="F2" s="26">
        <f>'calc-Weights'!F$2*'calc-Weights'!$B2*'calc-CovarMatrix'!F2</f>
        <v>0</v>
      </c>
      <c r="G2" s="26">
        <f>'calc-Weights'!G$2*'calc-Weights'!$B2*'calc-CovarMatrix'!G2</f>
        <v>0</v>
      </c>
      <c r="H2" s="26">
        <f>'calc-Weights'!H$2*'calc-Weights'!$B2*'calc-CovarMatrix'!H2</f>
        <v>0</v>
      </c>
      <c r="I2" s="26">
        <f>'calc-Weights'!I$2*'calc-Weights'!$B2*'calc-CovarMatrix'!I2</f>
        <v>0</v>
      </c>
      <c r="J2" s="26">
        <f>'calc-Weights'!J$2*'calc-Weights'!$B2*'calc-CovarMatrix'!J2</f>
        <v>0</v>
      </c>
      <c r="K2" s="26">
        <f>'calc-Weights'!K$2*'calc-Weights'!$B2*'calc-CovarMatrix'!K2</f>
        <v>0</v>
      </c>
      <c r="L2" s="26">
        <f>'calc-Weights'!L$2*'calc-Weights'!$B2*'calc-CovarMatrix'!L2</f>
        <v>0</v>
      </c>
      <c r="M2" s="26">
        <f>'calc-Weights'!M$2*'calc-Weights'!$B2*'calc-CovarMatrix'!M2</f>
        <v>0</v>
      </c>
      <c r="N2" s="26">
        <f>'calc-Weights'!N$2*'calc-Weights'!$B2*'calc-CovarMatrix'!N2</f>
        <v>0</v>
      </c>
      <c r="O2" s="26">
        <f>'calc-Weights'!O$2*'calc-Weights'!$B2*'calc-CovarMatrix'!O2</f>
        <v>0</v>
      </c>
      <c r="P2" s="26">
        <f>'calc-Weights'!P$2*'calc-Weights'!$B2*'calc-CovarMatrix'!P2</f>
        <v>0</v>
      </c>
      <c r="Q2" s="26">
        <f>'calc-Weights'!Q$2*'calc-Weights'!$B2*'calc-CovarMatrix'!Q2</f>
        <v>0</v>
      </c>
      <c r="R2" s="26">
        <f>'calc-Weights'!R$2*'calc-Weights'!$B2*'calc-CovarMatrix'!R2</f>
        <v>0</v>
      </c>
      <c r="S2" s="26">
        <f>'calc-Weights'!S$2*'calc-Weights'!$B2*'calc-CovarMatrix'!S2</f>
        <v>0</v>
      </c>
      <c r="T2" s="26">
        <f>'calc-Weights'!T$2*'calc-Weights'!$B2*'calc-CovarMatrix'!T2</f>
        <v>0</v>
      </c>
      <c r="U2" s="26">
        <f>'calc-Weights'!U$2*'calc-Weights'!$B2*'calc-CovarMatrix'!U2</f>
        <v>0</v>
      </c>
      <c r="V2" s="26">
        <f>'calc-Weights'!V$2*'calc-Weights'!$B2*'calc-CovarMatrix'!V2</f>
        <v>0</v>
      </c>
      <c r="W2" s="26">
        <f>'calc-Weights'!W$2*'calc-Weights'!$B2*'calc-CovarMatrix'!W2</f>
        <v>0</v>
      </c>
      <c r="X2" s="26">
        <f>'calc-Weights'!X$2*'calc-Weights'!$B2*'calc-CovarMatrix'!X2</f>
        <v>0</v>
      </c>
      <c r="Y2" s="26">
        <f>'calc-Weights'!Y$2*'calc-Weights'!$B2*'calc-CovarMatrix'!Y2</f>
        <v>0</v>
      </c>
      <c r="Z2" s="26">
        <f>'calc-Weights'!Z$2*'calc-Weights'!$B2*'calc-CovarMatrix'!Z2</f>
        <v>0</v>
      </c>
      <c r="AA2" s="26">
        <f>'calc-Weights'!AA$2*'calc-Weights'!$B2*'calc-CovarMatrix'!AA2</f>
        <v>0</v>
      </c>
      <c r="AB2" s="26">
        <f>'calc-Weights'!AB$2*'calc-Weights'!$B2*'calc-CovarMatrix'!AB2</f>
        <v>0</v>
      </c>
      <c r="AC2" s="26">
        <f>'calc-Weights'!AC$2*'calc-Weights'!$B2*'calc-CovarMatrix'!AC2</f>
        <v>0</v>
      </c>
      <c r="AD2" s="26">
        <f>'calc-Weights'!AD$2*'calc-Weights'!$B2*'calc-CovarMatrix'!AD2</f>
        <v>0</v>
      </c>
      <c r="AE2" s="26">
        <f>'calc-Weights'!AE$2*'calc-Weights'!$B2*'calc-CovarMatrix'!AE2</f>
        <v>0</v>
      </c>
      <c r="AF2" s="26">
        <f>'calc-Weights'!AF$2*'calc-Weights'!$B2*'calc-CovarMatrix'!AF2</f>
        <v>0</v>
      </c>
      <c r="AG2" s="26">
        <f>'calc-Weights'!AG$2*'calc-Weights'!$B2*'calc-CovarMatrix'!AG2</f>
        <v>0</v>
      </c>
      <c r="AH2" s="26">
        <f>'calc-Weights'!AH$2*'calc-Weights'!$B2*'calc-CovarMatrix'!AH2</f>
        <v>0</v>
      </c>
      <c r="AI2" s="26">
        <f>'calc-Weights'!AI$2*'calc-Weights'!$B2*'calc-CovarMatrix'!AI2</f>
        <v>0</v>
      </c>
      <c r="AJ2" s="26">
        <f>'calc-Weights'!AJ$2*'calc-Weights'!$B2*'calc-CovarMatrix'!AJ2</f>
        <v>0</v>
      </c>
      <c r="AK2" s="26">
        <f>'calc-Weights'!AK$2*'calc-Weights'!$B2*'calc-CovarMatrix'!AK2</f>
        <v>0</v>
      </c>
      <c r="AL2" s="26">
        <f>'calc-Weights'!AL$2*'calc-Weights'!$B2*'calc-CovarMatrix'!AL2</f>
        <v>0</v>
      </c>
      <c r="AM2" s="26">
        <f>'calc-Weights'!AM$2*'calc-Weights'!$B2*'calc-CovarMatrix'!AM2</f>
        <v>0</v>
      </c>
      <c r="AN2" s="26">
        <f>'calc-Weights'!AN$2*'calc-Weights'!$B2*'calc-CovarMatrix'!AN2</f>
        <v>0</v>
      </c>
      <c r="AO2" s="26">
        <f>'calc-Weights'!AO$2*'calc-Weights'!$B2*'calc-CovarMatrix'!AO2</f>
        <v>0</v>
      </c>
      <c r="AP2" s="26">
        <f>'calc-Weights'!AP$2*'calc-Weights'!$B2*'calc-CovarMatrix'!AP2</f>
        <v>0</v>
      </c>
      <c r="AQ2" s="26">
        <f>'calc-Weights'!AQ$2*'calc-Weights'!$B2*'calc-CovarMatrix'!AQ2</f>
        <v>0</v>
      </c>
      <c r="AR2" s="26">
        <f>'calc-Weights'!AR$2*'calc-Weights'!$B2*'calc-CovarMatrix'!AR2</f>
        <v>0</v>
      </c>
      <c r="AS2" s="26">
        <f>'calc-Weights'!AS$2*'calc-Weights'!$B2*'calc-CovarMatrix'!AS2</f>
        <v>0</v>
      </c>
      <c r="AT2" s="26">
        <f>'calc-Weights'!AT$2*'calc-Weights'!$B2*'calc-CovarMatrix'!AT2</f>
        <v>0</v>
      </c>
      <c r="AU2" s="26">
        <f>'calc-Weights'!AU$2*'calc-Weights'!$B2*'calc-CovarMatrix'!AU2</f>
        <v>0</v>
      </c>
      <c r="AV2" s="26">
        <f>'calc-Weights'!AV$2*'calc-Weights'!$B2*'calc-CovarMatrix'!AV2</f>
        <v>0</v>
      </c>
    </row>
    <row r="3" spans="1:48" x14ac:dyDescent="0.2">
      <c r="A3" s="26" t="s">
        <v>74</v>
      </c>
      <c r="B3" s="26">
        <f>'calc-Weights'!B$2*'calc-Weights'!$B3*'calc-CovarMatrix'!B3</f>
        <v>0</v>
      </c>
      <c r="C3" s="26">
        <f>'calc-Weights'!C$2*'calc-Weights'!$B3*'calc-CovarMatrix'!C3</f>
        <v>0</v>
      </c>
      <c r="D3" s="26">
        <f>'calc-Weights'!D$2*'calc-Weights'!$B3*'calc-CovarMatrix'!D3</f>
        <v>0</v>
      </c>
      <c r="E3" s="26">
        <f>'calc-Weights'!E$2*'calc-Weights'!$B3*'calc-CovarMatrix'!E3</f>
        <v>0</v>
      </c>
      <c r="F3" s="26">
        <f>'calc-Weights'!F$2*'calc-Weights'!$B3*'calc-CovarMatrix'!F3</f>
        <v>0</v>
      </c>
      <c r="G3" s="26">
        <f>'calc-Weights'!G$2*'calc-Weights'!$B3*'calc-CovarMatrix'!G3</f>
        <v>0</v>
      </c>
      <c r="H3" s="26">
        <f>'calc-Weights'!H$2*'calc-Weights'!$B3*'calc-CovarMatrix'!H3</f>
        <v>0</v>
      </c>
      <c r="I3" s="26">
        <f>'calc-Weights'!I$2*'calc-Weights'!$B3*'calc-CovarMatrix'!I3</f>
        <v>0</v>
      </c>
      <c r="J3" s="26">
        <f>'calc-Weights'!J$2*'calc-Weights'!$B3*'calc-CovarMatrix'!J3</f>
        <v>0</v>
      </c>
      <c r="K3" s="26">
        <f>'calc-Weights'!K$2*'calc-Weights'!$B3*'calc-CovarMatrix'!K3</f>
        <v>0</v>
      </c>
      <c r="L3" s="26">
        <f>'calc-Weights'!L$2*'calc-Weights'!$B3*'calc-CovarMatrix'!L3</f>
        <v>0</v>
      </c>
      <c r="M3" s="26">
        <f>'calc-Weights'!M$2*'calc-Weights'!$B3*'calc-CovarMatrix'!M3</f>
        <v>0</v>
      </c>
      <c r="N3" s="26">
        <f>'calc-Weights'!N$2*'calc-Weights'!$B3*'calc-CovarMatrix'!N3</f>
        <v>0</v>
      </c>
      <c r="O3" s="26">
        <f>'calc-Weights'!O$2*'calc-Weights'!$B3*'calc-CovarMatrix'!O3</f>
        <v>0</v>
      </c>
      <c r="P3" s="26">
        <f>'calc-Weights'!P$2*'calc-Weights'!$B3*'calc-CovarMatrix'!P3</f>
        <v>0</v>
      </c>
      <c r="Q3" s="26">
        <f>'calc-Weights'!Q$2*'calc-Weights'!$B3*'calc-CovarMatrix'!Q3</f>
        <v>0</v>
      </c>
      <c r="R3" s="26">
        <f>'calc-Weights'!R$2*'calc-Weights'!$B3*'calc-CovarMatrix'!R3</f>
        <v>0</v>
      </c>
      <c r="S3" s="26">
        <f>'calc-Weights'!S$2*'calc-Weights'!$B3*'calc-CovarMatrix'!S3</f>
        <v>0</v>
      </c>
      <c r="T3" s="26">
        <f>'calc-Weights'!T$2*'calc-Weights'!$B3*'calc-CovarMatrix'!T3</f>
        <v>0</v>
      </c>
      <c r="U3" s="26">
        <f>'calc-Weights'!U$2*'calc-Weights'!$B3*'calc-CovarMatrix'!U3</f>
        <v>0</v>
      </c>
      <c r="V3" s="26">
        <f>'calc-Weights'!V$2*'calc-Weights'!$B3*'calc-CovarMatrix'!V3</f>
        <v>0</v>
      </c>
      <c r="W3" s="26">
        <f>'calc-Weights'!W$2*'calc-Weights'!$B3*'calc-CovarMatrix'!W3</f>
        <v>0</v>
      </c>
      <c r="X3" s="26">
        <f>'calc-Weights'!X$2*'calc-Weights'!$B3*'calc-CovarMatrix'!X3</f>
        <v>0</v>
      </c>
      <c r="Y3" s="26">
        <f>'calc-Weights'!Y$2*'calc-Weights'!$B3*'calc-CovarMatrix'!Y3</f>
        <v>0</v>
      </c>
      <c r="Z3" s="26">
        <f>'calc-Weights'!Z$2*'calc-Weights'!$B3*'calc-CovarMatrix'!Z3</f>
        <v>0</v>
      </c>
      <c r="AA3" s="26">
        <f>'calc-Weights'!AA$2*'calc-Weights'!$B3*'calc-CovarMatrix'!AA3</f>
        <v>0</v>
      </c>
      <c r="AB3" s="26">
        <f>'calc-Weights'!AB$2*'calc-Weights'!$B3*'calc-CovarMatrix'!AB3</f>
        <v>0</v>
      </c>
      <c r="AC3" s="26">
        <f>'calc-Weights'!AC$2*'calc-Weights'!$B3*'calc-CovarMatrix'!AC3</f>
        <v>0</v>
      </c>
      <c r="AD3" s="26">
        <f>'calc-Weights'!AD$2*'calc-Weights'!$B3*'calc-CovarMatrix'!AD3</f>
        <v>0</v>
      </c>
      <c r="AE3" s="26">
        <f>'calc-Weights'!AE$2*'calc-Weights'!$B3*'calc-CovarMatrix'!AE3</f>
        <v>0</v>
      </c>
      <c r="AF3" s="26">
        <f>'calc-Weights'!AF$2*'calc-Weights'!$B3*'calc-CovarMatrix'!AF3</f>
        <v>0</v>
      </c>
      <c r="AG3" s="26">
        <f>'calc-Weights'!AG$2*'calc-Weights'!$B3*'calc-CovarMatrix'!AG3</f>
        <v>0</v>
      </c>
      <c r="AH3" s="26">
        <f>'calc-Weights'!AH$2*'calc-Weights'!$B3*'calc-CovarMatrix'!AH3</f>
        <v>0</v>
      </c>
      <c r="AI3" s="26">
        <f>'calc-Weights'!AI$2*'calc-Weights'!$B3*'calc-CovarMatrix'!AI3</f>
        <v>0</v>
      </c>
      <c r="AJ3" s="26">
        <f>'calc-Weights'!AJ$2*'calc-Weights'!$B3*'calc-CovarMatrix'!AJ3</f>
        <v>0</v>
      </c>
      <c r="AK3" s="26">
        <f>'calc-Weights'!AK$2*'calc-Weights'!$B3*'calc-CovarMatrix'!AK3</f>
        <v>0</v>
      </c>
      <c r="AL3" s="26">
        <f>'calc-Weights'!AL$2*'calc-Weights'!$B3*'calc-CovarMatrix'!AL3</f>
        <v>0</v>
      </c>
      <c r="AM3" s="26">
        <f>'calc-Weights'!AM$2*'calc-Weights'!$B3*'calc-CovarMatrix'!AM3</f>
        <v>0</v>
      </c>
      <c r="AN3" s="26">
        <f>'calc-Weights'!AN$2*'calc-Weights'!$B3*'calc-CovarMatrix'!AN3</f>
        <v>0</v>
      </c>
      <c r="AO3" s="26">
        <f>'calc-Weights'!AO$2*'calc-Weights'!$B3*'calc-CovarMatrix'!AO3</f>
        <v>0</v>
      </c>
      <c r="AP3" s="26">
        <f>'calc-Weights'!AP$2*'calc-Weights'!$B3*'calc-CovarMatrix'!AP3</f>
        <v>0</v>
      </c>
      <c r="AQ3" s="26">
        <f>'calc-Weights'!AQ$2*'calc-Weights'!$B3*'calc-CovarMatrix'!AQ3</f>
        <v>0</v>
      </c>
      <c r="AR3" s="26">
        <f>'calc-Weights'!AR$2*'calc-Weights'!$B3*'calc-CovarMatrix'!AR3</f>
        <v>0</v>
      </c>
      <c r="AS3" s="26">
        <f>'calc-Weights'!AS$2*'calc-Weights'!$B3*'calc-CovarMatrix'!AS3</f>
        <v>0</v>
      </c>
      <c r="AT3" s="26">
        <f>'calc-Weights'!AT$2*'calc-Weights'!$B3*'calc-CovarMatrix'!AT3</f>
        <v>0</v>
      </c>
      <c r="AU3" s="26">
        <f>'calc-Weights'!AU$2*'calc-Weights'!$B3*'calc-CovarMatrix'!AU3</f>
        <v>0</v>
      </c>
      <c r="AV3" s="26">
        <f>'calc-Weights'!AV$2*'calc-Weights'!$B3*'calc-CovarMatrix'!AV3</f>
        <v>0</v>
      </c>
    </row>
    <row r="4" spans="1:48" x14ac:dyDescent="0.2">
      <c r="A4" s="26" t="s">
        <v>75</v>
      </c>
      <c r="B4" s="26">
        <f>'calc-Weights'!B$2*'calc-Weights'!$B4*'calc-CovarMatrix'!B4</f>
        <v>0</v>
      </c>
      <c r="C4" s="26">
        <f>'calc-Weights'!C$2*'calc-Weights'!$B4*'calc-CovarMatrix'!C4</f>
        <v>0</v>
      </c>
      <c r="D4" s="26">
        <f>'calc-Weights'!D$2*'calc-Weights'!$B4*'calc-CovarMatrix'!D4</f>
        <v>6.2359789628741783E-8</v>
      </c>
      <c r="E4" s="26">
        <f>'calc-Weights'!E$2*'calc-Weights'!$B4*'calc-CovarMatrix'!E4</f>
        <v>0</v>
      </c>
      <c r="F4" s="26">
        <f>'calc-Weights'!F$2*'calc-Weights'!$B4*'calc-CovarMatrix'!F4</f>
        <v>0</v>
      </c>
      <c r="G4" s="26">
        <f>'calc-Weights'!G$2*'calc-Weights'!$B4*'calc-CovarMatrix'!G4</f>
        <v>0</v>
      </c>
      <c r="H4" s="26">
        <f>'calc-Weights'!H$2*'calc-Weights'!$B4*'calc-CovarMatrix'!H4</f>
        <v>0</v>
      </c>
      <c r="I4" s="26">
        <f>'calc-Weights'!I$2*'calc-Weights'!$B4*'calc-CovarMatrix'!I4</f>
        <v>2.5485729308440066E-7</v>
      </c>
      <c r="J4" s="26">
        <f>'calc-Weights'!J$2*'calc-Weights'!$B4*'calc-CovarMatrix'!J4</f>
        <v>3.046975661264147E-8</v>
      </c>
      <c r="K4" s="26">
        <f>'calc-Weights'!K$2*'calc-Weights'!$B4*'calc-CovarMatrix'!K4</f>
        <v>0</v>
      </c>
      <c r="L4" s="26">
        <f>'calc-Weights'!L$2*'calc-Weights'!$B4*'calc-CovarMatrix'!L4</f>
        <v>0</v>
      </c>
      <c r="M4" s="26">
        <f>'calc-Weights'!M$2*'calc-Weights'!$B4*'calc-CovarMatrix'!M4</f>
        <v>1.0403226700424711E-8</v>
      </c>
      <c r="N4" s="26">
        <f>'calc-Weights'!N$2*'calc-Weights'!$B4*'calc-CovarMatrix'!N4</f>
        <v>0</v>
      </c>
      <c r="O4" s="26">
        <f>'calc-Weights'!O$2*'calc-Weights'!$B4*'calc-CovarMatrix'!O4</f>
        <v>0</v>
      </c>
      <c r="P4" s="26">
        <f>'calc-Weights'!P$2*'calc-Weights'!$B4*'calc-CovarMatrix'!P4</f>
        <v>0</v>
      </c>
      <c r="Q4" s="26">
        <f>'calc-Weights'!Q$2*'calc-Weights'!$B4*'calc-CovarMatrix'!Q4</f>
        <v>0</v>
      </c>
      <c r="R4" s="26">
        <f>'calc-Weights'!R$2*'calc-Weights'!$B4*'calc-CovarMatrix'!R4</f>
        <v>0</v>
      </c>
      <c r="S4" s="26">
        <f>'calc-Weights'!S$2*'calc-Weights'!$B4*'calc-CovarMatrix'!S4</f>
        <v>0</v>
      </c>
      <c r="T4" s="26">
        <f>'calc-Weights'!T$2*'calc-Weights'!$B4*'calc-CovarMatrix'!T4</f>
        <v>0</v>
      </c>
      <c r="U4" s="26">
        <f>'calc-Weights'!U$2*'calc-Weights'!$B4*'calc-CovarMatrix'!U4</f>
        <v>-6.3632816161342021E-8</v>
      </c>
      <c r="V4" s="26">
        <f>'calc-Weights'!V$2*'calc-Weights'!$B4*'calc-CovarMatrix'!V4</f>
        <v>0</v>
      </c>
      <c r="W4" s="26">
        <f>'calc-Weights'!W$2*'calc-Weights'!$B4*'calc-CovarMatrix'!W4</f>
        <v>0</v>
      </c>
      <c r="X4" s="26">
        <f>'calc-Weights'!X$2*'calc-Weights'!$B4*'calc-CovarMatrix'!X4</f>
        <v>0</v>
      </c>
      <c r="Y4" s="26">
        <f>'calc-Weights'!Y$2*'calc-Weights'!$B4*'calc-CovarMatrix'!Y4</f>
        <v>0</v>
      </c>
      <c r="Z4" s="26">
        <f>'calc-Weights'!Z$2*'calc-Weights'!$B4*'calc-CovarMatrix'!Z4</f>
        <v>0</v>
      </c>
      <c r="AA4" s="26">
        <f>'calc-Weights'!AA$2*'calc-Weights'!$B4*'calc-CovarMatrix'!AA4</f>
        <v>0</v>
      </c>
      <c r="AB4" s="26">
        <f>'calc-Weights'!AB$2*'calc-Weights'!$B4*'calc-CovarMatrix'!AB4</f>
        <v>0</v>
      </c>
      <c r="AC4" s="26">
        <f>'calc-Weights'!AC$2*'calc-Weights'!$B4*'calc-CovarMatrix'!AC4</f>
        <v>0</v>
      </c>
      <c r="AD4" s="26">
        <f>'calc-Weights'!AD$2*'calc-Weights'!$B4*'calc-CovarMatrix'!AD4</f>
        <v>0</v>
      </c>
      <c r="AE4" s="26">
        <f>'calc-Weights'!AE$2*'calc-Weights'!$B4*'calc-CovarMatrix'!AE4</f>
        <v>0</v>
      </c>
      <c r="AF4" s="26">
        <f>'calc-Weights'!AF$2*'calc-Weights'!$B4*'calc-CovarMatrix'!AF4</f>
        <v>0</v>
      </c>
      <c r="AG4" s="26">
        <f>'calc-Weights'!AG$2*'calc-Weights'!$B4*'calc-CovarMatrix'!AG4</f>
        <v>-1.6667700696885728E-8</v>
      </c>
      <c r="AH4" s="26">
        <f>'calc-Weights'!AH$2*'calc-Weights'!$B4*'calc-CovarMatrix'!AH4</f>
        <v>-2.5774193321119152E-8</v>
      </c>
      <c r="AI4" s="26">
        <f>'calc-Weights'!AI$2*'calc-Weights'!$B4*'calc-CovarMatrix'!AI4</f>
        <v>0</v>
      </c>
      <c r="AJ4" s="26">
        <f>'calc-Weights'!AJ$2*'calc-Weights'!$B4*'calc-CovarMatrix'!AJ4</f>
        <v>6.8468206479706609E-8</v>
      </c>
      <c r="AK4" s="26">
        <f>'calc-Weights'!AK$2*'calc-Weights'!$B4*'calc-CovarMatrix'!AK4</f>
        <v>0</v>
      </c>
      <c r="AL4" s="26">
        <f>'calc-Weights'!AL$2*'calc-Weights'!$B4*'calc-CovarMatrix'!AL4</f>
        <v>0</v>
      </c>
      <c r="AM4" s="26">
        <f>'calc-Weights'!AM$2*'calc-Weights'!$B4*'calc-CovarMatrix'!AM4</f>
        <v>0</v>
      </c>
      <c r="AN4" s="26">
        <f>'calc-Weights'!AN$2*'calc-Weights'!$B4*'calc-CovarMatrix'!AN4</f>
        <v>0</v>
      </c>
      <c r="AO4" s="26">
        <f>'calc-Weights'!AO$2*'calc-Weights'!$B4*'calc-CovarMatrix'!AO4</f>
        <v>0</v>
      </c>
      <c r="AP4" s="26">
        <f>'calc-Weights'!AP$2*'calc-Weights'!$B4*'calc-CovarMatrix'!AP4</f>
        <v>-1.3147942503705956E-7</v>
      </c>
      <c r="AQ4" s="26">
        <f>'calc-Weights'!AQ$2*'calc-Weights'!$B4*'calc-CovarMatrix'!AQ4</f>
        <v>0</v>
      </c>
      <c r="AR4" s="26">
        <f>'calc-Weights'!AR$2*'calc-Weights'!$B4*'calc-CovarMatrix'!AR4</f>
        <v>0</v>
      </c>
      <c r="AS4" s="26">
        <f>'calc-Weights'!AS$2*'calc-Weights'!$B4*'calc-CovarMatrix'!AS4</f>
        <v>0</v>
      </c>
      <c r="AT4" s="26">
        <f>'calc-Weights'!AT$2*'calc-Weights'!$B4*'calc-CovarMatrix'!AT4</f>
        <v>0</v>
      </c>
      <c r="AU4" s="26">
        <f>'calc-Weights'!AU$2*'calc-Weights'!$B4*'calc-CovarMatrix'!AU4</f>
        <v>0</v>
      </c>
      <c r="AV4" s="26">
        <f>'calc-Weights'!AV$2*'calc-Weights'!$B4*'calc-CovarMatrix'!AV4</f>
        <v>4.9689233515040277E-7</v>
      </c>
    </row>
    <row r="5" spans="1:48" x14ac:dyDescent="0.2">
      <c r="A5" s="26" t="s">
        <v>76</v>
      </c>
      <c r="B5" s="26">
        <f>'calc-Weights'!B$2*'calc-Weights'!$B5*'calc-CovarMatrix'!B5</f>
        <v>0</v>
      </c>
      <c r="C5" s="26">
        <f>'calc-Weights'!C$2*'calc-Weights'!$B5*'calc-CovarMatrix'!C5</f>
        <v>0</v>
      </c>
      <c r="D5" s="26">
        <f>'calc-Weights'!D$2*'calc-Weights'!$B5*'calc-CovarMatrix'!D5</f>
        <v>0</v>
      </c>
      <c r="E5" s="26">
        <f>'calc-Weights'!E$2*'calc-Weights'!$B5*'calc-CovarMatrix'!E5</f>
        <v>0</v>
      </c>
      <c r="F5" s="26">
        <f>'calc-Weights'!F$2*'calc-Weights'!$B5*'calc-CovarMatrix'!F5</f>
        <v>0</v>
      </c>
      <c r="G5" s="26">
        <f>'calc-Weights'!G$2*'calc-Weights'!$B5*'calc-CovarMatrix'!G5</f>
        <v>0</v>
      </c>
      <c r="H5" s="26">
        <f>'calc-Weights'!H$2*'calc-Weights'!$B5*'calc-CovarMatrix'!H5</f>
        <v>0</v>
      </c>
      <c r="I5" s="26">
        <f>'calc-Weights'!I$2*'calc-Weights'!$B5*'calc-CovarMatrix'!I5</f>
        <v>0</v>
      </c>
      <c r="J5" s="26">
        <f>'calc-Weights'!J$2*'calc-Weights'!$B5*'calc-CovarMatrix'!J5</f>
        <v>0</v>
      </c>
      <c r="K5" s="26">
        <f>'calc-Weights'!K$2*'calc-Weights'!$B5*'calc-CovarMatrix'!K5</f>
        <v>0</v>
      </c>
      <c r="L5" s="26">
        <f>'calc-Weights'!L$2*'calc-Weights'!$B5*'calc-CovarMatrix'!L5</f>
        <v>0</v>
      </c>
      <c r="M5" s="26">
        <f>'calc-Weights'!M$2*'calc-Weights'!$B5*'calc-CovarMatrix'!M5</f>
        <v>0</v>
      </c>
      <c r="N5" s="26">
        <f>'calc-Weights'!N$2*'calc-Weights'!$B5*'calc-CovarMatrix'!N5</f>
        <v>0</v>
      </c>
      <c r="O5" s="26">
        <f>'calc-Weights'!O$2*'calc-Weights'!$B5*'calc-CovarMatrix'!O5</f>
        <v>0</v>
      </c>
      <c r="P5" s="26">
        <f>'calc-Weights'!P$2*'calc-Weights'!$B5*'calc-CovarMatrix'!P5</f>
        <v>0</v>
      </c>
      <c r="Q5" s="26">
        <f>'calc-Weights'!Q$2*'calc-Weights'!$B5*'calc-CovarMatrix'!Q5</f>
        <v>0</v>
      </c>
      <c r="R5" s="26">
        <f>'calc-Weights'!R$2*'calc-Weights'!$B5*'calc-CovarMatrix'!R5</f>
        <v>0</v>
      </c>
      <c r="S5" s="26">
        <f>'calc-Weights'!S$2*'calc-Weights'!$B5*'calc-CovarMatrix'!S5</f>
        <v>0</v>
      </c>
      <c r="T5" s="26">
        <f>'calc-Weights'!T$2*'calc-Weights'!$B5*'calc-CovarMatrix'!T5</f>
        <v>0</v>
      </c>
      <c r="U5" s="26">
        <f>'calc-Weights'!U$2*'calc-Weights'!$B5*'calc-CovarMatrix'!U5</f>
        <v>0</v>
      </c>
      <c r="V5" s="26">
        <f>'calc-Weights'!V$2*'calc-Weights'!$B5*'calc-CovarMatrix'!V5</f>
        <v>0</v>
      </c>
      <c r="W5" s="26">
        <f>'calc-Weights'!W$2*'calc-Weights'!$B5*'calc-CovarMatrix'!W5</f>
        <v>0</v>
      </c>
      <c r="X5" s="26">
        <f>'calc-Weights'!X$2*'calc-Weights'!$B5*'calc-CovarMatrix'!X5</f>
        <v>0</v>
      </c>
      <c r="Y5" s="26">
        <f>'calc-Weights'!Y$2*'calc-Weights'!$B5*'calc-CovarMatrix'!Y5</f>
        <v>0</v>
      </c>
      <c r="Z5" s="26">
        <f>'calc-Weights'!Z$2*'calc-Weights'!$B5*'calc-CovarMatrix'!Z5</f>
        <v>0</v>
      </c>
      <c r="AA5" s="26">
        <f>'calc-Weights'!AA$2*'calc-Weights'!$B5*'calc-CovarMatrix'!AA5</f>
        <v>0</v>
      </c>
      <c r="AB5" s="26">
        <f>'calc-Weights'!AB$2*'calc-Weights'!$B5*'calc-CovarMatrix'!AB5</f>
        <v>0</v>
      </c>
      <c r="AC5" s="26">
        <f>'calc-Weights'!AC$2*'calc-Weights'!$B5*'calc-CovarMatrix'!AC5</f>
        <v>0</v>
      </c>
      <c r="AD5" s="26">
        <f>'calc-Weights'!AD$2*'calc-Weights'!$B5*'calc-CovarMatrix'!AD5</f>
        <v>0</v>
      </c>
      <c r="AE5" s="26">
        <f>'calc-Weights'!AE$2*'calc-Weights'!$B5*'calc-CovarMatrix'!AE5</f>
        <v>0</v>
      </c>
      <c r="AF5" s="26">
        <f>'calc-Weights'!AF$2*'calc-Weights'!$B5*'calc-CovarMatrix'!AF5</f>
        <v>0</v>
      </c>
      <c r="AG5" s="26">
        <f>'calc-Weights'!AG$2*'calc-Weights'!$B5*'calc-CovarMatrix'!AG5</f>
        <v>0</v>
      </c>
      <c r="AH5" s="26">
        <f>'calc-Weights'!AH$2*'calc-Weights'!$B5*'calc-CovarMatrix'!AH5</f>
        <v>0</v>
      </c>
      <c r="AI5" s="26">
        <f>'calc-Weights'!AI$2*'calc-Weights'!$B5*'calc-CovarMatrix'!AI5</f>
        <v>0</v>
      </c>
      <c r="AJ5" s="26">
        <f>'calc-Weights'!AJ$2*'calc-Weights'!$B5*'calc-CovarMatrix'!AJ5</f>
        <v>0</v>
      </c>
      <c r="AK5" s="26">
        <f>'calc-Weights'!AK$2*'calc-Weights'!$B5*'calc-CovarMatrix'!AK5</f>
        <v>0</v>
      </c>
      <c r="AL5" s="26">
        <f>'calc-Weights'!AL$2*'calc-Weights'!$B5*'calc-CovarMatrix'!AL5</f>
        <v>0</v>
      </c>
      <c r="AM5" s="26">
        <f>'calc-Weights'!AM$2*'calc-Weights'!$B5*'calc-CovarMatrix'!AM5</f>
        <v>0</v>
      </c>
      <c r="AN5" s="26">
        <f>'calc-Weights'!AN$2*'calc-Weights'!$B5*'calc-CovarMatrix'!AN5</f>
        <v>0</v>
      </c>
      <c r="AO5" s="26">
        <f>'calc-Weights'!AO$2*'calc-Weights'!$B5*'calc-CovarMatrix'!AO5</f>
        <v>0</v>
      </c>
      <c r="AP5" s="26">
        <f>'calc-Weights'!AP$2*'calc-Weights'!$B5*'calc-CovarMatrix'!AP5</f>
        <v>0</v>
      </c>
      <c r="AQ5" s="26">
        <f>'calc-Weights'!AQ$2*'calc-Weights'!$B5*'calc-CovarMatrix'!AQ5</f>
        <v>0</v>
      </c>
      <c r="AR5" s="26">
        <f>'calc-Weights'!AR$2*'calc-Weights'!$B5*'calc-CovarMatrix'!AR5</f>
        <v>0</v>
      </c>
      <c r="AS5" s="26">
        <f>'calc-Weights'!AS$2*'calc-Weights'!$B5*'calc-CovarMatrix'!AS5</f>
        <v>0</v>
      </c>
      <c r="AT5" s="26">
        <f>'calc-Weights'!AT$2*'calc-Weights'!$B5*'calc-CovarMatrix'!AT5</f>
        <v>0</v>
      </c>
      <c r="AU5" s="26">
        <f>'calc-Weights'!AU$2*'calc-Weights'!$B5*'calc-CovarMatrix'!AU5</f>
        <v>0</v>
      </c>
      <c r="AV5" s="26">
        <f>'calc-Weights'!AV$2*'calc-Weights'!$B5*'calc-CovarMatrix'!AV5</f>
        <v>0</v>
      </c>
    </row>
    <row r="6" spans="1:48" x14ac:dyDescent="0.2">
      <c r="A6" s="26" t="s">
        <v>77</v>
      </c>
      <c r="B6" s="26">
        <f>'calc-Weights'!B$2*'calc-Weights'!$B6*'calc-CovarMatrix'!B6</f>
        <v>0</v>
      </c>
      <c r="C6" s="26">
        <f>'calc-Weights'!C$2*'calc-Weights'!$B6*'calc-CovarMatrix'!C6</f>
        <v>0</v>
      </c>
      <c r="D6" s="26">
        <f>'calc-Weights'!D$2*'calc-Weights'!$B6*'calc-CovarMatrix'!D6</f>
        <v>0</v>
      </c>
      <c r="E6" s="26">
        <f>'calc-Weights'!E$2*'calc-Weights'!$B6*'calc-CovarMatrix'!E6</f>
        <v>0</v>
      </c>
      <c r="F6" s="26">
        <f>'calc-Weights'!F$2*'calc-Weights'!$B6*'calc-CovarMatrix'!F6</f>
        <v>0</v>
      </c>
      <c r="G6" s="26">
        <f>'calc-Weights'!G$2*'calc-Weights'!$B6*'calc-CovarMatrix'!G6</f>
        <v>0</v>
      </c>
      <c r="H6" s="26">
        <f>'calc-Weights'!H$2*'calc-Weights'!$B6*'calc-CovarMatrix'!H6</f>
        <v>0</v>
      </c>
      <c r="I6" s="26">
        <f>'calc-Weights'!I$2*'calc-Weights'!$B6*'calc-CovarMatrix'!I6</f>
        <v>0</v>
      </c>
      <c r="J6" s="26">
        <f>'calc-Weights'!J$2*'calc-Weights'!$B6*'calc-CovarMatrix'!J6</f>
        <v>0</v>
      </c>
      <c r="K6" s="26">
        <f>'calc-Weights'!K$2*'calc-Weights'!$B6*'calc-CovarMatrix'!K6</f>
        <v>0</v>
      </c>
      <c r="L6" s="26">
        <f>'calc-Weights'!L$2*'calc-Weights'!$B6*'calc-CovarMatrix'!L6</f>
        <v>0</v>
      </c>
      <c r="M6" s="26">
        <f>'calc-Weights'!M$2*'calc-Weights'!$B6*'calc-CovarMatrix'!M6</f>
        <v>0</v>
      </c>
      <c r="N6" s="26">
        <f>'calc-Weights'!N$2*'calc-Weights'!$B6*'calc-CovarMatrix'!N6</f>
        <v>0</v>
      </c>
      <c r="O6" s="26">
        <f>'calc-Weights'!O$2*'calc-Weights'!$B6*'calc-CovarMatrix'!O6</f>
        <v>0</v>
      </c>
      <c r="P6" s="26">
        <f>'calc-Weights'!P$2*'calc-Weights'!$B6*'calc-CovarMatrix'!P6</f>
        <v>0</v>
      </c>
      <c r="Q6" s="26">
        <f>'calc-Weights'!Q$2*'calc-Weights'!$B6*'calc-CovarMatrix'!Q6</f>
        <v>0</v>
      </c>
      <c r="R6" s="26">
        <f>'calc-Weights'!R$2*'calc-Weights'!$B6*'calc-CovarMatrix'!R6</f>
        <v>0</v>
      </c>
      <c r="S6" s="26">
        <f>'calc-Weights'!S$2*'calc-Weights'!$B6*'calc-CovarMatrix'!S6</f>
        <v>0</v>
      </c>
      <c r="T6" s="26">
        <f>'calc-Weights'!T$2*'calc-Weights'!$B6*'calc-CovarMatrix'!T6</f>
        <v>0</v>
      </c>
      <c r="U6" s="26">
        <f>'calc-Weights'!U$2*'calc-Weights'!$B6*'calc-CovarMatrix'!U6</f>
        <v>0</v>
      </c>
      <c r="V6" s="26">
        <f>'calc-Weights'!V$2*'calc-Weights'!$B6*'calc-CovarMatrix'!V6</f>
        <v>0</v>
      </c>
      <c r="W6" s="26">
        <f>'calc-Weights'!W$2*'calc-Weights'!$B6*'calc-CovarMatrix'!W6</f>
        <v>0</v>
      </c>
      <c r="X6" s="26">
        <f>'calc-Weights'!X$2*'calc-Weights'!$B6*'calc-CovarMatrix'!X6</f>
        <v>0</v>
      </c>
      <c r="Y6" s="26">
        <f>'calc-Weights'!Y$2*'calc-Weights'!$B6*'calc-CovarMatrix'!Y6</f>
        <v>0</v>
      </c>
      <c r="Z6" s="26">
        <f>'calc-Weights'!Z$2*'calc-Weights'!$B6*'calc-CovarMatrix'!Z6</f>
        <v>0</v>
      </c>
      <c r="AA6" s="26">
        <f>'calc-Weights'!AA$2*'calc-Weights'!$B6*'calc-CovarMatrix'!AA6</f>
        <v>0</v>
      </c>
      <c r="AB6" s="26">
        <f>'calc-Weights'!AB$2*'calc-Weights'!$B6*'calc-CovarMatrix'!AB6</f>
        <v>0</v>
      </c>
      <c r="AC6" s="26">
        <f>'calc-Weights'!AC$2*'calc-Weights'!$B6*'calc-CovarMatrix'!AC6</f>
        <v>0</v>
      </c>
      <c r="AD6" s="26">
        <f>'calc-Weights'!AD$2*'calc-Weights'!$B6*'calc-CovarMatrix'!AD6</f>
        <v>0</v>
      </c>
      <c r="AE6" s="26">
        <f>'calc-Weights'!AE$2*'calc-Weights'!$B6*'calc-CovarMatrix'!AE6</f>
        <v>0</v>
      </c>
      <c r="AF6" s="26">
        <f>'calc-Weights'!AF$2*'calc-Weights'!$B6*'calc-CovarMatrix'!AF6</f>
        <v>0</v>
      </c>
      <c r="AG6" s="26">
        <f>'calc-Weights'!AG$2*'calc-Weights'!$B6*'calc-CovarMatrix'!AG6</f>
        <v>0</v>
      </c>
      <c r="AH6" s="26">
        <f>'calc-Weights'!AH$2*'calc-Weights'!$B6*'calc-CovarMatrix'!AH6</f>
        <v>0</v>
      </c>
      <c r="AI6" s="26">
        <f>'calc-Weights'!AI$2*'calc-Weights'!$B6*'calc-CovarMatrix'!AI6</f>
        <v>0</v>
      </c>
      <c r="AJ6" s="26">
        <f>'calc-Weights'!AJ$2*'calc-Weights'!$B6*'calc-CovarMatrix'!AJ6</f>
        <v>0</v>
      </c>
      <c r="AK6" s="26">
        <f>'calc-Weights'!AK$2*'calc-Weights'!$B6*'calc-CovarMatrix'!AK6</f>
        <v>0</v>
      </c>
      <c r="AL6" s="26">
        <f>'calc-Weights'!AL$2*'calc-Weights'!$B6*'calc-CovarMatrix'!AL6</f>
        <v>0</v>
      </c>
      <c r="AM6" s="26">
        <f>'calc-Weights'!AM$2*'calc-Weights'!$B6*'calc-CovarMatrix'!AM6</f>
        <v>0</v>
      </c>
      <c r="AN6" s="26">
        <f>'calc-Weights'!AN$2*'calc-Weights'!$B6*'calc-CovarMatrix'!AN6</f>
        <v>0</v>
      </c>
      <c r="AO6" s="26">
        <f>'calc-Weights'!AO$2*'calc-Weights'!$B6*'calc-CovarMatrix'!AO6</f>
        <v>0</v>
      </c>
      <c r="AP6" s="26">
        <f>'calc-Weights'!AP$2*'calc-Weights'!$B6*'calc-CovarMatrix'!AP6</f>
        <v>0</v>
      </c>
      <c r="AQ6" s="26">
        <f>'calc-Weights'!AQ$2*'calc-Weights'!$B6*'calc-CovarMatrix'!AQ6</f>
        <v>0</v>
      </c>
      <c r="AR6" s="26">
        <f>'calc-Weights'!AR$2*'calc-Weights'!$B6*'calc-CovarMatrix'!AR6</f>
        <v>0</v>
      </c>
      <c r="AS6" s="26">
        <f>'calc-Weights'!AS$2*'calc-Weights'!$B6*'calc-CovarMatrix'!AS6</f>
        <v>0</v>
      </c>
      <c r="AT6" s="26">
        <f>'calc-Weights'!AT$2*'calc-Weights'!$B6*'calc-CovarMatrix'!AT6</f>
        <v>0</v>
      </c>
      <c r="AU6" s="26">
        <f>'calc-Weights'!AU$2*'calc-Weights'!$B6*'calc-CovarMatrix'!AU6</f>
        <v>0</v>
      </c>
      <c r="AV6" s="26">
        <f>'calc-Weights'!AV$2*'calc-Weights'!$B6*'calc-CovarMatrix'!AV6</f>
        <v>0</v>
      </c>
    </row>
    <row r="7" spans="1:48" x14ac:dyDescent="0.2">
      <c r="A7" s="26" t="s">
        <v>78</v>
      </c>
      <c r="B7" s="26">
        <f>'calc-Weights'!B$2*'calc-Weights'!$B7*'calc-CovarMatrix'!B7</f>
        <v>0</v>
      </c>
      <c r="C7" s="26">
        <f>'calc-Weights'!C$2*'calc-Weights'!$B7*'calc-CovarMatrix'!C7</f>
        <v>0</v>
      </c>
      <c r="D7" s="26">
        <f>'calc-Weights'!D$2*'calc-Weights'!$B7*'calc-CovarMatrix'!D7</f>
        <v>0</v>
      </c>
      <c r="E7" s="26">
        <f>'calc-Weights'!E$2*'calc-Weights'!$B7*'calc-CovarMatrix'!E7</f>
        <v>0</v>
      </c>
      <c r="F7" s="26">
        <f>'calc-Weights'!F$2*'calc-Weights'!$B7*'calc-CovarMatrix'!F7</f>
        <v>0</v>
      </c>
      <c r="G7" s="26">
        <f>'calc-Weights'!G$2*'calc-Weights'!$B7*'calc-CovarMatrix'!G7</f>
        <v>0</v>
      </c>
      <c r="H7" s="26">
        <f>'calc-Weights'!H$2*'calc-Weights'!$B7*'calc-CovarMatrix'!H7</f>
        <v>0</v>
      </c>
      <c r="I7" s="26">
        <f>'calc-Weights'!I$2*'calc-Weights'!$B7*'calc-CovarMatrix'!I7</f>
        <v>0</v>
      </c>
      <c r="J7" s="26">
        <f>'calc-Weights'!J$2*'calc-Weights'!$B7*'calc-CovarMatrix'!J7</f>
        <v>0</v>
      </c>
      <c r="K7" s="26">
        <f>'calc-Weights'!K$2*'calc-Weights'!$B7*'calc-CovarMatrix'!K7</f>
        <v>0</v>
      </c>
      <c r="L7" s="26">
        <f>'calc-Weights'!L$2*'calc-Weights'!$B7*'calc-CovarMatrix'!L7</f>
        <v>0</v>
      </c>
      <c r="M7" s="26">
        <f>'calc-Weights'!M$2*'calc-Weights'!$B7*'calc-CovarMatrix'!M7</f>
        <v>0</v>
      </c>
      <c r="N7" s="26">
        <f>'calc-Weights'!N$2*'calc-Weights'!$B7*'calc-CovarMatrix'!N7</f>
        <v>0</v>
      </c>
      <c r="O7" s="26">
        <f>'calc-Weights'!O$2*'calc-Weights'!$B7*'calc-CovarMatrix'!O7</f>
        <v>0</v>
      </c>
      <c r="P7" s="26">
        <f>'calc-Weights'!P$2*'calc-Weights'!$B7*'calc-CovarMatrix'!P7</f>
        <v>0</v>
      </c>
      <c r="Q7" s="26">
        <f>'calc-Weights'!Q$2*'calc-Weights'!$B7*'calc-CovarMatrix'!Q7</f>
        <v>0</v>
      </c>
      <c r="R7" s="26">
        <f>'calc-Weights'!R$2*'calc-Weights'!$B7*'calc-CovarMatrix'!R7</f>
        <v>0</v>
      </c>
      <c r="S7" s="26">
        <f>'calc-Weights'!S$2*'calc-Weights'!$B7*'calc-CovarMatrix'!S7</f>
        <v>0</v>
      </c>
      <c r="T7" s="26">
        <f>'calc-Weights'!T$2*'calc-Weights'!$B7*'calc-CovarMatrix'!T7</f>
        <v>0</v>
      </c>
      <c r="U7" s="26">
        <f>'calc-Weights'!U$2*'calc-Weights'!$B7*'calc-CovarMatrix'!U7</f>
        <v>0</v>
      </c>
      <c r="V7" s="26">
        <f>'calc-Weights'!V$2*'calc-Weights'!$B7*'calc-CovarMatrix'!V7</f>
        <v>0</v>
      </c>
      <c r="W7" s="26">
        <f>'calc-Weights'!W$2*'calc-Weights'!$B7*'calc-CovarMatrix'!W7</f>
        <v>0</v>
      </c>
      <c r="X7" s="26">
        <f>'calc-Weights'!X$2*'calc-Weights'!$B7*'calc-CovarMatrix'!X7</f>
        <v>0</v>
      </c>
      <c r="Y7" s="26">
        <f>'calc-Weights'!Y$2*'calc-Weights'!$B7*'calc-CovarMatrix'!Y7</f>
        <v>0</v>
      </c>
      <c r="Z7" s="26">
        <f>'calc-Weights'!Z$2*'calc-Weights'!$B7*'calc-CovarMatrix'!Z7</f>
        <v>0</v>
      </c>
      <c r="AA7" s="26">
        <f>'calc-Weights'!AA$2*'calc-Weights'!$B7*'calc-CovarMatrix'!AA7</f>
        <v>0</v>
      </c>
      <c r="AB7" s="26">
        <f>'calc-Weights'!AB$2*'calc-Weights'!$B7*'calc-CovarMatrix'!AB7</f>
        <v>0</v>
      </c>
      <c r="AC7" s="26">
        <f>'calc-Weights'!AC$2*'calc-Weights'!$B7*'calc-CovarMatrix'!AC7</f>
        <v>0</v>
      </c>
      <c r="AD7" s="26">
        <f>'calc-Weights'!AD$2*'calc-Weights'!$B7*'calc-CovarMatrix'!AD7</f>
        <v>0</v>
      </c>
      <c r="AE7" s="26">
        <f>'calc-Weights'!AE$2*'calc-Weights'!$B7*'calc-CovarMatrix'!AE7</f>
        <v>0</v>
      </c>
      <c r="AF7" s="26">
        <f>'calc-Weights'!AF$2*'calc-Weights'!$B7*'calc-CovarMatrix'!AF7</f>
        <v>0</v>
      </c>
      <c r="AG7" s="26">
        <f>'calc-Weights'!AG$2*'calc-Weights'!$B7*'calc-CovarMatrix'!AG7</f>
        <v>0</v>
      </c>
      <c r="AH7" s="26">
        <f>'calc-Weights'!AH$2*'calc-Weights'!$B7*'calc-CovarMatrix'!AH7</f>
        <v>0</v>
      </c>
      <c r="AI7" s="26">
        <f>'calc-Weights'!AI$2*'calc-Weights'!$B7*'calc-CovarMatrix'!AI7</f>
        <v>0</v>
      </c>
      <c r="AJ7" s="26">
        <f>'calc-Weights'!AJ$2*'calc-Weights'!$B7*'calc-CovarMatrix'!AJ7</f>
        <v>0</v>
      </c>
      <c r="AK7" s="26">
        <f>'calc-Weights'!AK$2*'calc-Weights'!$B7*'calc-CovarMatrix'!AK7</f>
        <v>0</v>
      </c>
      <c r="AL7" s="26">
        <f>'calc-Weights'!AL$2*'calc-Weights'!$B7*'calc-CovarMatrix'!AL7</f>
        <v>0</v>
      </c>
      <c r="AM7" s="26">
        <f>'calc-Weights'!AM$2*'calc-Weights'!$B7*'calc-CovarMatrix'!AM7</f>
        <v>0</v>
      </c>
      <c r="AN7" s="26">
        <f>'calc-Weights'!AN$2*'calc-Weights'!$B7*'calc-CovarMatrix'!AN7</f>
        <v>0</v>
      </c>
      <c r="AO7" s="26">
        <f>'calc-Weights'!AO$2*'calc-Weights'!$B7*'calc-CovarMatrix'!AO7</f>
        <v>0</v>
      </c>
      <c r="AP7" s="26">
        <f>'calc-Weights'!AP$2*'calc-Weights'!$B7*'calc-CovarMatrix'!AP7</f>
        <v>0</v>
      </c>
      <c r="AQ7" s="26">
        <f>'calc-Weights'!AQ$2*'calc-Weights'!$B7*'calc-CovarMatrix'!AQ7</f>
        <v>0</v>
      </c>
      <c r="AR7" s="26">
        <f>'calc-Weights'!AR$2*'calc-Weights'!$B7*'calc-CovarMatrix'!AR7</f>
        <v>0</v>
      </c>
      <c r="AS7" s="26">
        <f>'calc-Weights'!AS$2*'calc-Weights'!$B7*'calc-CovarMatrix'!AS7</f>
        <v>0</v>
      </c>
      <c r="AT7" s="26">
        <f>'calc-Weights'!AT$2*'calc-Weights'!$B7*'calc-CovarMatrix'!AT7</f>
        <v>0</v>
      </c>
      <c r="AU7" s="26">
        <f>'calc-Weights'!AU$2*'calc-Weights'!$B7*'calc-CovarMatrix'!AU7</f>
        <v>0</v>
      </c>
      <c r="AV7" s="26">
        <f>'calc-Weights'!AV$2*'calc-Weights'!$B7*'calc-CovarMatrix'!AV7</f>
        <v>0</v>
      </c>
    </row>
    <row r="8" spans="1:48" x14ac:dyDescent="0.2">
      <c r="A8" s="26" t="s">
        <v>79</v>
      </c>
      <c r="B8" s="26">
        <f>'calc-Weights'!B$2*'calc-Weights'!$B8*'calc-CovarMatrix'!B8</f>
        <v>0</v>
      </c>
      <c r="C8" s="26">
        <f>'calc-Weights'!C$2*'calc-Weights'!$B8*'calc-CovarMatrix'!C8</f>
        <v>0</v>
      </c>
      <c r="D8" s="26">
        <f>'calc-Weights'!D$2*'calc-Weights'!$B8*'calc-CovarMatrix'!D8</f>
        <v>0</v>
      </c>
      <c r="E8" s="26">
        <f>'calc-Weights'!E$2*'calc-Weights'!$B8*'calc-CovarMatrix'!E8</f>
        <v>0</v>
      </c>
      <c r="F8" s="26">
        <f>'calc-Weights'!F$2*'calc-Weights'!$B8*'calc-CovarMatrix'!F8</f>
        <v>0</v>
      </c>
      <c r="G8" s="26">
        <f>'calc-Weights'!G$2*'calc-Weights'!$B8*'calc-CovarMatrix'!G8</f>
        <v>0</v>
      </c>
      <c r="H8" s="26">
        <f>'calc-Weights'!H$2*'calc-Weights'!$B8*'calc-CovarMatrix'!H8</f>
        <v>0</v>
      </c>
      <c r="I8" s="26">
        <f>'calc-Weights'!I$2*'calc-Weights'!$B8*'calc-CovarMatrix'!I8</f>
        <v>0</v>
      </c>
      <c r="J8" s="26">
        <f>'calc-Weights'!J$2*'calc-Weights'!$B8*'calc-CovarMatrix'!J8</f>
        <v>0</v>
      </c>
      <c r="K8" s="26">
        <f>'calc-Weights'!K$2*'calc-Weights'!$B8*'calc-CovarMatrix'!K8</f>
        <v>0</v>
      </c>
      <c r="L8" s="26">
        <f>'calc-Weights'!L$2*'calc-Weights'!$B8*'calc-CovarMatrix'!L8</f>
        <v>0</v>
      </c>
      <c r="M8" s="26">
        <f>'calc-Weights'!M$2*'calc-Weights'!$B8*'calc-CovarMatrix'!M8</f>
        <v>0</v>
      </c>
      <c r="N8" s="26">
        <f>'calc-Weights'!N$2*'calc-Weights'!$B8*'calc-CovarMatrix'!N8</f>
        <v>0</v>
      </c>
      <c r="O8" s="26">
        <f>'calc-Weights'!O$2*'calc-Weights'!$B8*'calc-CovarMatrix'!O8</f>
        <v>0</v>
      </c>
      <c r="P8" s="26">
        <f>'calc-Weights'!P$2*'calc-Weights'!$B8*'calc-CovarMatrix'!P8</f>
        <v>0</v>
      </c>
      <c r="Q8" s="26">
        <f>'calc-Weights'!Q$2*'calc-Weights'!$B8*'calc-CovarMatrix'!Q8</f>
        <v>0</v>
      </c>
      <c r="R8" s="26">
        <f>'calc-Weights'!R$2*'calc-Weights'!$B8*'calc-CovarMatrix'!R8</f>
        <v>0</v>
      </c>
      <c r="S8" s="26">
        <f>'calc-Weights'!S$2*'calc-Weights'!$B8*'calc-CovarMatrix'!S8</f>
        <v>0</v>
      </c>
      <c r="T8" s="26">
        <f>'calc-Weights'!T$2*'calc-Weights'!$B8*'calc-CovarMatrix'!T8</f>
        <v>0</v>
      </c>
      <c r="U8" s="26">
        <f>'calc-Weights'!U$2*'calc-Weights'!$B8*'calc-CovarMatrix'!U8</f>
        <v>0</v>
      </c>
      <c r="V8" s="26">
        <f>'calc-Weights'!V$2*'calc-Weights'!$B8*'calc-CovarMatrix'!V8</f>
        <v>0</v>
      </c>
      <c r="W8" s="26">
        <f>'calc-Weights'!W$2*'calc-Weights'!$B8*'calc-CovarMatrix'!W8</f>
        <v>0</v>
      </c>
      <c r="X8" s="26">
        <f>'calc-Weights'!X$2*'calc-Weights'!$B8*'calc-CovarMatrix'!X8</f>
        <v>0</v>
      </c>
      <c r="Y8" s="26">
        <f>'calc-Weights'!Y$2*'calc-Weights'!$B8*'calc-CovarMatrix'!Y8</f>
        <v>0</v>
      </c>
      <c r="Z8" s="26">
        <f>'calc-Weights'!Z$2*'calc-Weights'!$B8*'calc-CovarMatrix'!Z8</f>
        <v>0</v>
      </c>
      <c r="AA8" s="26">
        <f>'calc-Weights'!AA$2*'calc-Weights'!$B8*'calc-CovarMatrix'!AA8</f>
        <v>0</v>
      </c>
      <c r="AB8" s="26">
        <f>'calc-Weights'!AB$2*'calc-Weights'!$B8*'calc-CovarMatrix'!AB8</f>
        <v>0</v>
      </c>
      <c r="AC8" s="26">
        <f>'calc-Weights'!AC$2*'calc-Weights'!$B8*'calc-CovarMatrix'!AC8</f>
        <v>0</v>
      </c>
      <c r="AD8" s="26">
        <f>'calc-Weights'!AD$2*'calc-Weights'!$B8*'calc-CovarMatrix'!AD8</f>
        <v>0</v>
      </c>
      <c r="AE8" s="26">
        <f>'calc-Weights'!AE$2*'calc-Weights'!$B8*'calc-CovarMatrix'!AE8</f>
        <v>0</v>
      </c>
      <c r="AF8" s="26">
        <f>'calc-Weights'!AF$2*'calc-Weights'!$B8*'calc-CovarMatrix'!AF8</f>
        <v>0</v>
      </c>
      <c r="AG8" s="26">
        <f>'calc-Weights'!AG$2*'calc-Weights'!$B8*'calc-CovarMatrix'!AG8</f>
        <v>0</v>
      </c>
      <c r="AH8" s="26">
        <f>'calc-Weights'!AH$2*'calc-Weights'!$B8*'calc-CovarMatrix'!AH8</f>
        <v>0</v>
      </c>
      <c r="AI8" s="26">
        <f>'calc-Weights'!AI$2*'calc-Weights'!$B8*'calc-CovarMatrix'!AI8</f>
        <v>0</v>
      </c>
      <c r="AJ8" s="26">
        <f>'calc-Weights'!AJ$2*'calc-Weights'!$B8*'calc-CovarMatrix'!AJ8</f>
        <v>0</v>
      </c>
      <c r="AK8" s="26">
        <f>'calc-Weights'!AK$2*'calc-Weights'!$B8*'calc-CovarMatrix'!AK8</f>
        <v>0</v>
      </c>
      <c r="AL8" s="26">
        <f>'calc-Weights'!AL$2*'calc-Weights'!$B8*'calc-CovarMatrix'!AL8</f>
        <v>0</v>
      </c>
      <c r="AM8" s="26">
        <f>'calc-Weights'!AM$2*'calc-Weights'!$B8*'calc-CovarMatrix'!AM8</f>
        <v>0</v>
      </c>
      <c r="AN8" s="26">
        <f>'calc-Weights'!AN$2*'calc-Weights'!$B8*'calc-CovarMatrix'!AN8</f>
        <v>0</v>
      </c>
      <c r="AO8" s="26">
        <f>'calc-Weights'!AO$2*'calc-Weights'!$B8*'calc-CovarMatrix'!AO8</f>
        <v>0</v>
      </c>
      <c r="AP8" s="26">
        <f>'calc-Weights'!AP$2*'calc-Weights'!$B8*'calc-CovarMatrix'!AP8</f>
        <v>0</v>
      </c>
      <c r="AQ8" s="26">
        <f>'calc-Weights'!AQ$2*'calc-Weights'!$B8*'calc-CovarMatrix'!AQ8</f>
        <v>0</v>
      </c>
      <c r="AR8" s="26">
        <f>'calc-Weights'!AR$2*'calc-Weights'!$B8*'calc-CovarMatrix'!AR8</f>
        <v>0</v>
      </c>
      <c r="AS8" s="26">
        <f>'calc-Weights'!AS$2*'calc-Weights'!$B8*'calc-CovarMatrix'!AS8</f>
        <v>0</v>
      </c>
      <c r="AT8" s="26">
        <f>'calc-Weights'!AT$2*'calc-Weights'!$B8*'calc-CovarMatrix'!AT8</f>
        <v>0</v>
      </c>
      <c r="AU8" s="26">
        <f>'calc-Weights'!AU$2*'calc-Weights'!$B8*'calc-CovarMatrix'!AU8</f>
        <v>0</v>
      </c>
      <c r="AV8" s="26">
        <f>'calc-Weights'!AV$2*'calc-Weights'!$B8*'calc-CovarMatrix'!AV8</f>
        <v>0</v>
      </c>
    </row>
    <row r="9" spans="1:48" x14ac:dyDescent="0.2">
      <c r="A9" s="26" t="s">
        <v>80</v>
      </c>
      <c r="B9" s="26">
        <f>'calc-Weights'!B$2*'calc-Weights'!$B9*'calc-CovarMatrix'!B9</f>
        <v>0</v>
      </c>
      <c r="C9" s="26">
        <f>'calc-Weights'!C$2*'calc-Weights'!$B9*'calc-CovarMatrix'!C9</f>
        <v>0</v>
      </c>
      <c r="D9" s="26">
        <f>'calc-Weights'!D$2*'calc-Weights'!$B9*'calc-CovarMatrix'!D9</f>
        <v>2.5485729308440066E-7</v>
      </c>
      <c r="E9" s="26">
        <f>'calc-Weights'!E$2*'calc-Weights'!$B9*'calc-CovarMatrix'!E9</f>
        <v>0</v>
      </c>
      <c r="F9" s="26">
        <f>'calc-Weights'!F$2*'calc-Weights'!$B9*'calc-CovarMatrix'!F9</f>
        <v>0</v>
      </c>
      <c r="G9" s="26">
        <f>'calc-Weights'!G$2*'calc-Weights'!$B9*'calc-CovarMatrix'!G9</f>
        <v>0</v>
      </c>
      <c r="H9" s="26">
        <f>'calc-Weights'!H$2*'calc-Weights'!$B9*'calc-CovarMatrix'!H9</f>
        <v>0</v>
      </c>
      <c r="I9" s="26">
        <f>'calc-Weights'!I$2*'calc-Weights'!$B9*'calc-CovarMatrix'!I9</f>
        <v>1.6013121015288662E-6</v>
      </c>
      <c r="J9" s="26">
        <f>'calc-Weights'!J$2*'calc-Weights'!$B9*'calc-CovarMatrix'!J9</f>
        <v>1.2500929719341608E-7</v>
      </c>
      <c r="K9" s="26">
        <f>'calc-Weights'!K$2*'calc-Weights'!$B9*'calc-CovarMatrix'!K9</f>
        <v>0</v>
      </c>
      <c r="L9" s="26">
        <f>'calc-Weights'!L$2*'calc-Weights'!$B9*'calc-CovarMatrix'!L9</f>
        <v>0</v>
      </c>
      <c r="M9" s="26">
        <f>'calc-Weights'!M$2*'calc-Weights'!$B9*'calc-CovarMatrix'!M9</f>
        <v>5.3122504388983271E-8</v>
      </c>
      <c r="N9" s="26">
        <f>'calc-Weights'!N$2*'calc-Weights'!$B9*'calc-CovarMatrix'!N9</f>
        <v>0</v>
      </c>
      <c r="O9" s="26">
        <f>'calc-Weights'!O$2*'calc-Weights'!$B9*'calc-CovarMatrix'!O9</f>
        <v>0</v>
      </c>
      <c r="P9" s="26">
        <f>'calc-Weights'!P$2*'calc-Weights'!$B9*'calc-CovarMatrix'!P9</f>
        <v>0</v>
      </c>
      <c r="Q9" s="26">
        <f>'calc-Weights'!Q$2*'calc-Weights'!$B9*'calc-CovarMatrix'!Q9</f>
        <v>0</v>
      </c>
      <c r="R9" s="26">
        <f>'calc-Weights'!R$2*'calc-Weights'!$B9*'calc-CovarMatrix'!R9</f>
        <v>0</v>
      </c>
      <c r="S9" s="26">
        <f>'calc-Weights'!S$2*'calc-Weights'!$B9*'calc-CovarMatrix'!S9</f>
        <v>0</v>
      </c>
      <c r="T9" s="26">
        <f>'calc-Weights'!T$2*'calc-Weights'!$B9*'calc-CovarMatrix'!T9</f>
        <v>0</v>
      </c>
      <c r="U9" s="26">
        <f>'calc-Weights'!U$2*'calc-Weights'!$B9*'calc-CovarMatrix'!U9</f>
        <v>-2.4218393610666246E-7</v>
      </c>
      <c r="V9" s="26">
        <f>'calc-Weights'!V$2*'calc-Weights'!$B9*'calc-CovarMatrix'!V9</f>
        <v>0</v>
      </c>
      <c r="W9" s="26">
        <f>'calc-Weights'!W$2*'calc-Weights'!$B9*'calc-CovarMatrix'!W9</f>
        <v>0</v>
      </c>
      <c r="X9" s="26">
        <f>'calc-Weights'!X$2*'calc-Weights'!$B9*'calc-CovarMatrix'!X9</f>
        <v>0</v>
      </c>
      <c r="Y9" s="26">
        <f>'calc-Weights'!Y$2*'calc-Weights'!$B9*'calc-CovarMatrix'!Y9</f>
        <v>0</v>
      </c>
      <c r="Z9" s="26">
        <f>'calc-Weights'!Z$2*'calc-Weights'!$B9*'calc-CovarMatrix'!Z9</f>
        <v>0</v>
      </c>
      <c r="AA9" s="26">
        <f>'calc-Weights'!AA$2*'calc-Weights'!$B9*'calc-CovarMatrix'!AA9</f>
        <v>0</v>
      </c>
      <c r="AB9" s="26">
        <f>'calc-Weights'!AB$2*'calc-Weights'!$B9*'calc-CovarMatrix'!AB9</f>
        <v>0</v>
      </c>
      <c r="AC9" s="26">
        <f>'calc-Weights'!AC$2*'calc-Weights'!$B9*'calc-CovarMatrix'!AC9</f>
        <v>0</v>
      </c>
      <c r="AD9" s="26">
        <f>'calc-Weights'!AD$2*'calc-Weights'!$B9*'calc-CovarMatrix'!AD9</f>
        <v>0</v>
      </c>
      <c r="AE9" s="26">
        <f>'calc-Weights'!AE$2*'calc-Weights'!$B9*'calc-CovarMatrix'!AE9</f>
        <v>0</v>
      </c>
      <c r="AF9" s="26">
        <f>'calc-Weights'!AF$2*'calc-Weights'!$B9*'calc-CovarMatrix'!AF9</f>
        <v>0</v>
      </c>
      <c r="AG9" s="26">
        <f>'calc-Weights'!AG$2*'calc-Weights'!$B9*'calc-CovarMatrix'!AG9</f>
        <v>-4.2249459835471464E-8</v>
      </c>
      <c r="AH9" s="26">
        <f>'calc-Weights'!AH$2*'calc-Weights'!$B9*'calc-CovarMatrix'!AH9</f>
        <v>-5.6557152404857797E-8</v>
      </c>
      <c r="AI9" s="26">
        <f>'calc-Weights'!AI$2*'calc-Weights'!$B9*'calc-CovarMatrix'!AI9</f>
        <v>0</v>
      </c>
      <c r="AJ9" s="26">
        <f>'calc-Weights'!AJ$2*'calc-Weights'!$B9*'calc-CovarMatrix'!AJ9</f>
        <v>6.40782650785256E-7</v>
      </c>
      <c r="AK9" s="26">
        <f>'calc-Weights'!AK$2*'calc-Weights'!$B9*'calc-CovarMatrix'!AK9</f>
        <v>0</v>
      </c>
      <c r="AL9" s="26">
        <f>'calc-Weights'!AL$2*'calc-Weights'!$B9*'calc-CovarMatrix'!AL9</f>
        <v>0</v>
      </c>
      <c r="AM9" s="26">
        <f>'calc-Weights'!AM$2*'calc-Weights'!$B9*'calc-CovarMatrix'!AM9</f>
        <v>0</v>
      </c>
      <c r="AN9" s="26">
        <f>'calc-Weights'!AN$2*'calc-Weights'!$B9*'calc-CovarMatrix'!AN9</f>
        <v>0</v>
      </c>
      <c r="AO9" s="26">
        <f>'calc-Weights'!AO$2*'calc-Weights'!$B9*'calc-CovarMatrix'!AO9</f>
        <v>0</v>
      </c>
      <c r="AP9" s="26">
        <f>'calc-Weights'!AP$2*'calc-Weights'!$B9*'calc-CovarMatrix'!AP9</f>
        <v>-5.1204883471396612E-7</v>
      </c>
      <c r="AQ9" s="26">
        <f>'calc-Weights'!AQ$2*'calc-Weights'!$B9*'calc-CovarMatrix'!AQ9</f>
        <v>0</v>
      </c>
      <c r="AR9" s="26">
        <f>'calc-Weights'!AR$2*'calc-Weights'!$B9*'calc-CovarMatrix'!AR9</f>
        <v>0</v>
      </c>
      <c r="AS9" s="26">
        <f>'calc-Weights'!AS$2*'calc-Weights'!$B9*'calc-CovarMatrix'!AS9</f>
        <v>0</v>
      </c>
      <c r="AT9" s="26">
        <f>'calc-Weights'!AT$2*'calc-Weights'!$B9*'calc-CovarMatrix'!AT9</f>
        <v>0</v>
      </c>
      <c r="AU9" s="26">
        <f>'calc-Weights'!AU$2*'calc-Weights'!$B9*'calc-CovarMatrix'!AU9</f>
        <v>0</v>
      </c>
      <c r="AV9" s="26">
        <f>'calc-Weights'!AV$2*'calc-Weights'!$B9*'calc-CovarMatrix'!AV9</f>
        <v>2.191865749025845E-6</v>
      </c>
    </row>
    <row r="10" spans="1:48" x14ac:dyDescent="0.2">
      <c r="A10" s="26" t="s">
        <v>81</v>
      </c>
      <c r="B10" s="26">
        <f>'calc-Weights'!B$2*'calc-Weights'!$B10*'calc-CovarMatrix'!B10</f>
        <v>0</v>
      </c>
      <c r="C10" s="26">
        <f>'calc-Weights'!C$2*'calc-Weights'!$B10*'calc-CovarMatrix'!C10</f>
        <v>0</v>
      </c>
      <c r="D10" s="26">
        <f>'calc-Weights'!D$2*'calc-Weights'!$B10*'calc-CovarMatrix'!D10</f>
        <v>3.046975661264147E-8</v>
      </c>
      <c r="E10" s="26">
        <f>'calc-Weights'!E$2*'calc-Weights'!$B10*'calc-CovarMatrix'!E10</f>
        <v>0</v>
      </c>
      <c r="F10" s="26">
        <f>'calc-Weights'!F$2*'calc-Weights'!$B10*'calc-CovarMatrix'!F10</f>
        <v>0</v>
      </c>
      <c r="G10" s="26">
        <f>'calc-Weights'!G$2*'calc-Weights'!$B10*'calc-CovarMatrix'!G10</f>
        <v>0</v>
      </c>
      <c r="H10" s="26">
        <f>'calc-Weights'!H$2*'calc-Weights'!$B10*'calc-CovarMatrix'!H10</f>
        <v>0</v>
      </c>
      <c r="I10" s="26">
        <f>'calc-Weights'!I$2*'calc-Weights'!$B10*'calc-CovarMatrix'!I10</f>
        <v>1.2500929719341608E-7</v>
      </c>
      <c r="J10" s="26">
        <f>'calc-Weights'!J$2*'calc-Weights'!$B10*'calc-CovarMatrix'!J10</f>
        <v>1.7296983955164813E-8</v>
      </c>
      <c r="K10" s="26">
        <f>'calc-Weights'!K$2*'calc-Weights'!$B10*'calc-CovarMatrix'!K10</f>
        <v>0</v>
      </c>
      <c r="L10" s="26">
        <f>'calc-Weights'!L$2*'calc-Weights'!$B10*'calc-CovarMatrix'!L10</f>
        <v>0</v>
      </c>
      <c r="M10" s="26">
        <f>'calc-Weights'!M$2*'calc-Weights'!$B10*'calc-CovarMatrix'!M10</f>
        <v>6.5541955186931277E-9</v>
      </c>
      <c r="N10" s="26">
        <f>'calc-Weights'!N$2*'calc-Weights'!$B10*'calc-CovarMatrix'!N10</f>
        <v>0</v>
      </c>
      <c r="O10" s="26">
        <f>'calc-Weights'!O$2*'calc-Weights'!$B10*'calc-CovarMatrix'!O10</f>
        <v>0</v>
      </c>
      <c r="P10" s="26">
        <f>'calc-Weights'!P$2*'calc-Weights'!$B10*'calc-CovarMatrix'!P10</f>
        <v>0</v>
      </c>
      <c r="Q10" s="26">
        <f>'calc-Weights'!Q$2*'calc-Weights'!$B10*'calc-CovarMatrix'!Q10</f>
        <v>0</v>
      </c>
      <c r="R10" s="26">
        <f>'calc-Weights'!R$2*'calc-Weights'!$B10*'calc-CovarMatrix'!R10</f>
        <v>0</v>
      </c>
      <c r="S10" s="26">
        <f>'calc-Weights'!S$2*'calc-Weights'!$B10*'calc-CovarMatrix'!S10</f>
        <v>0</v>
      </c>
      <c r="T10" s="26">
        <f>'calc-Weights'!T$2*'calc-Weights'!$B10*'calc-CovarMatrix'!T10</f>
        <v>0</v>
      </c>
      <c r="U10" s="26">
        <f>'calc-Weights'!U$2*'calc-Weights'!$B10*'calc-CovarMatrix'!U10</f>
        <v>2.7300384224966323E-9</v>
      </c>
      <c r="V10" s="26">
        <f>'calc-Weights'!V$2*'calc-Weights'!$B10*'calc-CovarMatrix'!V10</f>
        <v>0</v>
      </c>
      <c r="W10" s="26">
        <f>'calc-Weights'!W$2*'calc-Weights'!$B10*'calc-CovarMatrix'!W10</f>
        <v>0</v>
      </c>
      <c r="X10" s="26">
        <f>'calc-Weights'!X$2*'calc-Weights'!$B10*'calc-CovarMatrix'!X10</f>
        <v>0</v>
      </c>
      <c r="Y10" s="26">
        <f>'calc-Weights'!Y$2*'calc-Weights'!$B10*'calc-CovarMatrix'!Y10</f>
        <v>0</v>
      </c>
      <c r="Z10" s="26">
        <f>'calc-Weights'!Z$2*'calc-Weights'!$B10*'calc-CovarMatrix'!Z10</f>
        <v>0</v>
      </c>
      <c r="AA10" s="26">
        <f>'calc-Weights'!AA$2*'calc-Weights'!$B10*'calc-CovarMatrix'!AA10</f>
        <v>0</v>
      </c>
      <c r="AB10" s="26">
        <f>'calc-Weights'!AB$2*'calc-Weights'!$B10*'calc-CovarMatrix'!AB10</f>
        <v>0</v>
      </c>
      <c r="AC10" s="26">
        <f>'calc-Weights'!AC$2*'calc-Weights'!$B10*'calc-CovarMatrix'!AC10</f>
        <v>0</v>
      </c>
      <c r="AD10" s="26">
        <f>'calc-Weights'!AD$2*'calc-Weights'!$B10*'calc-CovarMatrix'!AD10</f>
        <v>0</v>
      </c>
      <c r="AE10" s="26">
        <f>'calc-Weights'!AE$2*'calc-Weights'!$B10*'calc-CovarMatrix'!AE10</f>
        <v>0</v>
      </c>
      <c r="AF10" s="26">
        <f>'calc-Weights'!AF$2*'calc-Weights'!$B10*'calc-CovarMatrix'!AF10</f>
        <v>0</v>
      </c>
      <c r="AG10" s="26">
        <f>'calc-Weights'!AG$2*'calc-Weights'!$B10*'calc-CovarMatrix'!AG10</f>
        <v>-1.7161076444075184E-9</v>
      </c>
      <c r="AH10" s="26">
        <f>'calc-Weights'!AH$2*'calc-Weights'!$B10*'calc-CovarMatrix'!AH10</f>
        <v>-3.769564689971322E-9</v>
      </c>
      <c r="AI10" s="26">
        <f>'calc-Weights'!AI$2*'calc-Weights'!$B10*'calc-CovarMatrix'!AI10</f>
        <v>0</v>
      </c>
      <c r="AJ10" s="26">
        <f>'calc-Weights'!AJ$2*'calc-Weights'!$B10*'calc-CovarMatrix'!AJ10</f>
        <v>1.3849692258929279E-7</v>
      </c>
      <c r="AK10" s="26">
        <f>'calc-Weights'!AK$2*'calc-Weights'!$B10*'calc-CovarMatrix'!AK10</f>
        <v>0</v>
      </c>
      <c r="AL10" s="26">
        <f>'calc-Weights'!AL$2*'calc-Weights'!$B10*'calc-CovarMatrix'!AL10</f>
        <v>0</v>
      </c>
      <c r="AM10" s="26">
        <f>'calc-Weights'!AM$2*'calc-Weights'!$B10*'calc-CovarMatrix'!AM10</f>
        <v>0</v>
      </c>
      <c r="AN10" s="26">
        <f>'calc-Weights'!AN$2*'calc-Weights'!$B10*'calc-CovarMatrix'!AN10</f>
        <v>0</v>
      </c>
      <c r="AO10" s="26">
        <f>'calc-Weights'!AO$2*'calc-Weights'!$B10*'calc-CovarMatrix'!AO10</f>
        <v>0</v>
      </c>
      <c r="AP10" s="26">
        <f>'calc-Weights'!AP$2*'calc-Weights'!$B10*'calc-CovarMatrix'!AP10</f>
        <v>-5.0337864483904027E-8</v>
      </c>
      <c r="AQ10" s="26">
        <f>'calc-Weights'!AQ$2*'calc-Weights'!$B10*'calc-CovarMatrix'!AQ10</f>
        <v>0</v>
      </c>
      <c r="AR10" s="26">
        <f>'calc-Weights'!AR$2*'calc-Weights'!$B10*'calc-CovarMatrix'!AR10</f>
        <v>0</v>
      </c>
      <c r="AS10" s="26">
        <f>'calc-Weights'!AS$2*'calc-Weights'!$B10*'calc-CovarMatrix'!AS10</f>
        <v>0</v>
      </c>
      <c r="AT10" s="26">
        <f>'calc-Weights'!AT$2*'calc-Weights'!$B10*'calc-CovarMatrix'!AT10</f>
        <v>0</v>
      </c>
      <c r="AU10" s="26">
        <f>'calc-Weights'!AU$2*'calc-Weights'!$B10*'calc-CovarMatrix'!AU10</f>
        <v>0</v>
      </c>
      <c r="AV10" s="26">
        <f>'calc-Weights'!AV$2*'calc-Weights'!$B10*'calc-CovarMatrix'!AV10</f>
        <v>2.9093139002322325E-7</v>
      </c>
    </row>
    <row r="11" spans="1:48" x14ac:dyDescent="0.2">
      <c r="A11" s="26" t="s">
        <v>82</v>
      </c>
      <c r="B11" s="26">
        <f>'calc-Weights'!B$2*'calc-Weights'!$B11*'calc-CovarMatrix'!B11</f>
        <v>0</v>
      </c>
      <c r="C11" s="26">
        <f>'calc-Weights'!C$2*'calc-Weights'!$B11*'calc-CovarMatrix'!C11</f>
        <v>0</v>
      </c>
      <c r="D11" s="26">
        <f>'calc-Weights'!D$2*'calc-Weights'!$B11*'calc-CovarMatrix'!D11</f>
        <v>0</v>
      </c>
      <c r="E11" s="26">
        <f>'calc-Weights'!E$2*'calc-Weights'!$B11*'calc-CovarMatrix'!E11</f>
        <v>0</v>
      </c>
      <c r="F11" s="26">
        <f>'calc-Weights'!F$2*'calc-Weights'!$B11*'calc-CovarMatrix'!F11</f>
        <v>0</v>
      </c>
      <c r="G11" s="26">
        <f>'calc-Weights'!G$2*'calc-Weights'!$B11*'calc-CovarMatrix'!G11</f>
        <v>0</v>
      </c>
      <c r="H11" s="26">
        <f>'calc-Weights'!H$2*'calc-Weights'!$B11*'calc-CovarMatrix'!H11</f>
        <v>0</v>
      </c>
      <c r="I11" s="26">
        <f>'calc-Weights'!I$2*'calc-Weights'!$B11*'calc-CovarMatrix'!I11</f>
        <v>0</v>
      </c>
      <c r="J11" s="26">
        <f>'calc-Weights'!J$2*'calc-Weights'!$B11*'calc-CovarMatrix'!J11</f>
        <v>0</v>
      </c>
      <c r="K11" s="26">
        <f>'calc-Weights'!K$2*'calc-Weights'!$B11*'calc-CovarMatrix'!K11</f>
        <v>0</v>
      </c>
      <c r="L11" s="26">
        <f>'calc-Weights'!L$2*'calc-Weights'!$B11*'calc-CovarMatrix'!L11</f>
        <v>0</v>
      </c>
      <c r="M11" s="26">
        <f>'calc-Weights'!M$2*'calc-Weights'!$B11*'calc-CovarMatrix'!M11</f>
        <v>0</v>
      </c>
      <c r="N11" s="26">
        <f>'calc-Weights'!N$2*'calc-Weights'!$B11*'calc-CovarMatrix'!N11</f>
        <v>0</v>
      </c>
      <c r="O11" s="26">
        <f>'calc-Weights'!O$2*'calc-Weights'!$B11*'calc-CovarMatrix'!O11</f>
        <v>0</v>
      </c>
      <c r="P11" s="26">
        <f>'calc-Weights'!P$2*'calc-Weights'!$B11*'calc-CovarMatrix'!P11</f>
        <v>0</v>
      </c>
      <c r="Q11" s="26">
        <f>'calc-Weights'!Q$2*'calc-Weights'!$B11*'calc-CovarMatrix'!Q11</f>
        <v>0</v>
      </c>
      <c r="R11" s="26">
        <f>'calc-Weights'!R$2*'calc-Weights'!$B11*'calc-CovarMatrix'!R11</f>
        <v>0</v>
      </c>
      <c r="S11" s="26">
        <f>'calc-Weights'!S$2*'calc-Weights'!$B11*'calc-CovarMatrix'!S11</f>
        <v>0</v>
      </c>
      <c r="T11" s="26">
        <f>'calc-Weights'!T$2*'calc-Weights'!$B11*'calc-CovarMatrix'!T11</f>
        <v>0</v>
      </c>
      <c r="U11" s="26">
        <f>'calc-Weights'!U$2*'calc-Weights'!$B11*'calc-CovarMatrix'!U11</f>
        <v>0</v>
      </c>
      <c r="V11" s="26">
        <f>'calc-Weights'!V$2*'calc-Weights'!$B11*'calc-CovarMatrix'!V11</f>
        <v>0</v>
      </c>
      <c r="W11" s="26">
        <f>'calc-Weights'!W$2*'calc-Weights'!$B11*'calc-CovarMatrix'!W11</f>
        <v>0</v>
      </c>
      <c r="X11" s="26">
        <f>'calc-Weights'!X$2*'calc-Weights'!$B11*'calc-CovarMatrix'!X11</f>
        <v>0</v>
      </c>
      <c r="Y11" s="26">
        <f>'calc-Weights'!Y$2*'calc-Weights'!$B11*'calc-CovarMatrix'!Y11</f>
        <v>0</v>
      </c>
      <c r="Z11" s="26">
        <f>'calc-Weights'!Z$2*'calc-Weights'!$B11*'calc-CovarMatrix'!Z11</f>
        <v>0</v>
      </c>
      <c r="AA11" s="26">
        <f>'calc-Weights'!AA$2*'calc-Weights'!$B11*'calc-CovarMatrix'!AA11</f>
        <v>0</v>
      </c>
      <c r="AB11" s="26">
        <f>'calc-Weights'!AB$2*'calc-Weights'!$B11*'calc-CovarMatrix'!AB11</f>
        <v>0</v>
      </c>
      <c r="AC11" s="26">
        <f>'calc-Weights'!AC$2*'calc-Weights'!$B11*'calc-CovarMatrix'!AC11</f>
        <v>0</v>
      </c>
      <c r="AD11" s="26">
        <f>'calc-Weights'!AD$2*'calc-Weights'!$B11*'calc-CovarMatrix'!AD11</f>
        <v>0</v>
      </c>
      <c r="AE11" s="26">
        <f>'calc-Weights'!AE$2*'calc-Weights'!$B11*'calc-CovarMatrix'!AE11</f>
        <v>0</v>
      </c>
      <c r="AF11" s="26">
        <f>'calc-Weights'!AF$2*'calc-Weights'!$B11*'calc-CovarMatrix'!AF11</f>
        <v>0</v>
      </c>
      <c r="AG11" s="26">
        <f>'calc-Weights'!AG$2*'calc-Weights'!$B11*'calc-CovarMatrix'!AG11</f>
        <v>0</v>
      </c>
      <c r="AH11" s="26">
        <f>'calc-Weights'!AH$2*'calc-Weights'!$B11*'calc-CovarMatrix'!AH11</f>
        <v>0</v>
      </c>
      <c r="AI11" s="26">
        <f>'calc-Weights'!AI$2*'calc-Weights'!$B11*'calc-CovarMatrix'!AI11</f>
        <v>0</v>
      </c>
      <c r="AJ11" s="26">
        <f>'calc-Weights'!AJ$2*'calc-Weights'!$B11*'calc-CovarMatrix'!AJ11</f>
        <v>0</v>
      </c>
      <c r="AK11" s="26">
        <f>'calc-Weights'!AK$2*'calc-Weights'!$B11*'calc-CovarMatrix'!AK11</f>
        <v>0</v>
      </c>
      <c r="AL11" s="26">
        <f>'calc-Weights'!AL$2*'calc-Weights'!$B11*'calc-CovarMatrix'!AL11</f>
        <v>0</v>
      </c>
      <c r="AM11" s="26">
        <f>'calc-Weights'!AM$2*'calc-Weights'!$B11*'calc-CovarMatrix'!AM11</f>
        <v>0</v>
      </c>
      <c r="AN11" s="26">
        <f>'calc-Weights'!AN$2*'calc-Weights'!$B11*'calc-CovarMatrix'!AN11</f>
        <v>0</v>
      </c>
      <c r="AO11" s="26">
        <f>'calc-Weights'!AO$2*'calc-Weights'!$B11*'calc-CovarMatrix'!AO11</f>
        <v>0</v>
      </c>
      <c r="AP11" s="26">
        <f>'calc-Weights'!AP$2*'calc-Weights'!$B11*'calc-CovarMatrix'!AP11</f>
        <v>0</v>
      </c>
      <c r="AQ11" s="26">
        <f>'calc-Weights'!AQ$2*'calc-Weights'!$B11*'calc-CovarMatrix'!AQ11</f>
        <v>0</v>
      </c>
      <c r="AR11" s="26">
        <f>'calc-Weights'!AR$2*'calc-Weights'!$B11*'calc-CovarMatrix'!AR11</f>
        <v>0</v>
      </c>
      <c r="AS11" s="26">
        <f>'calc-Weights'!AS$2*'calc-Weights'!$B11*'calc-CovarMatrix'!AS11</f>
        <v>0</v>
      </c>
      <c r="AT11" s="26">
        <f>'calc-Weights'!AT$2*'calc-Weights'!$B11*'calc-CovarMatrix'!AT11</f>
        <v>0</v>
      </c>
      <c r="AU11" s="26">
        <f>'calc-Weights'!AU$2*'calc-Weights'!$B11*'calc-CovarMatrix'!AU11</f>
        <v>0</v>
      </c>
      <c r="AV11" s="26">
        <f>'calc-Weights'!AV$2*'calc-Weights'!$B11*'calc-CovarMatrix'!AV11</f>
        <v>0</v>
      </c>
    </row>
    <row r="12" spans="1:48" x14ac:dyDescent="0.2">
      <c r="A12" s="26" t="s">
        <v>83</v>
      </c>
      <c r="B12" s="26">
        <f>'calc-Weights'!B$2*'calc-Weights'!$B12*'calc-CovarMatrix'!B12</f>
        <v>0</v>
      </c>
      <c r="C12" s="26">
        <f>'calc-Weights'!C$2*'calc-Weights'!$B12*'calc-CovarMatrix'!C12</f>
        <v>0</v>
      </c>
      <c r="D12" s="26">
        <f>'calc-Weights'!D$2*'calc-Weights'!$B12*'calc-CovarMatrix'!D12</f>
        <v>0</v>
      </c>
      <c r="E12" s="26">
        <f>'calc-Weights'!E$2*'calc-Weights'!$B12*'calc-CovarMatrix'!E12</f>
        <v>0</v>
      </c>
      <c r="F12" s="26">
        <f>'calc-Weights'!F$2*'calc-Weights'!$B12*'calc-CovarMatrix'!F12</f>
        <v>0</v>
      </c>
      <c r="G12" s="26">
        <f>'calc-Weights'!G$2*'calc-Weights'!$B12*'calc-CovarMatrix'!G12</f>
        <v>0</v>
      </c>
      <c r="H12" s="26">
        <f>'calc-Weights'!H$2*'calc-Weights'!$B12*'calc-CovarMatrix'!H12</f>
        <v>0</v>
      </c>
      <c r="I12" s="26">
        <f>'calc-Weights'!I$2*'calc-Weights'!$B12*'calc-CovarMatrix'!I12</f>
        <v>0</v>
      </c>
      <c r="J12" s="26">
        <f>'calc-Weights'!J$2*'calc-Weights'!$B12*'calc-CovarMatrix'!J12</f>
        <v>0</v>
      </c>
      <c r="K12" s="26">
        <f>'calc-Weights'!K$2*'calc-Weights'!$B12*'calc-CovarMatrix'!K12</f>
        <v>0</v>
      </c>
      <c r="L12" s="26">
        <f>'calc-Weights'!L$2*'calc-Weights'!$B12*'calc-CovarMatrix'!L12</f>
        <v>0</v>
      </c>
      <c r="M12" s="26">
        <f>'calc-Weights'!M$2*'calc-Weights'!$B12*'calc-CovarMatrix'!M12</f>
        <v>0</v>
      </c>
      <c r="N12" s="26">
        <f>'calc-Weights'!N$2*'calc-Weights'!$B12*'calc-CovarMatrix'!N12</f>
        <v>0</v>
      </c>
      <c r="O12" s="26">
        <f>'calc-Weights'!O$2*'calc-Weights'!$B12*'calc-CovarMatrix'!O12</f>
        <v>0</v>
      </c>
      <c r="P12" s="26">
        <f>'calc-Weights'!P$2*'calc-Weights'!$B12*'calc-CovarMatrix'!P12</f>
        <v>0</v>
      </c>
      <c r="Q12" s="26">
        <f>'calc-Weights'!Q$2*'calc-Weights'!$B12*'calc-CovarMatrix'!Q12</f>
        <v>0</v>
      </c>
      <c r="R12" s="26">
        <f>'calc-Weights'!R$2*'calc-Weights'!$B12*'calc-CovarMatrix'!R12</f>
        <v>0</v>
      </c>
      <c r="S12" s="26">
        <f>'calc-Weights'!S$2*'calc-Weights'!$B12*'calc-CovarMatrix'!S12</f>
        <v>0</v>
      </c>
      <c r="T12" s="26">
        <f>'calc-Weights'!T$2*'calc-Weights'!$B12*'calc-CovarMatrix'!T12</f>
        <v>0</v>
      </c>
      <c r="U12" s="26">
        <f>'calc-Weights'!U$2*'calc-Weights'!$B12*'calc-CovarMatrix'!U12</f>
        <v>0</v>
      </c>
      <c r="V12" s="26">
        <f>'calc-Weights'!V$2*'calc-Weights'!$B12*'calc-CovarMatrix'!V12</f>
        <v>0</v>
      </c>
      <c r="W12" s="26">
        <f>'calc-Weights'!W$2*'calc-Weights'!$B12*'calc-CovarMatrix'!W12</f>
        <v>0</v>
      </c>
      <c r="X12" s="26">
        <f>'calc-Weights'!X$2*'calc-Weights'!$B12*'calc-CovarMatrix'!X12</f>
        <v>0</v>
      </c>
      <c r="Y12" s="26">
        <f>'calc-Weights'!Y$2*'calc-Weights'!$B12*'calc-CovarMatrix'!Y12</f>
        <v>0</v>
      </c>
      <c r="Z12" s="26">
        <f>'calc-Weights'!Z$2*'calc-Weights'!$B12*'calc-CovarMatrix'!Z12</f>
        <v>0</v>
      </c>
      <c r="AA12" s="26">
        <f>'calc-Weights'!AA$2*'calc-Weights'!$B12*'calc-CovarMatrix'!AA12</f>
        <v>0</v>
      </c>
      <c r="AB12" s="26">
        <f>'calc-Weights'!AB$2*'calc-Weights'!$B12*'calc-CovarMatrix'!AB12</f>
        <v>0</v>
      </c>
      <c r="AC12" s="26">
        <f>'calc-Weights'!AC$2*'calc-Weights'!$B12*'calc-CovarMatrix'!AC12</f>
        <v>0</v>
      </c>
      <c r="AD12" s="26">
        <f>'calc-Weights'!AD$2*'calc-Weights'!$B12*'calc-CovarMatrix'!AD12</f>
        <v>0</v>
      </c>
      <c r="AE12" s="26">
        <f>'calc-Weights'!AE$2*'calc-Weights'!$B12*'calc-CovarMatrix'!AE12</f>
        <v>0</v>
      </c>
      <c r="AF12" s="26">
        <f>'calc-Weights'!AF$2*'calc-Weights'!$B12*'calc-CovarMatrix'!AF12</f>
        <v>0</v>
      </c>
      <c r="AG12" s="26">
        <f>'calc-Weights'!AG$2*'calc-Weights'!$B12*'calc-CovarMatrix'!AG12</f>
        <v>0</v>
      </c>
      <c r="AH12" s="26">
        <f>'calc-Weights'!AH$2*'calc-Weights'!$B12*'calc-CovarMatrix'!AH12</f>
        <v>0</v>
      </c>
      <c r="AI12" s="26">
        <f>'calc-Weights'!AI$2*'calc-Weights'!$B12*'calc-CovarMatrix'!AI12</f>
        <v>0</v>
      </c>
      <c r="AJ12" s="26">
        <f>'calc-Weights'!AJ$2*'calc-Weights'!$B12*'calc-CovarMatrix'!AJ12</f>
        <v>0</v>
      </c>
      <c r="AK12" s="26">
        <f>'calc-Weights'!AK$2*'calc-Weights'!$B12*'calc-CovarMatrix'!AK12</f>
        <v>0</v>
      </c>
      <c r="AL12" s="26">
        <f>'calc-Weights'!AL$2*'calc-Weights'!$B12*'calc-CovarMatrix'!AL12</f>
        <v>0</v>
      </c>
      <c r="AM12" s="26">
        <f>'calc-Weights'!AM$2*'calc-Weights'!$B12*'calc-CovarMatrix'!AM12</f>
        <v>0</v>
      </c>
      <c r="AN12" s="26">
        <f>'calc-Weights'!AN$2*'calc-Weights'!$B12*'calc-CovarMatrix'!AN12</f>
        <v>0</v>
      </c>
      <c r="AO12" s="26">
        <f>'calc-Weights'!AO$2*'calc-Weights'!$B12*'calc-CovarMatrix'!AO12</f>
        <v>0</v>
      </c>
      <c r="AP12" s="26">
        <f>'calc-Weights'!AP$2*'calc-Weights'!$B12*'calc-CovarMatrix'!AP12</f>
        <v>0</v>
      </c>
      <c r="AQ12" s="26">
        <f>'calc-Weights'!AQ$2*'calc-Weights'!$B12*'calc-CovarMatrix'!AQ12</f>
        <v>0</v>
      </c>
      <c r="AR12" s="26">
        <f>'calc-Weights'!AR$2*'calc-Weights'!$B12*'calc-CovarMatrix'!AR12</f>
        <v>0</v>
      </c>
      <c r="AS12" s="26">
        <f>'calc-Weights'!AS$2*'calc-Weights'!$B12*'calc-CovarMatrix'!AS12</f>
        <v>0</v>
      </c>
      <c r="AT12" s="26">
        <f>'calc-Weights'!AT$2*'calc-Weights'!$B12*'calc-CovarMatrix'!AT12</f>
        <v>0</v>
      </c>
      <c r="AU12" s="26">
        <f>'calc-Weights'!AU$2*'calc-Weights'!$B12*'calc-CovarMatrix'!AU12</f>
        <v>0</v>
      </c>
      <c r="AV12" s="26">
        <f>'calc-Weights'!AV$2*'calc-Weights'!$B12*'calc-CovarMatrix'!AV12</f>
        <v>0</v>
      </c>
    </row>
    <row r="13" spans="1:48" x14ac:dyDescent="0.2">
      <c r="A13" s="26" t="s">
        <v>84</v>
      </c>
      <c r="B13" s="26">
        <f>'calc-Weights'!B$2*'calc-Weights'!$B13*'calc-CovarMatrix'!B13</f>
        <v>0</v>
      </c>
      <c r="C13" s="26">
        <f>'calc-Weights'!C$2*'calc-Weights'!$B13*'calc-CovarMatrix'!C13</f>
        <v>0</v>
      </c>
      <c r="D13" s="26">
        <f>'calc-Weights'!D$2*'calc-Weights'!$B13*'calc-CovarMatrix'!D13</f>
        <v>1.0403226700424711E-8</v>
      </c>
      <c r="E13" s="26">
        <f>'calc-Weights'!E$2*'calc-Weights'!$B13*'calc-CovarMatrix'!E13</f>
        <v>0</v>
      </c>
      <c r="F13" s="26">
        <f>'calc-Weights'!F$2*'calc-Weights'!$B13*'calc-CovarMatrix'!F13</f>
        <v>0</v>
      </c>
      <c r="G13" s="26">
        <f>'calc-Weights'!G$2*'calc-Weights'!$B13*'calc-CovarMatrix'!G13</f>
        <v>0</v>
      </c>
      <c r="H13" s="26">
        <f>'calc-Weights'!H$2*'calc-Weights'!$B13*'calc-CovarMatrix'!H13</f>
        <v>0</v>
      </c>
      <c r="I13" s="26">
        <f>'calc-Weights'!I$2*'calc-Weights'!$B13*'calc-CovarMatrix'!I13</f>
        <v>5.3122504388983271E-8</v>
      </c>
      <c r="J13" s="26">
        <f>'calc-Weights'!J$2*'calc-Weights'!$B13*'calc-CovarMatrix'!J13</f>
        <v>6.5541955186931277E-9</v>
      </c>
      <c r="K13" s="26">
        <f>'calc-Weights'!K$2*'calc-Weights'!$B13*'calc-CovarMatrix'!K13</f>
        <v>0</v>
      </c>
      <c r="L13" s="26">
        <f>'calc-Weights'!L$2*'calc-Weights'!$B13*'calc-CovarMatrix'!L13</f>
        <v>0</v>
      </c>
      <c r="M13" s="26">
        <f>'calc-Weights'!M$2*'calc-Weights'!$B13*'calc-CovarMatrix'!M13</f>
        <v>5.3254470656483166E-9</v>
      </c>
      <c r="N13" s="26">
        <f>'calc-Weights'!N$2*'calc-Weights'!$B13*'calc-CovarMatrix'!N13</f>
        <v>0</v>
      </c>
      <c r="O13" s="26">
        <f>'calc-Weights'!O$2*'calc-Weights'!$B13*'calc-CovarMatrix'!O13</f>
        <v>0</v>
      </c>
      <c r="P13" s="26">
        <f>'calc-Weights'!P$2*'calc-Weights'!$B13*'calc-CovarMatrix'!P13</f>
        <v>0</v>
      </c>
      <c r="Q13" s="26">
        <f>'calc-Weights'!Q$2*'calc-Weights'!$B13*'calc-CovarMatrix'!Q13</f>
        <v>0</v>
      </c>
      <c r="R13" s="26">
        <f>'calc-Weights'!R$2*'calc-Weights'!$B13*'calc-CovarMatrix'!R13</f>
        <v>0</v>
      </c>
      <c r="S13" s="26">
        <f>'calc-Weights'!S$2*'calc-Weights'!$B13*'calc-CovarMatrix'!S13</f>
        <v>0</v>
      </c>
      <c r="T13" s="26">
        <f>'calc-Weights'!T$2*'calc-Weights'!$B13*'calc-CovarMatrix'!T13</f>
        <v>0</v>
      </c>
      <c r="U13" s="26">
        <f>'calc-Weights'!U$2*'calc-Weights'!$B13*'calc-CovarMatrix'!U13</f>
        <v>7.8842855479219905E-8</v>
      </c>
      <c r="V13" s="26">
        <f>'calc-Weights'!V$2*'calc-Weights'!$B13*'calc-CovarMatrix'!V13</f>
        <v>0</v>
      </c>
      <c r="W13" s="26">
        <f>'calc-Weights'!W$2*'calc-Weights'!$B13*'calc-CovarMatrix'!W13</f>
        <v>0</v>
      </c>
      <c r="X13" s="26">
        <f>'calc-Weights'!X$2*'calc-Weights'!$B13*'calc-CovarMatrix'!X13</f>
        <v>0</v>
      </c>
      <c r="Y13" s="26">
        <f>'calc-Weights'!Y$2*'calc-Weights'!$B13*'calc-CovarMatrix'!Y13</f>
        <v>0</v>
      </c>
      <c r="Z13" s="26">
        <f>'calc-Weights'!Z$2*'calc-Weights'!$B13*'calc-CovarMatrix'!Z13</f>
        <v>0</v>
      </c>
      <c r="AA13" s="26">
        <f>'calc-Weights'!AA$2*'calc-Weights'!$B13*'calc-CovarMatrix'!AA13</f>
        <v>0</v>
      </c>
      <c r="AB13" s="26">
        <f>'calc-Weights'!AB$2*'calc-Weights'!$B13*'calc-CovarMatrix'!AB13</f>
        <v>0</v>
      </c>
      <c r="AC13" s="26">
        <f>'calc-Weights'!AC$2*'calc-Weights'!$B13*'calc-CovarMatrix'!AC13</f>
        <v>0</v>
      </c>
      <c r="AD13" s="26">
        <f>'calc-Weights'!AD$2*'calc-Weights'!$B13*'calc-CovarMatrix'!AD13</f>
        <v>0</v>
      </c>
      <c r="AE13" s="26">
        <f>'calc-Weights'!AE$2*'calc-Weights'!$B13*'calc-CovarMatrix'!AE13</f>
        <v>0</v>
      </c>
      <c r="AF13" s="26">
        <f>'calc-Weights'!AF$2*'calc-Weights'!$B13*'calc-CovarMatrix'!AF13</f>
        <v>0</v>
      </c>
      <c r="AG13" s="26">
        <f>'calc-Weights'!AG$2*'calc-Weights'!$B13*'calc-CovarMatrix'!AG13</f>
        <v>8.7917927274716363E-9</v>
      </c>
      <c r="AH13" s="26">
        <f>'calc-Weights'!AH$2*'calc-Weights'!$B13*'calc-CovarMatrix'!AH13</f>
        <v>1.2578812386778268E-8</v>
      </c>
      <c r="AI13" s="26">
        <f>'calc-Weights'!AI$2*'calc-Weights'!$B13*'calc-CovarMatrix'!AI13</f>
        <v>0</v>
      </c>
      <c r="AJ13" s="26">
        <f>'calc-Weights'!AJ$2*'calc-Weights'!$B13*'calc-CovarMatrix'!AJ13</f>
        <v>1.9037645254646279E-7</v>
      </c>
      <c r="AK13" s="26">
        <f>'calc-Weights'!AK$2*'calc-Weights'!$B13*'calc-CovarMatrix'!AK13</f>
        <v>0</v>
      </c>
      <c r="AL13" s="26">
        <f>'calc-Weights'!AL$2*'calc-Weights'!$B13*'calc-CovarMatrix'!AL13</f>
        <v>0</v>
      </c>
      <c r="AM13" s="26">
        <f>'calc-Weights'!AM$2*'calc-Weights'!$B13*'calc-CovarMatrix'!AM13</f>
        <v>0</v>
      </c>
      <c r="AN13" s="26">
        <f>'calc-Weights'!AN$2*'calc-Weights'!$B13*'calc-CovarMatrix'!AN13</f>
        <v>0</v>
      </c>
      <c r="AO13" s="26">
        <f>'calc-Weights'!AO$2*'calc-Weights'!$B13*'calc-CovarMatrix'!AO13</f>
        <v>0</v>
      </c>
      <c r="AP13" s="26">
        <f>'calc-Weights'!AP$2*'calc-Weights'!$B13*'calc-CovarMatrix'!AP13</f>
        <v>1.1553109785973829E-8</v>
      </c>
      <c r="AQ13" s="26">
        <f>'calc-Weights'!AQ$2*'calc-Weights'!$B13*'calc-CovarMatrix'!AQ13</f>
        <v>0</v>
      </c>
      <c r="AR13" s="26">
        <f>'calc-Weights'!AR$2*'calc-Weights'!$B13*'calc-CovarMatrix'!AR13</f>
        <v>0</v>
      </c>
      <c r="AS13" s="26">
        <f>'calc-Weights'!AS$2*'calc-Weights'!$B13*'calc-CovarMatrix'!AS13</f>
        <v>0</v>
      </c>
      <c r="AT13" s="26">
        <f>'calc-Weights'!AT$2*'calc-Weights'!$B13*'calc-CovarMatrix'!AT13</f>
        <v>0</v>
      </c>
      <c r="AU13" s="26">
        <f>'calc-Weights'!AU$2*'calc-Weights'!$B13*'calc-CovarMatrix'!AU13</f>
        <v>0</v>
      </c>
      <c r="AV13" s="26">
        <f>'calc-Weights'!AV$2*'calc-Weights'!$B13*'calc-CovarMatrix'!AV13</f>
        <v>1.5503194230900687E-7</v>
      </c>
    </row>
    <row r="14" spans="1:48" x14ac:dyDescent="0.2">
      <c r="A14" s="26" t="s">
        <v>86</v>
      </c>
      <c r="B14" s="26">
        <f>'calc-Weights'!B$2*'calc-Weights'!$B14*'calc-CovarMatrix'!B14</f>
        <v>0</v>
      </c>
      <c r="C14" s="26">
        <f>'calc-Weights'!C$2*'calc-Weights'!$B14*'calc-CovarMatrix'!C14</f>
        <v>0</v>
      </c>
      <c r="D14" s="26">
        <f>'calc-Weights'!D$2*'calc-Weights'!$B14*'calc-CovarMatrix'!D14</f>
        <v>0</v>
      </c>
      <c r="E14" s="26">
        <f>'calc-Weights'!E$2*'calc-Weights'!$B14*'calc-CovarMatrix'!E14</f>
        <v>0</v>
      </c>
      <c r="F14" s="26">
        <f>'calc-Weights'!F$2*'calc-Weights'!$B14*'calc-CovarMatrix'!F14</f>
        <v>0</v>
      </c>
      <c r="G14" s="26">
        <f>'calc-Weights'!G$2*'calc-Weights'!$B14*'calc-CovarMatrix'!G14</f>
        <v>0</v>
      </c>
      <c r="H14" s="26">
        <f>'calc-Weights'!H$2*'calc-Weights'!$B14*'calc-CovarMatrix'!H14</f>
        <v>0</v>
      </c>
      <c r="I14" s="26">
        <f>'calc-Weights'!I$2*'calc-Weights'!$B14*'calc-CovarMatrix'!I14</f>
        <v>0</v>
      </c>
      <c r="J14" s="26">
        <f>'calc-Weights'!J$2*'calc-Weights'!$B14*'calc-CovarMatrix'!J14</f>
        <v>0</v>
      </c>
      <c r="K14" s="26">
        <f>'calc-Weights'!K$2*'calc-Weights'!$B14*'calc-CovarMatrix'!K14</f>
        <v>0</v>
      </c>
      <c r="L14" s="26">
        <f>'calc-Weights'!L$2*'calc-Weights'!$B14*'calc-CovarMatrix'!L14</f>
        <v>0</v>
      </c>
      <c r="M14" s="26">
        <f>'calc-Weights'!M$2*'calc-Weights'!$B14*'calc-CovarMatrix'!M14</f>
        <v>0</v>
      </c>
      <c r="N14" s="26">
        <f>'calc-Weights'!N$2*'calc-Weights'!$B14*'calc-CovarMatrix'!N14</f>
        <v>0</v>
      </c>
      <c r="O14" s="26">
        <f>'calc-Weights'!O$2*'calc-Weights'!$B14*'calc-CovarMatrix'!O14</f>
        <v>0</v>
      </c>
      <c r="P14" s="26">
        <f>'calc-Weights'!P$2*'calc-Weights'!$B14*'calc-CovarMatrix'!P14</f>
        <v>0</v>
      </c>
      <c r="Q14" s="26">
        <f>'calc-Weights'!Q$2*'calc-Weights'!$B14*'calc-CovarMatrix'!Q14</f>
        <v>0</v>
      </c>
      <c r="R14" s="26">
        <f>'calc-Weights'!R$2*'calc-Weights'!$B14*'calc-CovarMatrix'!R14</f>
        <v>0</v>
      </c>
      <c r="S14" s="26">
        <f>'calc-Weights'!S$2*'calc-Weights'!$B14*'calc-CovarMatrix'!S14</f>
        <v>0</v>
      </c>
      <c r="T14" s="26">
        <f>'calc-Weights'!T$2*'calc-Weights'!$B14*'calc-CovarMatrix'!T14</f>
        <v>0</v>
      </c>
      <c r="U14" s="26">
        <f>'calc-Weights'!U$2*'calc-Weights'!$B14*'calc-CovarMatrix'!U14</f>
        <v>0</v>
      </c>
      <c r="V14" s="26">
        <f>'calc-Weights'!V$2*'calc-Weights'!$B14*'calc-CovarMatrix'!V14</f>
        <v>0</v>
      </c>
      <c r="W14" s="26">
        <f>'calc-Weights'!W$2*'calc-Weights'!$B14*'calc-CovarMatrix'!W14</f>
        <v>0</v>
      </c>
      <c r="X14" s="26">
        <f>'calc-Weights'!X$2*'calc-Weights'!$B14*'calc-CovarMatrix'!X14</f>
        <v>0</v>
      </c>
      <c r="Y14" s="26">
        <f>'calc-Weights'!Y$2*'calc-Weights'!$B14*'calc-CovarMatrix'!Y14</f>
        <v>0</v>
      </c>
      <c r="Z14" s="26">
        <f>'calc-Weights'!Z$2*'calc-Weights'!$B14*'calc-CovarMatrix'!Z14</f>
        <v>0</v>
      </c>
      <c r="AA14" s="26">
        <f>'calc-Weights'!AA$2*'calc-Weights'!$B14*'calc-CovarMatrix'!AA14</f>
        <v>0</v>
      </c>
      <c r="AB14" s="26">
        <f>'calc-Weights'!AB$2*'calc-Weights'!$B14*'calc-CovarMatrix'!AB14</f>
        <v>0</v>
      </c>
      <c r="AC14" s="26">
        <f>'calc-Weights'!AC$2*'calc-Weights'!$B14*'calc-CovarMatrix'!AC14</f>
        <v>0</v>
      </c>
      <c r="AD14" s="26">
        <f>'calc-Weights'!AD$2*'calc-Weights'!$B14*'calc-CovarMatrix'!AD14</f>
        <v>0</v>
      </c>
      <c r="AE14" s="26">
        <f>'calc-Weights'!AE$2*'calc-Weights'!$B14*'calc-CovarMatrix'!AE14</f>
        <v>0</v>
      </c>
      <c r="AF14" s="26">
        <f>'calc-Weights'!AF$2*'calc-Weights'!$B14*'calc-CovarMatrix'!AF14</f>
        <v>0</v>
      </c>
      <c r="AG14" s="26">
        <f>'calc-Weights'!AG$2*'calc-Weights'!$B14*'calc-CovarMatrix'!AG14</f>
        <v>0</v>
      </c>
      <c r="AH14" s="26">
        <f>'calc-Weights'!AH$2*'calc-Weights'!$B14*'calc-CovarMatrix'!AH14</f>
        <v>0</v>
      </c>
      <c r="AI14" s="26">
        <f>'calc-Weights'!AI$2*'calc-Weights'!$B14*'calc-CovarMatrix'!AI14</f>
        <v>0</v>
      </c>
      <c r="AJ14" s="26">
        <f>'calc-Weights'!AJ$2*'calc-Weights'!$B14*'calc-CovarMatrix'!AJ14</f>
        <v>0</v>
      </c>
      <c r="AK14" s="26">
        <f>'calc-Weights'!AK$2*'calc-Weights'!$B14*'calc-CovarMatrix'!AK14</f>
        <v>0</v>
      </c>
      <c r="AL14" s="26">
        <f>'calc-Weights'!AL$2*'calc-Weights'!$B14*'calc-CovarMatrix'!AL14</f>
        <v>0</v>
      </c>
      <c r="AM14" s="26">
        <f>'calc-Weights'!AM$2*'calc-Weights'!$B14*'calc-CovarMatrix'!AM14</f>
        <v>0</v>
      </c>
      <c r="AN14" s="26">
        <f>'calc-Weights'!AN$2*'calc-Weights'!$B14*'calc-CovarMatrix'!AN14</f>
        <v>0</v>
      </c>
      <c r="AO14" s="26">
        <f>'calc-Weights'!AO$2*'calc-Weights'!$B14*'calc-CovarMatrix'!AO14</f>
        <v>0</v>
      </c>
      <c r="AP14" s="26">
        <f>'calc-Weights'!AP$2*'calc-Weights'!$B14*'calc-CovarMatrix'!AP14</f>
        <v>0</v>
      </c>
      <c r="AQ14" s="26">
        <f>'calc-Weights'!AQ$2*'calc-Weights'!$B14*'calc-CovarMatrix'!AQ14</f>
        <v>0</v>
      </c>
      <c r="AR14" s="26">
        <f>'calc-Weights'!AR$2*'calc-Weights'!$B14*'calc-CovarMatrix'!AR14</f>
        <v>0</v>
      </c>
      <c r="AS14" s="26">
        <f>'calc-Weights'!AS$2*'calc-Weights'!$B14*'calc-CovarMatrix'!AS14</f>
        <v>0</v>
      </c>
      <c r="AT14" s="26">
        <f>'calc-Weights'!AT$2*'calc-Weights'!$B14*'calc-CovarMatrix'!AT14</f>
        <v>0</v>
      </c>
      <c r="AU14" s="26">
        <f>'calc-Weights'!AU$2*'calc-Weights'!$B14*'calc-CovarMatrix'!AU14</f>
        <v>0</v>
      </c>
      <c r="AV14" s="26">
        <f>'calc-Weights'!AV$2*'calc-Weights'!$B14*'calc-CovarMatrix'!AV14</f>
        <v>0</v>
      </c>
    </row>
    <row r="15" spans="1:48" x14ac:dyDescent="0.2">
      <c r="A15" s="26" t="s">
        <v>88</v>
      </c>
      <c r="B15" s="26">
        <f>'calc-Weights'!B$2*'calc-Weights'!$B15*'calc-CovarMatrix'!B15</f>
        <v>0</v>
      </c>
      <c r="C15" s="26">
        <f>'calc-Weights'!C$2*'calc-Weights'!$B15*'calc-CovarMatrix'!C15</f>
        <v>0</v>
      </c>
      <c r="D15" s="26">
        <f>'calc-Weights'!D$2*'calc-Weights'!$B15*'calc-CovarMatrix'!D15</f>
        <v>0</v>
      </c>
      <c r="E15" s="26">
        <f>'calc-Weights'!E$2*'calc-Weights'!$B15*'calc-CovarMatrix'!E15</f>
        <v>0</v>
      </c>
      <c r="F15" s="26">
        <f>'calc-Weights'!F$2*'calc-Weights'!$B15*'calc-CovarMatrix'!F15</f>
        <v>0</v>
      </c>
      <c r="G15" s="26">
        <f>'calc-Weights'!G$2*'calc-Weights'!$B15*'calc-CovarMatrix'!G15</f>
        <v>0</v>
      </c>
      <c r="H15" s="26">
        <f>'calc-Weights'!H$2*'calc-Weights'!$B15*'calc-CovarMatrix'!H15</f>
        <v>0</v>
      </c>
      <c r="I15" s="26">
        <f>'calc-Weights'!I$2*'calc-Weights'!$B15*'calc-CovarMatrix'!I15</f>
        <v>0</v>
      </c>
      <c r="J15" s="26">
        <f>'calc-Weights'!J$2*'calc-Weights'!$B15*'calc-CovarMatrix'!J15</f>
        <v>0</v>
      </c>
      <c r="K15" s="26">
        <f>'calc-Weights'!K$2*'calc-Weights'!$B15*'calc-CovarMatrix'!K15</f>
        <v>0</v>
      </c>
      <c r="L15" s="26">
        <f>'calc-Weights'!L$2*'calc-Weights'!$B15*'calc-CovarMatrix'!L15</f>
        <v>0</v>
      </c>
      <c r="M15" s="26">
        <f>'calc-Weights'!M$2*'calc-Weights'!$B15*'calc-CovarMatrix'!M15</f>
        <v>0</v>
      </c>
      <c r="N15" s="26">
        <f>'calc-Weights'!N$2*'calc-Weights'!$B15*'calc-CovarMatrix'!N15</f>
        <v>0</v>
      </c>
      <c r="O15" s="26">
        <f>'calc-Weights'!O$2*'calc-Weights'!$B15*'calc-CovarMatrix'!O15</f>
        <v>0</v>
      </c>
      <c r="P15" s="26">
        <f>'calc-Weights'!P$2*'calc-Weights'!$B15*'calc-CovarMatrix'!P15</f>
        <v>0</v>
      </c>
      <c r="Q15" s="26">
        <f>'calc-Weights'!Q$2*'calc-Weights'!$B15*'calc-CovarMatrix'!Q15</f>
        <v>0</v>
      </c>
      <c r="R15" s="26">
        <f>'calc-Weights'!R$2*'calc-Weights'!$B15*'calc-CovarMatrix'!R15</f>
        <v>0</v>
      </c>
      <c r="S15" s="26">
        <f>'calc-Weights'!S$2*'calc-Weights'!$B15*'calc-CovarMatrix'!S15</f>
        <v>0</v>
      </c>
      <c r="T15" s="26">
        <f>'calc-Weights'!T$2*'calc-Weights'!$B15*'calc-CovarMatrix'!T15</f>
        <v>0</v>
      </c>
      <c r="U15" s="26">
        <f>'calc-Weights'!U$2*'calc-Weights'!$B15*'calc-CovarMatrix'!U15</f>
        <v>0</v>
      </c>
      <c r="V15" s="26">
        <f>'calc-Weights'!V$2*'calc-Weights'!$B15*'calc-CovarMatrix'!V15</f>
        <v>0</v>
      </c>
      <c r="W15" s="26">
        <f>'calc-Weights'!W$2*'calc-Weights'!$B15*'calc-CovarMatrix'!W15</f>
        <v>0</v>
      </c>
      <c r="X15" s="26">
        <f>'calc-Weights'!X$2*'calc-Weights'!$B15*'calc-CovarMatrix'!X15</f>
        <v>0</v>
      </c>
      <c r="Y15" s="26">
        <f>'calc-Weights'!Y$2*'calc-Weights'!$B15*'calc-CovarMatrix'!Y15</f>
        <v>0</v>
      </c>
      <c r="Z15" s="26">
        <f>'calc-Weights'!Z$2*'calc-Weights'!$B15*'calc-CovarMatrix'!Z15</f>
        <v>0</v>
      </c>
      <c r="AA15" s="26">
        <f>'calc-Weights'!AA$2*'calc-Weights'!$B15*'calc-CovarMatrix'!AA15</f>
        <v>0</v>
      </c>
      <c r="AB15" s="26">
        <f>'calc-Weights'!AB$2*'calc-Weights'!$B15*'calc-CovarMatrix'!AB15</f>
        <v>0</v>
      </c>
      <c r="AC15" s="26">
        <f>'calc-Weights'!AC$2*'calc-Weights'!$B15*'calc-CovarMatrix'!AC15</f>
        <v>0</v>
      </c>
      <c r="AD15" s="26">
        <f>'calc-Weights'!AD$2*'calc-Weights'!$B15*'calc-CovarMatrix'!AD15</f>
        <v>0</v>
      </c>
      <c r="AE15" s="26">
        <f>'calc-Weights'!AE$2*'calc-Weights'!$B15*'calc-CovarMatrix'!AE15</f>
        <v>0</v>
      </c>
      <c r="AF15" s="26">
        <f>'calc-Weights'!AF$2*'calc-Weights'!$B15*'calc-CovarMatrix'!AF15</f>
        <v>0</v>
      </c>
      <c r="AG15" s="26">
        <f>'calc-Weights'!AG$2*'calc-Weights'!$B15*'calc-CovarMatrix'!AG15</f>
        <v>0</v>
      </c>
      <c r="AH15" s="26">
        <f>'calc-Weights'!AH$2*'calc-Weights'!$B15*'calc-CovarMatrix'!AH15</f>
        <v>0</v>
      </c>
      <c r="AI15" s="26">
        <f>'calc-Weights'!AI$2*'calc-Weights'!$B15*'calc-CovarMatrix'!AI15</f>
        <v>0</v>
      </c>
      <c r="AJ15" s="26">
        <f>'calc-Weights'!AJ$2*'calc-Weights'!$B15*'calc-CovarMatrix'!AJ15</f>
        <v>0</v>
      </c>
      <c r="AK15" s="26">
        <f>'calc-Weights'!AK$2*'calc-Weights'!$B15*'calc-CovarMatrix'!AK15</f>
        <v>0</v>
      </c>
      <c r="AL15" s="26">
        <f>'calc-Weights'!AL$2*'calc-Weights'!$B15*'calc-CovarMatrix'!AL15</f>
        <v>0</v>
      </c>
      <c r="AM15" s="26">
        <f>'calc-Weights'!AM$2*'calc-Weights'!$B15*'calc-CovarMatrix'!AM15</f>
        <v>0</v>
      </c>
      <c r="AN15" s="26">
        <f>'calc-Weights'!AN$2*'calc-Weights'!$B15*'calc-CovarMatrix'!AN15</f>
        <v>0</v>
      </c>
      <c r="AO15" s="26">
        <f>'calc-Weights'!AO$2*'calc-Weights'!$B15*'calc-CovarMatrix'!AO15</f>
        <v>0</v>
      </c>
      <c r="AP15" s="26">
        <f>'calc-Weights'!AP$2*'calc-Weights'!$B15*'calc-CovarMatrix'!AP15</f>
        <v>0</v>
      </c>
      <c r="AQ15" s="26">
        <f>'calc-Weights'!AQ$2*'calc-Weights'!$B15*'calc-CovarMatrix'!AQ15</f>
        <v>0</v>
      </c>
      <c r="AR15" s="26">
        <f>'calc-Weights'!AR$2*'calc-Weights'!$B15*'calc-CovarMatrix'!AR15</f>
        <v>0</v>
      </c>
      <c r="AS15" s="26">
        <f>'calc-Weights'!AS$2*'calc-Weights'!$B15*'calc-CovarMatrix'!AS15</f>
        <v>0</v>
      </c>
      <c r="AT15" s="26">
        <f>'calc-Weights'!AT$2*'calc-Weights'!$B15*'calc-CovarMatrix'!AT15</f>
        <v>0</v>
      </c>
      <c r="AU15" s="26">
        <f>'calc-Weights'!AU$2*'calc-Weights'!$B15*'calc-CovarMatrix'!AU15</f>
        <v>0</v>
      </c>
      <c r="AV15" s="26">
        <f>'calc-Weights'!AV$2*'calc-Weights'!$B15*'calc-CovarMatrix'!AV15</f>
        <v>0</v>
      </c>
    </row>
    <row r="16" spans="1:48" x14ac:dyDescent="0.2">
      <c r="A16" s="26" t="s">
        <v>89</v>
      </c>
      <c r="B16" s="26">
        <f>'calc-Weights'!B$2*'calc-Weights'!$B16*'calc-CovarMatrix'!B16</f>
        <v>0</v>
      </c>
      <c r="C16" s="26">
        <f>'calc-Weights'!C$2*'calc-Weights'!$B16*'calc-CovarMatrix'!C16</f>
        <v>0</v>
      </c>
      <c r="D16" s="26">
        <f>'calc-Weights'!D$2*'calc-Weights'!$B16*'calc-CovarMatrix'!D16</f>
        <v>0</v>
      </c>
      <c r="E16" s="26">
        <f>'calc-Weights'!E$2*'calc-Weights'!$B16*'calc-CovarMatrix'!E16</f>
        <v>0</v>
      </c>
      <c r="F16" s="26">
        <f>'calc-Weights'!F$2*'calc-Weights'!$B16*'calc-CovarMatrix'!F16</f>
        <v>0</v>
      </c>
      <c r="G16" s="26">
        <f>'calc-Weights'!G$2*'calc-Weights'!$B16*'calc-CovarMatrix'!G16</f>
        <v>0</v>
      </c>
      <c r="H16" s="26">
        <f>'calc-Weights'!H$2*'calc-Weights'!$B16*'calc-CovarMatrix'!H16</f>
        <v>0</v>
      </c>
      <c r="I16" s="26">
        <f>'calc-Weights'!I$2*'calc-Weights'!$B16*'calc-CovarMatrix'!I16</f>
        <v>0</v>
      </c>
      <c r="J16" s="26">
        <f>'calc-Weights'!J$2*'calc-Weights'!$B16*'calc-CovarMatrix'!J16</f>
        <v>0</v>
      </c>
      <c r="K16" s="26">
        <f>'calc-Weights'!K$2*'calc-Weights'!$B16*'calc-CovarMatrix'!K16</f>
        <v>0</v>
      </c>
      <c r="L16" s="26">
        <f>'calc-Weights'!L$2*'calc-Weights'!$B16*'calc-CovarMatrix'!L16</f>
        <v>0</v>
      </c>
      <c r="M16" s="26">
        <f>'calc-Weights'!M$2*'calc-Weights'!$B16*'calc-CovarMatrix'!M16</f>
        <v>0</v>
      </c>
      <c r="N16" s="26">
        <f>'calc-Weights'!N$2*'calc-Weights'!$B16*'calc-CovarMatrix'!N16</f>
        <v>0</v>
      </c>
      <c r="O16" s="26">
        <f>'calc-Weights'!O$2*'calc-Weights'!$B16*'calc-CovarMatrix'!O16</f>
        <v>0</v>
      </c>
      <c r="P16" s="26">
        <f>'calc-Weights'!P$2*'calc-Weights'!$B16*'calc-CovarMatrix'!P16</f>
        <v>0</v>
      </c>
      <c r="Q16" s="26">
        <f>'calc-Weights'!Q$2*'calc-Weights'!$B16*'calc-CovarMatrix'!Q16</f>
        <v>0</v>
      </c>
      <c r="R16" s="26">
        <f>'calc-Weights'!R$2*'calc-Weights'!$B16*'calc-CovarMatrix'!R16</f>
        <v>0</v>
      </c>
      <c r="S16" s="26">
        <f>'calc-Weights'!S$2*'calc-Weights'!$B16*'calc-CovarMatrix'!S16</f>
        <v>0</v>
      </c>
      <c r="T16" s="26">
        <f>'calc-Weights'!T$2*'calc-Weights'!$B16*'calc-CovarMatrix'!T16</f>
        <v>0</v>
      </c>
      <c r="U16" s="26">
        <f>'calc-Weights'!U$2*'calc-Weights'!$B16*'calc-CovarMatrix'!U16</f>
        <v>0</v>
      </c>
      <c r="V16" s="26">
        <f>'calc-Weights'!V$2*'calc-Weights'!$B16*'calc-CovarMatrix'!V16</f>
        <v>0</v>
      </c>
      <c r="W16" s="26">
        <f>'calc-Weights'!W$2*'calc-Weights'!$B16*'calc-CovarMatrix'!W16</f>
        <v>0</v>
      </c>
      <c r="X16" s="26">
        <f>'calc-Weights'!X$2*'calc-Weights'!$B16*'calc-CovarMatrix'!X16</f>
        <v>0</v>
      </c>
      <c r="Y16" s="26">
        <f>'calc-Weights'!Y$2*'calc-Weights'!$B16*'calc-CovarMatrix'!Y16</f>
        <v>0</v>
      </c>
      <c r="Z16" s="26">
        <f>'calc-Weights'!Z$2*'calc-Weights'!$B16*'calc-CovarMatrix'!Z16</f>
        <v>0</v>
      </c>
      <c r="AA16" s="26">
        <f>'calc-Weights'!AA$2*'calc-Weights'!$B16*'calc-CovarMatrix'!AA16</f>
        <v>0</v>
      </c>
      <c r="AB16" s="26">
        <f>'calc-Weights'!AB$2*'calc-Weights'!$B16*'calc-CovarMatrix'!AB16</f>
        <v>0</v>
      </c>
      <c r="AC16" s="26">
        <f>'calc-Weights'!AC$2*'calc-Weights'!$B16*'calc-CovarMatrix'!AC16</f>
        <v>0</v>
      </c>
      <c r="AD16" s="26">
        <f>'calc-Weights'!AD$2*'calc-Weights'!$B16*'calc-CovarMatrix'!AD16</f>
        <v>0</v>
      </c>
      <c r="AE16" s="26">
        <f>'calc-Weights'!AE$2*'calc-Weights'!$B16*'calc-CovarMatrix'!AE16</f>
        <v>0</v>
      </c>
      <c r="AF16" s="26">
        <f>'calc-Weights'!AF$2*'calc-Weights'!$B16*'calc-CovarMatrix'!AF16</f>
        <v>0</v>
      </c>
      <c r="AG16" s="26">
        <f>'calc-Weights'!AG$2*'calc-Weights'!$B16*'calc-CovarMatrix'!AG16</f>
        <v>0</v>
      </c>
      <c r="AH16" s="26">
        <f>'calc-Weights'!AH$2*'calc-Weights'!$B16*'calc-CovarMatrix'!AH16</f>
        <v>0</v>
      </c>
      <c r="AI16" s="26">
        <f>'calc-Weights'!AI$2*'calc-Weights'!$B16*'calc-CovarMatrix'!AI16</f>
        <v>0</v>
      </c>
      <c r="AJ16" s="26">
        <f>'calc-Weights'!AJ$2*'calc-Weights'!$B16*'calc-CovarMatrix'!AJ16</f>
        <v>0</v>
      </c>
      <c r="AK16" s="26">
        <f>'calc-Weights'!AK$2*'calc-Weights'!$B16*'calc-CovarMatrix'!AK16</f>
        <v>0</v>
      </c>
      <c r="AL16" s="26">
        <f>'calc-Weights'!AL$2*'calc-Weights'!$B16*'calc-CovarMatrix'!AL16</f>
        <v>0</v>
      </c>
      <c r="AM16" s="26">
        <f>'calc-Weights'!AM$2*'calc-Weights'!$B16*'calc-CovarMatrix'!AM16</f>
        <v>0</v>
      </c>
      <c r="AN16" s="26">
        <f>'calc-Weights'!AN$2*'calc-Weights'!$B16*'calc-CovarMatrix'!AN16</f>
        <v>0</v>
      </c>
      <c r="AO16" s="26">
        <f>'calc-Weights'!AO$2*'calc-Weights'!$B16*'calc-CovarMatrix'!AO16</f>
        <v>0</v>
      </c>
      <c r="AP16" s="26">
        <f>'calc-Weights'!AP$2*'calc-Weights'!$B16*'calc-CovarMatrix'!AP16</f>
        <v>0</v>
      </c>
      <c r="AQ16" s="26">
        <f>'calc-Weights'!AQ$2*'calc-Weights'!$B16*'calc-CovarMatrix'!AQ16</f>
        <v>0</v>
      </c>
      <c r="AR16" s="26">
        <f>'calc-Weights'!AR$2*'calc-Weights'!$B16*'calc-CovarMatrix'!AR16</f>
        <v>0</v>
      </c>
      <c r="AS16" s="26">
        <f>'calc-Weights'!AS$2*'calc-Weights'!$B16*'calc-CovarMatrix'!AS16</f>
        <v>0</v>
      </c>
      <c r="AT16" s="26">
        <f>'calc-Weights'!AT$2*'calc-Weights'!$B16*'calc-CovarMatrix'!AT16</f>
        <v>0</v>
      </c>
      <c r="AU16" s="26">
        <f>'calc-Weights'!AU$2*'calc-Weights'!$B16*'calc-CovarMatrix'!AU16</f>
        <v>0</v>
      </c>
      <c r="AV16" s="26">
        <f>'calc-Weights'!AV$2*'calc-Weights'!$B16*'calc-CovarMatrix'!AV16</f>
        <v>0</v>
      </c>
    </row>
    <row r="17" spans="1:48" x14ac:dyDescent="0.2">
      <c r="A17" s="26" t="s">
        <v>90</v>
      </c>
      <c r="B17" s="26">
        <f>'calc-Weights'!B$2*'calc-Weights'!$B17*'calc-CovarMatrix'!B17</f>
        <v>0</v>
      </c>
      <c r="C17" s="26">
        <f>'calc-Weights'!C$2*'calc-Weights'!$B17*'calc-CovarMatrix'!C17</f>
        <v>0</v>
      </c>
      <c r="D17" s="26">
        <f>'calc-Weights'!D$2*'calc-Weights'!$B17*'calc-CovarMatrix'!D17</f>
        <v>0</v>
      </c>
      <c r="E17" s="26">
        <f>'calc-Weights'!E$2*'calc-Weights'!$B17*'calc-CovarMatrix'!E17</f>
        <v>0</v>
      </c>
      <c r="F17" s="26">
        <f>'calc-Weights'!F$2*'calc-Weights'!$B17*'calc-CovarMatrix'!F17</f>
        <v>0</v>
      </c>
      <c r="G17" s="26">
        <f>'calc-Weights'!G$2*'calc-Weights'!$B17*'calc-CovarMatrix'!G17</f>
        <v>0</v>
      </c>
      <c r="H17" s="26">
        <f>'calc-Weights'!H$2*'calc-Weights'!$B17*'calc-CovarMatrix'!H17</f>
        <v>0</v>
      </c>
      <c r="I17" s="26">
        <f>'calc-Weights'!I$2*'calc-Weights'!$B17*'calc-CovarMatrix'!I17</f>
        <v>0</v>
      </c>
      <c r="J17" s="26">
        <f>'calc-Weights'!J$2*'calc-Weights'!$B17*'calc-CovarMatrix'!J17</f>
        <v>0</v>
      </c>
      <c r="K17" s="26">
        <f>'calc-Weights'!K$2*'calc-Weights'!$B17*'calc-CovarMatrix'!K17</f>
        <v>0</v>
      </c>
      <c r="L17" s="26">
        <f>'calc-Weights'!L$2*'calc-Weights'!$B17*'calc-CovarMatrix'!L17</f>
        <v>0</v>
      </c>
      <c r="M17" s="26">
        <f>'calc-Weights'!M$2*'calc-Weights'!$B17*'calc-CovarMatrix'!M17</f>
        <v>0</v>
      </c>
      <c r="N17" s="26">
        <f>'calc-Weights'!N$2*'calc-Weights'!$B17*'calc-CovarMatrix'!N17</f>
        <v>0</v>
      </c>
      <c r="O17" s="26">
        <f>'calc-Weights'!O$2*'calc-Weights'!$B17*'calc-CovarMatrix'!O17</f>
        <v>0</v>
      </c>
      <c r="P17" s="26">
        <f>'calc-Weights'!P$2*'calc-Weights'!$B17*'calc-CovarMatrix'!P17</f>
        <v>0</v>
      </c>
      <c r="Q17" s="26">
        <f>'calc-Weights'!Q$2*'calc-Weights'!$B17*'calc-CovarMatrix'!Q17</f>
        <v>0</v>
      </c>
      <c r="R17" s="26">
        <f>'calc-Weights'!R$2*'calc-Weights'!$B17*'calc-CovarMatrix'!R17</f>
        <v>0</v>
      </c>
      <c r="S17" s="26">
        <f>'calc-Weights'!S$2*'calc-Weights'!$B17*'calc-CovarMatrix'!S17</f>
        <v>0</v>
      </c>
      <c r="T17" s="26">
        <f>'calc-Weights'!T$2*'calc-Weights'!$B17*'calc-CovarMatrix'!T17</f>
        <v>0</v>
      </c>
      <c r="U17" s="26">
        <f>'calc-Weights'!U$2*'calc-Weights'!$B17*'calc-CovarMatrix'!U17</f>
        <v>0</v>
      </c>
      <c r="V17" s="26">
        <f>'calc-Weights'!V$2*'calc-Weights'!$B17*'calc-CovarMatrix'!V17</f>
        <v>0</v>
      </c>
      <c r="W17" s="26">
        <f>'calc-Weights'!W$2*'calc-Weights'!$B17*'calc-CovarMatrix'!W17</f>
        <v>0</v>
      </c>
      <c r="X17" s="26">
        <f>'calc-Weights'!X$2*'calc-Weights'!$B17*'calc-CovarMatrix'!X17</f>
        <v>0</v>
      </c>
      <c r="Y17" s="26">
        <f>'calc-Weights'!Y$2*'calc-Weights'!$B17*'calc-CovarMatrix'!Y17</f>
        <v>0</v>
      </c>
      <c r="Z17" s="26">
        <f>'calc-Weights'!Z$2*'calc-Weights'!$B17*'calc-CovarMatrix'!Z17</f>
        <v>0</v>
      </c>
      <c r="AA17" s="26">
        <f>'calc-Weights'!AA$2*'calc-Weights'!$B17*'calc-CovarMatrix'!AA17</f>
        <v>0</v>
      </c>
      <c r="AB17" s="26">
        <f>'calc-Weights'!AB$2*'calc-Weights'!$B17*'calc-CovarMatrix'!AB17</f>
        <v>0</v>
      </c>
      <c r="AC17" s="26">
        <f>'calc-Weights'!AC$2*'calc-Weights'!$B17*'calc-CovarMatrix'!AC17</f>
        <v>0</v>
      </c>
      <c r="AD17" s="26">
        <f>'calc-Weights'!AD$2*'calc-Weights'!$B17*'calc-CovarMatrix'!AD17</f>
        <v>0</v>
      </c>
      <c r="AE17" s="26">
        <f>'calc-Weights'!AE$2*'calc-Weights'!$B17*'calc-CovarMatrix'!AE17</f>
        <v>0</v>
      </c>
      <c r="AF17" s="26">
        <f>'calc-Weights'!AF$2*'calc-Weights'!$B17*'calc-CovarMatrix'!AF17</f>
        <v>0</v>
      </c>
      <c r="AG17" s="26">
        <f>'calc-Weights'!AG$2*'calc-Weights'!$B17*'calc-CovarMatrix'!AG17</f>
        <v>0</v>
      </c>
      <c r="AH17" s="26">
        <f>'calc-Weights'!AH$2*'calc-Weights'!$B17*'calc-CovarMatrix'!AH17</f>
        <v>0</v>
      </c>
      <c r="AI17" s="26">
        <f>'calc-Weights'!AI$2*'calc-Weights'!$B17*'calc-CovarMatrix'!AI17</f>
        <v>0</v>
      </c>
      <c r="AJ17" s="26">
        <f>'calc-Weights'!AJ$2*'calc-Weights'!$B17*'calc-CovarMatrix'!AJ17</f>
        <v>0</v>
      </c>
      <c r="AK17" s="26">
        <f>'calc-Weights'!AK$2*'calc-Weights'!$B17*'calc-CovarMatrix'!AK17</f>
        <v>0</v>
      </c>
      <c r="AL17" s="26">
        <f>'calc-Weights'!AL$2*'calc-Weights'!$B17*'calc-CovarMatrix'!AL17</f>
        <v>0</v>
      </c>
      <c r="AM17" s="26">
        <f>'calc-Weights'!AM$2*'calc-Weights'!$B17*'calc-CovarMatrix'!AM17</f>
        <v>0</v>
      </c>
      <c r="AN17" s="26">
        <f>'calc-Weights'!AN$2*'calc-Weights'!$B17*'calc-CovarMatrix'!AN17</f>
        <v>0</v>
      </c>
      <c r="AO17" s="26">
        <f>'calc-Weights'!AO$2*'calc-Weights'!$B17*'calc-CovarMatrix'!AO17</f>
        <v>0</v>
      </c>
      <c r="AP17" s="26">
        <f>'calc-Weights'!AP$2*'calc-Weights'!$B17*'calc-CovarMatrix'!AP17</f>
        <v>0</v>
      </c>
      <c r="AQ17" s="26">
        <f>'calc-Weights'!AQ$2*'calc-Weights'!$B17*'calc-CovarMatrix'!AQ17</f>
        <v>0</v>
      </c>
      <c r="AR17" s="26">
        <f>'calc-Weights'!AR$2*'calc-Weights'!$B17*'calc-CovarMatrix'!AR17</f>
        <v>0</v>
      </c>
      <c r="AS17" s="26">
        <f>'calc-Weights'!AS$2*'calc-Weights'!$B17*'calc-CovarMatrix'!AS17</f>
        <v>0</v>
      </c>
      <c r="AT17" s="26">
        <f>'calc-Weights'!AT$2*'calc-Weights'!$B17*'calc-CovarMatrix'!AT17</f>
        <v>0</v>
      </c>
      <c r="AU17" s="26">
        <f>'calc-Weights'!AU$2*'calc-Weights'!$B17*'calc-CovarMatrix'!AU17</f>
        <v>0</v>
      </c>
      <c r="AV17" s="26">
        <f>'calc-Weights'!AV$2*'calc-Weights'!$B17*'calc-CovarMatrix'!AV17</f>
        <v>0</v>
      </c>
    </row>
    <row r="18" spans="1:48" x14ac:dyDescent="0.2">
      <c r="A18" s="26" t="s">
        <v>91</v>
      </c>
      <c r="B18" s="26">
        <f>'calc-Weights'!B$2*'calc-Weights'!$B18*'calc-CovarMatrix'!B18</f>
        <v>0</v>
      </c>
      <c r="C18" s="26">
        <f>'calc-Weights'!C$2*'calc-Weights'!$B18*'calc-CovarMatrix'!C18</f>
        <v>0</v>
      </c>
      <c r="D18" s="26">
        <f>'calc-Weights'!D$2*'calc-Weights'!$B18*'calc-CovarMatrix'!D18</f>
        <v>0</v>
      </c>
      <c r="E18" s="26">
        <f>'calc-Weights'!E$2*'calc-Weights'!$B18*'calc-CovarMatrix'!E18</f>
        <v>0</v>
      </c>
      <c r="F18" s="26">
        <f>'calc-Weights'!F$2*'calc-Weights'!$B18*'calc-CovarMatrix'!F18</f>
        <v>0</v>
      </c>
      <c r="G18" s="26">
        <f>'calc-Weights'!G$2*'calc-Weights'!$B18*'calc-CovarMatrix'!G18</f>
        <v>0</v>
      </c>
      <c r="H18" s="26">
        <f>'calc-Weights'!H$2*'calc-Weights'!$B18*'calc-CovarMatrix'!H18</f>
        <v>0</v>
      </c>
      <c r="I18" s="26">
        <f>'calc-Weights'!I$2*'calc-Weights'!$B18*'calc-CovarMatrix'!I18</f>
        <v>0</v>
      </c>
      <c r="J18" s="26">
        <f>'calc-Weights'!J$2*'calc-Weights'!$B18*'calc-CovarMatrix'!J18</f>
        <v>0</v>
      </c>
      <c r="K18" s="26">
        <f>'calc-Weights'!K$2*'calc-Weights'!$B18*'calc-CovarMatrix'!K18</f>
        <v>0</v>
      </c>
      <c r="L18" s="26">
        <f>'calc-Weights'!L$2*'calc-Weights'!$B18*'calc-CovarMatrix'!L18</f>
        <v>0</v>
      </c>
      <c r="M18" s="26">
        <f>'calc-Weights'!M$2*'calc-Weights'!$B18*'calc-CovarMatrix'!M18</f>
        <v>0</v>
      </c>
      <c r="N18" s="26">
        <f>'calc-Weights'!N$2*'calc-Weights'!$B18*'calc-CovarMatrix'!N18</f>
        <v>0</v>
      </c>
      <c r="O18" s="26">
        <f>'calc-Weights'!O$2*'calc-Weights'!$B18*'calc-CovarMatrix'!O18</f>
        <v>0</v>
      </c>
      <c r="P18" s="26">
        <f>'calc-Weights'!P$2*'calc-Weights'!$B18*'calc-CovarMatrix'!P18</f>
        <v>0</v>
      </c>
      <c r="Q18" s="26">
        <f>'calc-Weights'!Q$2*'calc-Weights'!$B18*'calc-CovarMatrix'!Q18</f>
        <v>0</v>
      </c>
      <c r="R18" s="26">
        <f>'calc-Weights'!R$2*'calc-Weights'!$B18*'calc-CovarMatrix'!R18</f>
        <v>0</v>
      </c>
      <c r="S18" s="26">
        <f>'calc-Weights'!S$2*'calc-Weights'!$B18*'calc-CovarMatrix'!S18</f>
        <v>0</v>
      </c>
      <c r="T18" s="26">
        <f>'calc-Weights'!T$2*'calc-Weights'!$B18*'calc-CovarMatrix'!T18</f>
        <v>0</v>
      </c>
      <c r="U18" s="26">
        <f>'calc-Weights'!U$2*'calc-Weights'!$B18*'calc-CovarMatrix'!U18</f>
        <v>0</v>
      </c>
      <c r="V18" s="26">
        <f>'calc-Weights'!V$2*'calc-Weights'!$B18*'calc-CovarMatrix'!V18</f>
        <v>0</v>
      </c>
      <c r="W18" s="26">
        <f>'calc-Weights'!W$2*'calc-Weights'!$B18*'calc-CovarMatrix'!W18</f>
        <v>0</v>
      </c>
      <c r="X18" s="26">
        <f>'calc-Weights'!X$2*'calc-Weights'!$B18*'calc-CovarMatrix'!X18</f>
        <v>0</v>
      </c>
      <c r="Y18" s="26">
        <f>'calc-Weights'!Y$2*'calc-Weights'!$B18*'calc-CovarMatrix'!Y18</f>
        <v>0</v>
      </c>
      <c r="Z18" s="26">
        <f>'calc-Weights'!Z$2*'calc-Weights'!$B18*'calc-CovarMatrix'!Z18</f>
        <v>0</v>
      </c>
      <c r="AA18" s="26">
        <f>'calc-Weights'!AA$2*'calc-Weights'!$B18*'calc-CovarMatrix'!AA18</f>
        <v>0</v>
      </c>
      <c r="AB18" s="26">
        <f>'calc-Weights'!AB$2*'calc-Weights'!$B18*'calc-CovarMatrix'!AB18</f>
        <v>0</v>
      </c>
      <c r="AC18" s="26">
        <f>'calc-Weights'!AC$2*'calc-Weights'!$B18*'calc-CovarMatrix'!AC18</f>
        <v>0</v>
      </c>
      <c r="AD18" s="26">
        <f>'calc-Weights'!AD$2*'calc-Weights'!$B18*'calc-CovarMatrix'!AD18</f>
        <v>0</v>
      </c>
      <c r="AE18" s="26">
        <f>'calc-Weights'!AE$2*'calc-Weights'!$B18*'calc-CovarMatrix'!AE18</f>
        <v>0</v>
      </c>
      <c r="AF18" s="26">
        <f>'calc-Weights'!AF$2*'calc-Weights'!$B18*'calc-CovarMatrix'!AF18</f>
        <v>0</v>
      </c>
      <c r="AG18" s="26">
        <f>'calc-Weights'!AG$2*'calc-Weights'!$B18*'calc-CovarMatrix'!AG18</f>
        <v>0</v>
      </c>
      <c r="AH18" s="26">
        <f>'calc-Weights'!AH$2*'calc-Weights'!$B18*'calc-CovarMatrix'!AH18</f>
        <v>0</v>
      </c>
      <c r="AI18" s="26">
        <f>'calc-Weights'!AI$2*'calc-Weights'!$B18*'calc-CovarMatrix'!AI18</f>
        <v>0</v>
      </c>
      <c r="AJ18" s="26">
        <f>'calc-Weights'!AJ$2*'calc-Weights'!$B18*'calc-CovarMatrix'!AJ18</f>
        <v>0</v>
      </c>
      <c r="AK18" s="26">
        <f>'calc-Weights'!AK$2*'calc-Weights'!$B18*'calc-CovarMatrix'!AK18</f>
        <v>0</v>
      </c>
      <c r="AL18" s="26">
        <f>'calc-Weights'!AL$2*'calc-Weights'!$B18*'calc-CovarMatrix'!AL18</f>
        <v>0</v>
      </c>
      <c r="AM18" s="26">
        <f>'calc-Weights'!AM$2*'calc-Weights'!$B18*'calc-CovarMatrix'!AM18</f>
        <v>0</v>
      </c>
      <c r="AN18" s="26">
        <f>'calc-Weights'!AN$2*'calc-Weights'!$B18*'calc-CovarMatrix'!AN18</f>
        <v>0</v>
      </c>
      <c r="AO18" s="26">
        <f>'calc-Weights'!AO$2*'calc-Weights'!$B18*'calc-CovarMatrix'!AO18</f>
        <v>0</v>
      </c>
      <c r="AP18" s="26">
        <f>'calc-Weights'!AP$2*'calc-Weights'!$B18*'calc-CovarMatrix'!AP18</f>
        <v>0</v>
      </c>
      <c r="AQ18" s="26">
        <f>'calc-Weights'!AQ$2*'calc-Weights'!$B18*'calc-CovarMatrix'!AQ18</f>
        <v>0</v>
      </c>
      <c r="AR18" s="26">
        <f>'calc-Weights'!AR$2*'calc-Weights'!$B18*'calc-CovarMatrix'!AR18</f>
        <v>0</v>
      </c>
      <c r="AS18" s="26">
        <f>'calc-Weights'!AS$2*'calc-Weights'!$B18*'calc-CovarMatrix'!AS18</f>
        <v>0</v>
      </c>
      <c r="AT18" s="26">
        <f>'calc-Weights'!AT$2*'calc-Weights'!$B18*'calc-CovarMatrix'!AT18</f>
        <v>0</v>
      </c>
      <c r="AU18" s="26">
        <f>'calc-Weights'!AU$2*'calc-Weights'!$B18*'calc-CovarMatrix'!AU18</f>
        <v>0</v>
      </c>
      <c r="AV18" s="26">
        <f>'calc-Weights'!AV$2*'calc-Weights'!$B18*'calc-CovarMatrix'!AV18</f>
        <v>0</v>
      </c>
    </row>
    <row r="19" spans="1:48" x14ac:dyDescent="0.2">
      <c r="A19" s="26" t="s">
        <v>92</v>
      </c>
      <c r="B19" s="26">
        <f>'calc-Weights'!B$2*'calc-Weights'!$B19*'calc-CovarMatrix'!B19</f>
        <v>0</v>
      </c>
      <c r="C19" s="26">
        <f>'calc-Weights'!C$2*'calc-Weights'!$B19*'calc-CovarMatrix'!C19</f>
        <v>0</v>
      </c>
      <c r="D19" s="26">
        <f>'calc-Weights'!D$2*'calc-Weights'!$B19*'calc-CovarMatrix'!D19</f>
        <v>0</v>
      </c>
      <c r="E19" s="26">
        <f>'calc-Weights'!E$2*'calc-Weights'!$B19*'calc-CovarMatrix'!E19</f>
        <v>0</v>
      </c>
      <c r="F19" s="26">
        <f>'calc-Weights'!F$2*'calc-Weights'!$B19*'calc-CovarMatrix'!F19</f>
        <v>0</v>
      </c>
      <c r="G19" s="26">
        <f>'calc-Weights'!G$2*'calc-Weights'!$B19*'calc-CovarMatrix'!G19</f>
        <v>0</v>
      </c>
      <c r="H19" s="26">
        <f>'calc-Weights'!H$2*'calc-Weights'!$B19*'calc-CovarMatrix'!H19</f>
        <v>0</v>
      </c>
      <c r="I19" s="26">
        <f>'calc-Weights'!I$2*'calc-Weights'!$B19*'calc-CovarMatrix'!I19</f>
        <v>0</v>
      </c>
      <c r="J19" s="26">
        <f>'calc-Weights'!J$2*'calc-Weights'!$B19*'calc-CovarMatrix'!J19</f>
        <v>0</v>
      </c>
      <c r="K19" s="26">
        <f>'calc-Weights'!K$2*'calc-Weights'!$B19*'calc-CovarMatrix'!K19</f>
        <v>0</v>
      </c>
      <c r="L19" s="26">
        <f>'calc-Weights'!L$2*'calc-Weights'!$B19*'calc-CovarMatrix'!L19</f>
        <v>0</v>
      </c>
      <c r="M19" s="26">
        <f>'calc-Weights'!M$2*'calc-Weights'!$B19*'calc-CovarMatrix'!M19</f>
        <v>0</v>
      </c>
      <c r="N19" s="26">
        <f>'calc-Weights'!N$2*'calc-Weights'!$B19*'calc-CovarMatrix'!N19</f>
        <v>0</v>
      </c>
      <c r="O19" s="26">
        <f>'calc-Weights'!O$2*'calc-Weights'!$B19*'calc-CovarMatrix'!O19</f>
        <v>0</v>
      </c>
      <c r="P19" s="26">
        <f>'calc-Weights'!P$2*'calc-Weights'!$B19*'calc-CovarMatrix'!P19</f>
        <v>0</v>
      </c>
      <c r="Q19" s="26">
        <f>'calc-Weights'!Q$2*'calc-Weights'!$B19*'calc-CovarMatrix'!Q19</f>
        <v>0</v>
      </c>
      <c r="R19" s="26">
        <f>'calc-Weights'!R$2*'calc-Weights'!$B19*'calc-CovarMatrix'!R19</f>
        <v>0</v>
      </c>
      <c r="S19" s="26">
        <f>'calc-Weights'!S$2*'calc-Weights'!$B19*'calc-CovarMatrix'!S19</f>
        <v>0</v>
      </c>
      <c r="T19" s="26">
        <f>'calc-Weights'!T$2*'calc-Weights'!$B19*'calc-CovarMatrix'!T19</f>
        <v>0</v>
      </c>
      <c r="U19" s="26">
        <f>'calc-Weights'!U$2*'calc-Weights'!$B19*'calc-CovarMatrix'!U19</f>
        <v>0</v>
      </c>
      <c r="V19" s="26">
        <f>'calc-Weights'!V$2*'calc-Weights'!$B19*'calc-CovarMatrix'!V19</f>
        <v>0</v>
      </c>
      <c r="W19" s="26">
        <f>'calc-Weights'!W$2*'calc-Weights'!$B19*'calc-CovarMatrix'!W19</f>
        <v>0</v>
      </c>
      <c r="X19" s="26">
        <f>'calc-Weights'!X$2*'calc-Weights'!$B19*'calc-CovarMatrix'!X19</f>
        <v>0</v>
      </c>
      <c r="Y19" s="26">
        <f>'calc-Weights'!Y$2*'calc-Weights'!$B19*'calc-CovarMatrix'!Y19</f>
        <v>0</v>
      </c>
      <c r="Z19" s="26">
        <f>'calc-Weights'!Z$2*'calc-Weights'!$B19*'calc-CovarMatrix'!Z19</f>
        <v>0</v>
      </c>
      <c r="AA19" s="26">
        <f>'calc-Weights'!AA$2*'calc-Weights'!$B19*'calc-CovarMatrix'!AA19</f>
        <v>0</v>
      </c>
      <c r="AB19" s="26">
        <f>'calc-Weights'!AB$2*'calc-Weights'!$B19*'calc-CovarMatrix'!AB19</f>
        <v>0</v>
      </c>
      <c r="AC19" s="26">
        <f>'calc-Weights'!AC$2*'calc-Weights'!$B19*'calc-CovarMatrix'!AC19</f>
        <v>0</v>
      </c>
      <c r="AD19" s="26">
        <f>'calc-Weights'!AD$2*'calc-Weights'!$B19*'calc-CovarMatrix'!AD19</f>
        <v>0</v>
      </c>
      <c r="AE19" s="26">
        <f>'calc-Weights'!AE$2*'calc-Weights'!$B19*'calc-CovarMatrix'!AE19</f>
        <v>0</v>
      </c>
      <c r="AF19" s="26">
        <f>'calc-Weights'!AF$2*'calc-Weights'!$B19*'calc-CovarMatrix'!AF19</f>
        <v>0</v>
      </c>
      <c r="AG19" s="26">
        <f>'calc-Weights'!AG$2*'calc-Weights'!$B19*'calc-CovarMatrix'!AG19</f>
        <v>0</v>
      </c>
      <c r="AH19" s="26">
        <f>'calc-Weights'!AH$2*'calc-Weights'!$B19*'calc-CovarMatrix'!AH19</f>
        <v>0</v>
      </c>
      <c r="AI19" s="26">
        <f>'calc-Weights'!AI$2*'calc-Weights'!$B19*'calc-CovarMatrix'!AI19</f>
        <v>0</v>
      </c>
      <c r="AJ19" s="26">
        <f>'calc-Weights'!AJ$2*'calc-Weights'!$B19*'calc-CovarMatrix'!AJ19</f>
        <v>0</v>
      </c>
      <c r="AK19" s="26">
        <f>'calc-Weights'!AK$2*'calc-Weights'!$B19*'calc-CovarMatrix'!AK19</f>
        <v>0</v>
      </c>
      <c r="AL19" s="26">
        <f>'calc-Weights'!AL$2*'calc-Weights'!$B19*'calc-CovarMatrix'!AL19</f>
        <v>0</v>
      </c>
      <c r="AM19" s="26">
        <f>'calc-Weights'!AM$2*'calc-Weights'!$B19*'calc-CovarMatrix'!AM19</f>
        <v>0</v>
      </c>
      <c r="AN19" s="26">
        <f>'calc-Weights'!AN$2*'calc-Weights'!$B19*'calc-CovarMatrix'!AN19</f>
        <v>0</v>
      </c>
      <c r="AO19" s="26">
        <f>'calc-Weights'!AO$2*'calc-Weights'!$B19*'calc-CovarMatrix'!AO19</f>
        <v>0</v>
      </c>
      <c r="AP19" s="26">
        <f>'calc-Weights'!AP$2*'calc-Weights'!$B19*'calc-CovarMatrix'!AP19</f>
        <v>0</v>
      </c>
      <c r="AQ19" s="26">
        <f>'calc-Weights'!AQ$2*'calc-Weights'!$B19*'calc-CovarMatrix'!AQ19</f>
        <v>0</v>
      </c>
      <c r="AR19" s="26">
        <f>'calc-Weights'!AR$2*'calc-Weights'!$B19*'calc-CovarMatrix'!AR19</f>
        <v>0</v>
      </c>
      <c r="AS19" s="26">
        <f>'calc-Weights'!AS$2*'calc-Weights'!$B19*'calc-CovarMatrix'!AS19</f>
        <v>0</v>
      </c>
      <c r="AT19" s="26">
        <f>'calc-Weights'!AT$2*'calc-Weights'!$B19*'calc-CovarMatrix'!AT19</f>
        <v>0</v>
      </c>
      <c r="AU19" s="26">
        <f>'calc-Weights'!AU$2*'calc-Weights'!$B19*'calc-CovarMatrix'!AU19</f>
        <v>0</v>
      </c>
      <c r="AV19" s="26">
        <f>'calc-Weights'!AV$2*'calc-Weights'!$B19*'calc-CovarMatrix'!AV19</f>
        <v>0</v>
      </c>
    </row>
    <row r="20" spans="1:48" x14ac:dyDescent="0.2">
      <c r="A20" s="26" t="s">
        <v>93</v>
      </c>
      <c r="B20" s="26">
        <f>'calc-Weights'!B$2*'calc-Weights'!$B20*'calc-CovarMatrix'!B20</f>
        <v>0</v>
      </c>
      <c r="C20" s="26">
        <f>'calc-Weights'!C$2*'calc-Weights'!$B20*'calc-CovarMatrix'!C20</f>
        <v>0</v>
      </c>
      <c r="D20" s="26">
        <f>'calc-Weights'!D$2*'calc-Weights'!$B20*'calc-CovarMatrix'!D20</f>
        <v>0</v>
      </c>
      <c r="E20" s="26">
        <f>'calc-Weights'!E$2*'calc-Weights'!$B20*'calc-CovarMatrix'!E20</f>
        <v>0</v>
      </c>
      <c r="F20" s="26">
        <f>'calc-Weights'!F$2*'calc-Weights'!$B20*'calc-CovarMatrix'!F20</f>
        <v>0</v>
      </c>
      <c r="G20" s="26">
        <f>'calc-Weights'!G$2*'calc-Weights'!$B20*'calc-CovarMatrix'!G20</f>
        <v>0</v>
      </c>
      <c r="H20" s="26">
        <f>'calc-Weights'!H$2*'calc-Weights'!$B20*'calc-CovarMatrix'!H20</f>
        <v>0</v>
      </c>
      <c r="I20" s="26">
        <f>'calc-Weights'!I$2*'calc-Weights'!$B20*'calc-CovarMatrix'!I20</f>
        <v>0</v>
      </c>
      <c r="J20" s="26">
        <f>'calc-Weights'!J$2*'calc-Weights'!$B20*'calc-CovarMatrix'!J20</f>
        <v>0</v>
      </c>
      <c r="K20" s="26">
        <f>'calc-Weights'!K$2*'calc-Weights'!$B20*'calc-CovarMatrix'!K20</f>
        <v>0</v>
      </c>
      <c r="L20" s="26">
        <f>'calc-Weights'!L$2*'calc-Weights'!$B20*'calc-CovarMatrix'!L20</f>
        <v>0</v>
      </c>
      <c r="M20" s="26">
        <f>'calc-Weights'!M$2*'calc-Weights'!$B20*'calc-CovarMatrix'!M20</f>
        <v>0</v>
      </c>
      <c r="N20" s="26">
        <f>'calc-Weights'!N$2*'calc-Weights'!$B20*'calc-CovarMatrix'!N20</f>
        <v>0</v>
      </c>
      <c r="O20" s="26">
        <f>'calc-Weights'!O$2*'calc-Weights'!$B20*'calc-CovarMatrix'!O20</f>
        <v>0</v>
      </c>
      <c r="P20" s="26">
        <f>'calc-Weights'!P$2*'calc-Weights'!$B20*'calc-CovarMatrix'!P20</f>
        <v>0</v>
      </c>
      <c r="Q20" s="26">
        <f>'calc-Weights'!Q$2*'calc-Weights'!$B20*'calc-CovarMatrix'!Q20</f>
        <v>0</v>
      </c>
      <c r="R20" s="26">
        <f>'calc-Weights'!R$2*'calc-Weights'!$B20*'calc-CovarMatrix'!R20</f>
        <v>0</v>
      </c>
      <c r="S20" s="26">
        <f>'calc-Weights'!S$2*'calc-Weights'!$B20*'calc-CovarMatrix'!S20</f>
        <v>0</v>
      </c>
      <c r="T20" s="26">
        <f>'calc-Weights'!T$2*'calc-Weights'!$B20*'calc-CovarMatrix'!T20</f>
        <v>0</v>
      </c>
      <c r="U20" s="26">
        <f>'calc-Weights'!U$2*'calc-Weights'!$B20*'calc-CovarMatrix'!U20</f>
        <v>0</v>
      </c>
      <c r="V20" s="26">
        <f>'calc-Weights'!V$2*'calc-Weights'!$B20*'calc-CovarMatrix'!V20</f>
        <v>0</v>
      </c>
      <c r="W20" s="26">
        <f>'calc-Weights'!W$2*'calc-Weights'!$B20*'calc-CovarMatrix'!W20</f>
        <v>0</v>
      </c>
      <c r="X20" s="26">
        <f>'calc-Weights'!X$2*'calc-Weights'!$B20*'calc-CovarMatrix'!X20</f>
        <v>0</v>
      </c>
      <c r="Y20" s="26">
        <f>'calc-Weights'!Y$2*'calc-Weights'!$B20*'calc-CovarMatrix'!Y20</f>
        <v>0</v>
      </c>
      <c r="Z20" s="26">
        <f>'calc-Weights'!Z$2*'calc-Weights'!$B20*'calc-CovarMatrix'!Z20</f>
        <v>0</v>
      </c>
      <c r="AA20" s="26">
        <f>'calc-Weights'!AA$2*'calc-Weights'!$B20*'calc-CovarMatrix'!AA20</f>
        <v>0</v>
      </c>
      <c r="AB20" s="26">
        <f>'calc-Weights'!AB$2*'calc-Weights'!$B20*'calc-CovarMatrix'!AB20</f>
        <v>0</v>
      </c>
      <c r="AC20" s="26">
        <f>'calc-Weights'!AC$2*'calc-Weights'!$B20*'calc-CovarMatrix'!AC20</f>
        <v>0</v>
      </c>
      <c r="AD20" s="26">
        <f>'calc-Weights'!AD$2*'calc-Weights'!$B20*'calc-CovarMatrix'!AD20</f>
        <v>0</v>
      </c>
      <c r="AE20" s="26">
        <f>'calc-Weights'!AE$2*'calc-Weights'!$B20*'calc-CovarMatrix'!AE20</f>
        <v>0</v>
      </c>
      <c r="AF20" s="26">
        <f>'calc-Weights'!AF$2*'calc-Weights'!$B20*'calc-CovarMatrix'!AF20</f>
        <v>0</v>
      </c>
      <c r="AG20" s="26">
        <f>'calc-Weights'!AG$2*'calc-Weights'!$B20*'calc-CovarMatrix'!AG20</f>
        <v>0</v>
      </c>
      <c r="AH20" s="26">
        <f>'calc-Weights'!AH$2*'calc-Weights'!$B20*'calc-CovarMatrix'!AH20</f>
        <v>0</v>
      </c>
      <c r="AI20" s="26">
        <f>'calc-Weights'!AI$2*'calc-Weights'!$B20*'calc-CovarMatrix'!AI20</f>
        <v>0</v>
      </c>
      <c r="AJ20" s="26">
        <f>'calc-Weights'!AJ$2*'calc-Weights'!$B20*'calc-CovarMatrix'!AJ20</f>
        <v>0</v>
      </c>
      <c r="AK20" s="26">
        <f>'calc-Weights'!AK$2*'calc-Weights'!$B20*'calc-CovarMatrix'!AK20</f>
        <v>0</v>
      </c>
      <c r="AL20" s="26">
        <f>'calc-Weights'!AL$2*'calc-Weights'!$B20*'calc-CovarMatrix'!AL20</f>
        <v>0</v>
      </c>
      <c r="AM20" s="26">
        <f>'calc-Weights'!AM$2*'calc-Weights'!$B20*'calc-CovarMatrix'!AM20</f>
        <v>0</v>
      </c>
      <c r="AN20" s="26">
        <f>'calc-Weights'!AN$2*'calc-Weights'!$B20*'calc-CovarMatrix'!AN20</f>
        <v>0</v>
      </c>
      <c r="AO20" s="26">
        <f>'calc-Weights'!AO$2*'calc-Weights'!$B20*'calc-CovarMatrix'!AO20</f>
        <v>0</v>
      </c>
      <c r="AP20" s="26">
        <f>'calc-Weights'!AP$2*'calc-Weights'!$B20*'calc-CovarMatrix'!AP20</f>
        <v>0</v>
      </c>
      <c r="AQ20" s="26">
        <f>'calc-Weights'!AQ$2*'calc-Weights'!$B20*'calc-CovarMatrix'!AQ20</f>
        <v>0</v>
      </c>
      <c r="AR20" s="26">
        <f>'calc-Weights'!AR$2*'calc-Weights'!$B20*'calc-CovarMatrix'!AR20</f>
        <v>0</v>
      </c>
      <c r="AS20" s="26">
        <f>'calc-Weights'!AS$2*'calc-Weights'!$B20*'calc-CovarMatrix'!AS20</f>
        <v>0</v>
      </c>
      <c r="AT20" s="26">
        <f>'calc-Weights'!AT$2*'calc-Weights'!$B20*'calc-CovarMatrix'!AT20</f>
        <v>0</v>
      </c>
      <c r="AU20" s="26">
        <f>'calc-Weights'!AU$2*'calc-Weights'!$B20*'calc-CovarMatrix'!AU20</f>
        <v>0</v>
      </c>
      <c r="AV20" s="26">
        <f>'calc-Weights'!AV$2*'calc-Weights'!$B20*'calc-CovarMatrix'!AV20</f>
        <v>0</v>
      </c>
    </row>
    <row r="21" spans="1:48" x14ac:dyDescent="0.2">
      <c r="A21" s="26" t="s">
        <v>94</v>
      </c>
      <c r="B21" s="26">
        <f>'calc-Weights'!B$2*'calc-Weights'!$B21*'calc-CovarMatrix'!B21</f>
        <v>0</v>
      </c>
      <c r="C21" s="26">
        <f>'calc-Weights'!C$2*'calc-Weights'!$B21*'calc-CovarMatrix'!C21</f>
        <v>0</v>
      </c>
      <c r="D21" s="26">
        <f>'calc-Weights'!D$2*'calc-Weights'!$B21*'calc-CovarMatrix'!D21</f>
        <v>-6.3632816161342021E-8</v>
      </c>
      <c r="E21" s="26">
        <f>'calc-Weights'!E$2*'calc-Weights'!$B21*'calc-CovarMatrix'!E21</f>
        <v>0</v>
      </c>
      <c r="F21" s="26">
        <f>'calc-Weights'!F$2*'calc-Weights'!$B21*'calc-CovarMatrix'!F21</f>
        <v>0</v>
      </c>
      <c r="G21" s="26">
        <f>'calc-Weights'!G$2*'calc-Weights'!$B21*'calc-CovarMatrix'!G21</f>
        <v>0</v>
      </c>
      <c r="H21" s="26">
        <f>'calc-Weights'!H$2*'calc-Weights'!$B21*'calc-CovarMatrix'!H21</f>
        <v>0</v>
      </c>
      <c r="I21" s="26">
        <f>'calc-Weights'!I$2*'calc-Weights'!$B21*'calc-CovarMatrix'!I21</f>
        <v>-2.4218393610666246E-7</v>
      </c>
      <c r="J21" s="26">
        <f>'calc-Weights'!J$2*'calc-Weights'!$B21*'calc-CovarMatrix'!J21</f>
        <v>2.7300384224966323E-9</v>
      </c>
      <c r="K21" s="26">
        <f>'calc-Weights'!K$2*'calc-Weights'!$B21*'calc-CovarMatrix'!K21</f>
        <v>0</v>
      </c>
      <c r="L21" s="26">
        <f>'calc-Weights'!L$2*'calc-Weights'!$B21*'calc-CovarMatrix'!L21</f>
        <v>0</v>
      </c>
      <c r="M21" s="26">
        <f>'calc-Weights'!M$2*'calc-Weights'!$B21*'calc-CovarMatrix'!M21</f>
        <v>7.8842855479219905E-8</v>
      </c>
      <c r="N21" s="26">
        <f>'calc-Weights'!N$2*'calc-Weights'!$B21*'calc-CovarMatrix'!N21</f>
        <v>0</v>
      </c>
      <c r="O21" s="26">
        <f>'calc-Weights'!O$2*'calc-Weights'!$B21*'calc-CovarMatrix'!O21</f>
        <v>0</v>
      </c>
      <c r="P21" s="26">
        <f>'calc-Weights'!P$2*'calc-Weights'!$B21*'calc-CovarMatrix'!P21</f>
        <v>0</v>
      </c>
      <c r="Q21" s="26">
        <f>'calc-Weights'!Q$2*'calc-Weights'!$B21*'calc-CovarMatrix'!Q21</f>
        <v>0</v>
      </c>
      <c r="R21" s="26">
        <f>'calc-Weights'!R$2*'calc-Weights'!$B21*'calc-CovarMatrix'!R21</f>
        <v>0</v>
      </c>
      <c r="S21" s="26">
        <f>'calc-Weights'!S$2*'calc-Weights'!$B21*'calc-CovarMatrix'!S21</f>
        <v>0</v>
      </c>
      <c r="T21" s="26">
        <f>'calc-Weights'!T$2*'calc-Weights'!$B21*'calc-CovarMatrix'!T21</f>
        <v>0</v>
      </c>
      <c r="U21" s="26">
        <f>'calc-Weights'!U$2*'calc-Weights'!$B21*'calc-CovarMatrix'!U21</f>
        <v>2.7800952950546153E-5</v>
      </c>
      <c r="V21" s="26">
        <f>'calc-Weights'!V$2*'calc-Weights'!$B21*'calc-CovarMatrix'!V21</f>
        <v>0</v>
      </c>
      <c r="W21" s="26">
        <f>'calc-Weights'!W$2*'calc-Weights'!$B21*'calc-CovarMatrix'!W21</f>
        <v>0</v>
      </c>
      <c r="X21" s="26">
        <f>'calc-Weights'!X$2*'calc-Weights'!$B21*'calc-CovarMatrix'!X21</f>
        <v>0</v>
      </c>
      <c r="Y21" s="26">
        <f>'calc-Weights'!Y$2*'calc-Weights'!$B21*'calc-CovarMatrix'!Y21</f>
        <v>0</v>
      </c>
      <c r="Z21" s="26">
        <f>'calc-Weights'!Z$2*'calc-Weights'!$B21*'calc-CovarMatrix'!Z21</f>
        <v>0</v>
      </c>
      <c r="AA21" s="26">
        <f>'calc-Weights'!AA$2*'calc-Weights'!$B21*'calc-CovarMatrix'!AA21</f>
        <v>0</v>
      </c>
      <c r="AB21" s="26">
        <f>'calc-Weights'!AB$2*'calc-Weights'!$B21*'calc-CovarMatrix'!AB21</f>
        <v>0</v>
      </c>
      <c r="AC21" s="26">
        <f>'calc-Weights'!AC$2*'calc-Weights'!$B21*'calc-CovarMatrix'!AC21</f>
        <v>0</v>
      </c>
      <c r="AD21" s="26">
        <f>'calc-Weights'!AD$2*'calc-Weights'!$B21*'calc-CovarMatrix'!AD21</f>
        <v>0</v>
      </c>
      <c r="AE21" s="26">
        <f>'calc-Weights'!AE$2*'calc-Weights'!$B21*'calc-CovarMatrix'!AE21</f>
        <v>0</v>
      </c>
      <c r="AF21" s="26">
        <f>'calc-Weights'!AF$2*'calc-Weights'!$B21*'calc-CovarMatrix'!AF21</f>
        <v>0</v>
      </c>
      <c r="AG21" s="26">
        <f>'calc-Weights'!AG$2*'calc-Weights'!$B21*'calc-CovarMatrix'!AG21</f>
        <v>4.9118427192004927E-7</v>
      </c>
      <c r="AH21" s="26">
        <f>'calc-Weights'!AH$2*'calc-Weights'!$B21*'calc-CovarMatrix'!AH21</f>
        <v>7.2896855186475339E-7</v>
      </c>
      <c r="AI21" s="26">
        <f>'calc-Weights'!AI$2*'calc-Weights'!$B21*'calc-CovarMatrix'!AI21</f>
        <v>0</v>
      </c>
      <c r="AJ21" s="26">
        <f>'calc-Weights'!AJ$2*'calc-Weights'!$B21*'calc-CovarMatrix'!AJ21</f>
        <v>5.5943364340450746E-6</v>
      </c>
      <c r="AK21" s="26">
        <f>'calc-Weights'!AK$2*'calc-Weights'!$B21*'calc-CovarMatrix'!AK21</f>
        <v>0</v>
      </c>
      <c r="AL21" s="26">
        <f>'calc-Weights'!AL$2*'calc-Weights'!$B21*'calc-CovarMatrix'!AL21</f>
        <v>0</v>
      </c>
      <c r="AM21" s="26">
        <f>'calc-Weights'!AM$2*'calc-Weights'!$B21*'calc-CovarMatrix'!AM21</f>
        <v>0</v>
      </c>
      <c r="AN21" s="26">
        <f>'calc-Weights'!AN$2*'calc-Weights'!$B21*'calc-CovarMatrix'!AN21</f>
        <v>0</v>
      </c>
      <c r="AO21" s="26">
        <f>'calc-Weights'!AO$2*'calc-Weights'!$B21*'calc-CovarMatrix'!AO21</f>
        <v>0</v>
      </c>
      <c r="AP21" s="26">
        <f>'calc-Weights'!AP$2*'calc-Weights'!$B21*'calc-CovarMatrix'!AP21</f>
        <v>1.740957332069651E-6</v>
      </c>
      <c r="AQ21" s="26">
        <f>'calc-Weights'!AQ$2*'calc-Weights'!$B21*'calc-CovarMatrix'!AQ21</f>
        <v>0</v>
      </c>
      <c r="AR21" s="26">
        <f>'calc-Weights'!AR$2*'calc-Weights'!$B21*'calc-CovarMatrix'!AR21</f>
        <v>0</v>
      </c>
      <c r="AS21" s="26">
        <f>'calc-Weights'!AS$2*'calc-Weights'!$B21*'calc-CovarMatrix'!AS21</f>
        <v>0</v>
      </c>
      <c r="AT21" s="26">
        <f>'calc-Weights'!AT$2*'calc-Weights'!$B21*'calc-CovarMatrix'!AT21</f>
        <v>0</v>
      </c>
      <c r="AU21" s="26">
        <f>'calc-Weights'!AU$2*'calc-Weights'!$B21*'calc-CovarMatrix'!AU21</f>
        <v>0</v>
      </c>
      <c r="AV21" s="26">
        <f>'calc-Weights'!AV$2*'calc-Weights'!$B21*'calc-CovarMatrix'!AV21</f>
        <v>4.267368405625198E-6</v>
      </c>
    </row>
    <row r="22" spans="1:48" x14ac:dyDescent="0.2">
      <c r="A22" s="26" t="s">
        <v>95</v>
      </c>
      <c r="B22" s="26">
        <f>'calc-Weights'!B$2*'calc-Weights'!$B22*'calc-CovarMatrix'!B22</f>
        <v>0</v>
      </c>
      <c r="C22" s="26">
        <f>'calc-Weights'!C$2*'calc-Weights'!$B22*'calc-CovarMatrix'!C22</f>
        <v>0</v>
      </c>
      <c r="D22" s="26">
        <f>'calc-Weights'!D$2*'calc-Weights'!$B22*'calc-CovarMatrix'!D22</f>
        <v>0</v>
      </c>
      <c r="E22" s="26">
        <f>'calc-Weights'!E$2*'calc-Weights'!$B22*'calc-CovarMatrix'!E22</f>
        <v>0</v>
      </c>
      <c r="F22" s="26">
        <f>'calc-Weights'!F$2*'calc-Weights'!$B22*'calc-CovarMatrix'!F22</f>
        <v>0</v>
      </c>
      <c r="G22" s="26">
        <f>'calc-Weights'!G$2*'calc-Weights'!$B22*'calc-CovarMatrix'!G22</f>
        <v>0</v>
      </c>
      <c r="H22" s="26">
        <f>'calc-Weights'!H$2*'calc-Weights'!$B22*'calc-CovarMatrix'!H22</f>
        <v>0</v>
      </c>
      <c r="I22" s="26">
        <f>'calc-Weights'!I$2*'calc-Weights'!$B22*'calc-CovarMatrix'!I22</f>
        <v>0</v>
      </c>
      <c r="J22" s="26">
        <f>'calc-Weights'!J$2*'calc-Weights'!$B22*'calc-CovarMatrix'!J22</f>
        <v>0</v>
      </c>
      <c r="K22" s="26">
        <f>'calc-Weights'!K$2*'calc-Weights'!$B22*'calc-CovarMatrix'!K22</f>
        <v>0</v>
      </c>
      <c r="L22" s="26">
        <f>'calc-Weights'!L$2*'calc-Weights'!$B22*'calc-CovarMatrix'!L22</f>
        <v>0</v>
      </c>
      <c r="M22" s="26">
        <f>'calc-Weights'!M$2*'calc-Weights'!$B22*'calc-CovarMatrix'!M22</f>
        <v>0</v>
      </c>
      <c r="N22" s="26">
        <f>'calc-Weights'!N$2*'calc-Weights'!$B22*'calc-CovarMatrix'!N22</f>
        <v>0</v>
      </c>
      <c r="O22" s="26">
        <f>'calc-Weights'!O$2*'calc-Weights'!$B22*'calc-CovarMatrix'!O22</f>
        <v>0</v>
      </c>
      <c r="P22" s="26">
        <f>'calc-Weights'!P$2*'calc-Weights'!$B22*'calc-CovarMatrix'!P22</f>
        <v>0</v>
      </c>
      <c r="Q22" s="26">
        <f>'calc-Weights'!Q$2*'calc-Weights'!$B22*'calc-CovarMatrix'!Q22</f>
        <v>0</v>
      </c>
      <c r="R22" s="26">
        <f>'calc-Weights'!R$2*'calc-Weights'!$B22*'calc-CovarMatrix'!R22</f>
        <v>0</v>
      </c>
      <c r="S22" s="26">
        <f>'calc-Weights'!S$2*'calc-Weights'!$B22*'calc-CovarMatrix'!S22</f>
        <v>0</v>
      </c>
      <c r="T22" s="26">
        <f>'calc-Weights'!T$2*'calc-Weights'!$B22*'calc-CovarMatrix'!T22</f>
        <v>0</v>
      </c>
      <c r="U22" s="26">
        <f>'calc-Weights'!U$2*'calc-Weights'!$B22*'calc-CovarMatrix'!U22</f>
        <v>0</v>
      </c>
      <c r="V22" s="26">
        <f>'calc-Weights'!V$2*'calc-Weights'!$B22*'calc-CovarMatrix'!V22</f>
        <v>0</v>
      </c>
      <c r="W22" s="26">
        <f>'calc-Weights'!W$2*'calc-Weights'!$B22*'calc-CovarMatrix'!W22</f>
        <v>0</v>
      </c>
      <c r="X22" s="26">
        <f>'calc-Weights'!X$2*'calc-Weights'!$B22*'calc-CovarMatrix'!X22</f>
        <v>0</v>
      </c>
      <c r="Y22" s="26">
        <f>'calc-Weights'!Y$2*'calc-Weights'!$B22*'calc-CovarMatrix'!Y22</f>
        <v>0</v>
      </c>
      <c r="Z22" s="26">
        <f>'calc-Weights'!Z$2*'calc-Weights'!$B22*'calc-CovarMatrix'!Z22</f>
        <v>0</v>
      </c>
      <c r="AA22" s="26">
        <f>'calc-Weights'!AA$2*'calc-Weights'!$B22*'calc-CovarMatrix'!AA22</f>
        <v>0</v>
      </c>
      <c r="AB22" s="26">
        <f>'calc-Weights'!AB$2*'calc-Weights'!$B22*'calc-CovarMatrix'!AB22</f>
        <v>0</v>
      </c>
      <c r="AC22" s="26">
        <f>'calc-Weights'!AC$2*'calc-Weights'!$B22*'calc-CovarMatrix'!AC22</f>
        <v>0</v>
      </c>
      <c r="AD22" s="26">
        <f>'calc-Weights'!AD$2*'calc-Weights'!$B22*'calc-CovarMatrix'!AD22</f>
        <v>0</v>
      </c>
      <c r="AE22" s="26">
        <f>'calc-Weights'!AE$2*'calc-Weights'!$B22*'calc-CovarMatrix'!AE22</f>
        <v>0</v>
      </c>
      <c r="AF22" s="26">
        <f>'calc-Weights'!AF$2*'calc-Weights'!$B22*'calc-CovarMatrix'!AF22</f>
        <v>0</v>
      </c>
      <c r="AG22" s="26">
        <f>'calc-Weights'!AG$2*'calc-Weights'!$B22*'calc-CovarMatrix'!AG22</f>
        <v>0</v>
      </c>
      <c r="AH22" s="26">
        <f>'calc-Weights'!AH$2*'calc-Weights'!$B22*'calc-CovarMatrix'!AH22</f>
        <v>0</v>
      </c>
      <c r="AI22" s="26">
        <f>'calc-Weights'!AI$2*'calc-Weights'!$B22*'calc-CovarMatrix'!AI22</f>
        <v>0</v>
      </c>
      <c r="AJ22" s="26">
        <f>'calc-Weights'!AJ$2*'calc-Weights'!$B22*'calc-CovarMatrix'!AJ22</f>
        <v>0</v>
      </c>
      <c r="AK22" s="26">
        <f>'calc-Weights'!AK$2*'calc-Weights'!$B22*'calc-CovarMatrix'!AK22</f>
        <v>0</v>
      </c>
      <c r="AL22" s="26">
        <f>'calc-Weights'!AL$2*'calc-Weights'!$B22*'calc-CovarMatrix'!AL22</f>
        <v>0</v>
      </c>
      <c r="AM22" s="26">
        <f>'calc-Weights'!AM$2*'calc-Weights'!$B22*'calc-CovarMatrix'!AM22</f>
        <v>0</v>
      </c>
      <c r="AN22" s="26">
        <f>'calc-Weights'!AN$2*'calc-Weights'!$B22*'calc-CovarMatrix'!AN22</f>
        <v>0</v>
      </c>
      <c r="AO22" s="26">
        <f>'calc-Weights'!AO$2*'calc-Weights'!$B22*'calc-CovarMatrix'!AO22</f>
        <v>0</v>
      </c>
      <c r="AP22" s="26">
        <f>'calc-Weights'!AP$2*'calc-Weights'!$B22*'calc-CovarMatrix'!AP22</f>
        <v>0</v>
      </c>
      <c r="AQ22" s="26">
        <f>'calc-Weights'!AQ$2*'calc-Weights'!$B22*'calc-CovarMatrix'!AQ22</f>
        <v>0</v>
      </c>
      <c r="AR22" s="26">
        <f>'calc-Weights'!AR$2*'calc-Weights'!$B22*'calc-CovarMatrix'!AR22</f>
        <v>0</v>
      </c>
      <c r="AS22" s="26">
        <f>'calc-Weights'!AS$2*'calc-Weights'!$B22*'calc-CovarMatrix'!AS22</f>
        <v>0</v>
      </c>
      <c r="AT22" s="26">
        <f>'calc-Weights'!AT$2*'calc-Weights'!$B22*'calc-CovarMatrix'!AT22</f>
        <v>0</v>
      </c>
      <c r="AU22" s="26">
        <f>'calc-Weights'!AU$2*'calc-Weights'!$B22*'calc-CovarMatrix'!AU22</f>
        <v>0</v>
      </c>
      <c r="AV22" s="26">
        <f>'calc-Weights'!AV$2*'calc-Weights'!$B22*'calc-CovarMatrix'!AV22</f>
        <v>0</v>
      </c>
    </row>
    <row r="23" spans="1:48" x14ac:dyDescent="0.2">
      <c r="A23" s="26" t="s">
        <v>96</v>
      </c>
      <c r="B23" s="26">
        <f>'calc-Weights'!B$2*'calc-Weights'!$B23*'calc-CovarMatrix'!B23</f>
        <v>0</v>
      </c>
      <c r="C23" s="26">
        <f>'calc-Weights'!C$2*'calc-Weights'!$B23*'calc-CovarMatrix'!C23</f>
        <v>0</v>
      </c>
      <c r="D23" s="26">
        <f>'calc-Weights'!D$2*'calc-Weights'!$B23*'calc-CovarMatrix'!D23</f>
        <v>0</v>
      </c>
      <c r="E23" s="26">
        <f>'calc-Weights'!E$2*'calc-Weights'!$B23*'calc-CovarMatrix'!E23</f>
        <v>0</v>
      </c>
      <c r="F23" s="26">
        <f>'calc-Weights'!F$2*'calc-Weights'!$B23*'calc-CovarMatrix'!F23</f>
        <v>0</v>
      </c>
      <c r="G23" s="26">
        <f>'calc-Weights'!G$2*'calc-Weights'!$B23*'calc-CovarMatrix'!G23</f>
        <v>0</v>
      </c>
      <c r="H23" s="26">
        <f>'calc-Weights'!H$2*'calc-Weights'!$B23*'calc-CovarMatrix'!H23</f>
        <v>0</v>
      </c>
      <c r="I23" s="26">
        <f>'calc-Weights'!I$2*'calc-Weights'!$B23*'calc-CovarMatrix'!I23</f>
        <v>0</v>
      </c>
      <c r="J23" s="26">
        <f>'calc-Weights'!J$2*'calc-Weights'!$B23*'calc-CovarMatrix'!J23</f>
        <v>0</v>
      </c>
      <c r="K23" s="26">
        <f>'calc-Weights'!K$2*'calc-Weights'!$B23*'calc-CovarMatrix'!K23</f>
        <v>0</v>
      </c>
      <c r="L23" s="26">
        <f>'calc-Weights'!L$2*'calc-Weights'!$B23*'calc-CovarMatrix'!L23</f>
        <v>0</v>
      </c>
      <c r="M23" s="26">
        <f>'calc-Weights'!M$2*'calc-Weights'!$B23*'calc-CovarMatrix'!M23</f>
        <v>0</v>
      </c>
      <c r="N23" s="26">
        <f>'calc-Weights'!N$2*'calc-Weights'!$B23*'calc-CovarMatrix'!N23</f>
        <v>0</v>
      </c>
      <c r="O23" s="26">
        <f>'calc-Weights'!O$2*'calc-Weights'!$B23*'calc-CovarMatrix'!O23</f>
        <v>0</v>
      </c>
      <c r="P23" s="26">
        <f>'calc-Weights'!P$2*'calc-Weights'!$B23*'calc-CovarMatrix'!P23</f>
        <v>0</v>
      </c>
      <c r="Q23" s="26">
        <f>'calc-Weights'!Q$2*'calc-Weights'!$B23*'calc-CovarMatrix'!Q23</f>
        <v>0</v>
      </c>
      <c r="R23" s="26">
        <f>'calc-Weights'!R$2*'calc-Weights'!$B23*'calc-CovarMatrix'!R23</f>
        <v>0</v>
      </c>
      <c r="S23" s="26">
        <f>'calc-Weights'!S$2*'calc-Weights'!$B23*'calc-CovarMatrix'!S23</f>
        <v>0</v>
      </c>
      <c r="T23" s="26">
        <f>'calc-Weights'!T$2*'calc-Weights'!$B23*'calc-CovarMatrix'!T23</f>
        <v>0</v>
      </c>
      <c r="U23" s="26">
        <f>'calc-Weights'!U$2*'calc-Weights'!$B23*'calc-CovarMatrix'!U23</f>
        <v>0</v>
      </c>
      <c r="V23" s="26">
        <f>'calc-Weights'!V$2*'calc-Weights'!$B23*'calc-CovarMatrix'!V23</f>
        <v>0</v>
      </c>
      <c r="W23" s="26">
        <f>'calc-Weights'!W$2*'calc-Weights'!$B23*'calc-CovarMatrix'!W23</f>
        <v>0</v>
      </c>
      <c r="X23" s="26">
        <f>'calc-Weights'!X$2*'calc-Weights'!$B23*'calc-CovarMatrix'!X23</f>
        <v>0</v>
      </c>
      <c r="Y23" s="26">
        <f>'calc-Weights'!Y$2*'calc-Weights'!$B23*'calc-CovarMatrix'!Y23</f>
        <v>0</v>
      </c>
      <c r="Z23" s="26">
        <f>'calc-Weights'!Z$2*'calc-Weights'!$B23*'calc-CovarMatrix'!Z23</f>
        <v>0</v>
      </c>
      <c r="AA23" s="26">
        <f>'calc-Weights'!AA$2*'calc-Weights'!$B23*'calc-CovarMatrix'!AA23</f>
        <v>0</v>
      </c>
      <c r="AB23" s="26">
        <f>'calc-Weights'!AB$2*'calc-Weights'!$B23*'calc-CovarMatrix'!AB23</f>
        <v>0</v>
      </c>
      <c r="AC23" s="26">
        <f>'calc-Weights'!AC$2*'calc-Weights'!$B23*'calc-CovarMatrix'!AC23</f>
        <v>0</v>
      </c>
      <c r="AD23" s="26">
        <f>'calc-Weights'!AD$2*'calc-Weights'!$B23*'calc-CovarMatrix'!AD23</f>
        <v>0</v>
      </c>
      <c r="AE23" s="26">
        <f>'calc-Weights'!AE$2*'calc-Weights'!$B23*'calc-CovarMatrix'!AE23</f>
        <v>0</v>
      </c>
      <c r="AF23" s="26">
        <f>'calc-Weights'!AF$2*'calc-Weights'!$B23*'calc-CovarMatrix'!AF23</f>
        <v>0</v>
      </c>
      <c r="AG23" s="26">
        <f>'calc-Weights'!AG$2*'calc-Weights'!$B23*'calc-CovarMatrix'!AG23</f>
        <v>0</v>
      </c>
      <c r="AH23" s="26">
        <f>'calc-Weights'!AH$2*'calc-Weights'!$B23*'calc-CovarMatrix'!AH23</f>
        <v>0</v>
      </c>
      <c r="AI23" s="26">
        <f>'calc-Weights'!AI$2*'calc-Weights'!$B23*'calc-CovarMatrix'!AI23</f>
        <v>0</v>
      </c>
      <c r="AJ23" s="26">
        <f>'calc-Weights'!AJ$2*'calc-Weights'!$B23*'calc-CovarMatrix'!AJ23</f>
        <v>0</v>
      </c>
      <c r="AK23" s="26">
        <f>'calc-Weights'!AK$2*'calc-Weights'!$B23*'calc-CovarMatrix'!AK23</f>
        <v>0</v>
      </c>
      <c r="AL23" s="26">
        <f>'calc-Weights'!AL$2*'calc-Weights'!$B23*'calc-CovarMatrix'!AL23</f>
        <v>0</v>
      </c>
      <c r="AM23" s="26">
        <f>'calc-Weights'!AM$2*'calc-Weights'!$B23*'calc-CovarMatrix'!AM23</f>
        <v>0</v>
      </c>
      <c r="AN23" s="26">
        <f>'calc-Weights'!AN$2*'calc-Weights'!$B23*'calc-CovarMatrix'!AN23</f>
        <v>0</v>
      </c>
      <c r="AO23" s="26">
        <f>'calc-Weights'!AO$2*'calc-Weights'!$B23*'calc-CovarMatrix'!AO23</f>
        <v>0</v>
      </c>
      <c r="AP23" s="26">
        <f>'calc-Weights'!AP$2*'calc-Weights'!$B23*'calc-CovarMatrix'!AP23</f>
        <v>0</v>
      </c>
      <c r="AQ23" s="26">
        <f>'calc-Weights'!AQ$2*'calc-Weights'!$B23*'calc-CovarMatrix'!AQ23</f>
        <v>0</v>
      </c>
      <c r="AR23" s="26">
        <f>'calc-Weights'!AR$2*'calc-Weights'!$B23*'calc-CovarMatrix'!AR23</f>
        <v>0</v>
      </c>
      <c r="AS23" s="26">
        <f>'calc-Weights'!AS$2*'calc-Weights'!$B23*'calc-CovarMatrix'!AS23</f>
        <v>0</v>
      </c>
      <c r="AT23" s="26">
        <f>'calc-Weights'!AT$2*'calc-Weights'!$B23*'calc-CovarMatrix'!AT23</f>
        <v>0</v>
      </c>
      <c r="AU23" s="26">
        <f>'calc-Weights'!AU$2*'calc-Weights'!$B23*'calc-CovarMatrix'!AU23</f>
        <v>0</v>
      </c>
      <c r="AV23" s="26">
        <f>'calc-Weights'!AV$2*'calc-Weights'!$B23*'calc-CovarMatrix'!AV23</f>
        <v>0</v>
      </c>
    </row>
    <row r="24" spans="1:48" x14ac:dyDescent="0.2">
      <c r="A24" s="26" t="s">
        <v>97</v>
      </c>
      <c r="B24" s="26">
        <f>'calc-Weights'!B$2*'calc-Weights'!$B24*'calc-CovarMatrix'!B24</f>
        <v>0</v>
      </c>
      <c r="C24" s="26">
        <f>'calc-Weights'!C$2*'calc-Weights'!$B24*'calc-CovarMatrix'!C24</f>
        <v>0</v>
      </c>
      <c r="D24" s="26">
        <f>'calc-Weights'!D$2*'calc-Weights'!$B24*'calc-CovarMatrix'!D24</f>
        <v>0</v>
      </c>
      <c r="E24" s="26">
        <f>'calc-Weights'!E$2*'calc-Weights'!$B24*'calc-CovarMatrix'!E24</f>
        <v>0</v>
      </c>
      <c r="F24" s="26">
        <f>'calc-Weights'!F$2*'calc-Weights'!$B24*'calc-CovarMatrix'!F24</f>
        <v>0</v>
      </c>
      <c r="G24" s="26">
        <f>'calc-Weights'!G$2*'calc-Weights'!$B24*'calc-CovarMatrix'!G24</f>
        <v>0</v>
      </c>
      <c r="H24" s="26">
        <f>'calc-Weights'!H$2*'calc-Weights'!$B24*'calc-CovarMatrix'!H24</f>
        <v>0</v>
      </c>
      <c r="I24" s="26">
        <f>'calc-Weights'!I$2*'calc-Weights'!$B24*'calc-CovarMatrix'!I24</f>
        <v>0</v>
      </c>
      <c r="J24" s="26">
        <f>'calc-Weights'!J$2*'calc-Weights'!$B24*'calc-CovarMatrix'!J24</f>
        <v>0</v>
      </c>
      <c r="K24" s="26">
        <f>'calc-Weights'!K$2*'calc-Weights'!$B24*'calc-CovarMatrix'!K24</f>
        <v>0</v>
      </c>
      <c r="L24" s="26">
        <f>'calc-Weights'!L$2*'calc-Weights'!$B24*'calc-CovarMatrix'!L24</f>
        <v>0</v>
      </c>
      <c r="M24" s="26">
        <f>'calc-Weights'!M$2*'calc-Weights'!$B24*'calc-CovarMatrix'!M24</f>
        <v>0</v>
      </c>
      <c r="N24" s="26">
        <f>'calc-Weights'!N$2*'calc-Weights'!$B24*'calc-CovarMatrix'!N24</f>
        <v>0</v>
      </c>
      <c r="O24" s="26">
        <f>'calc-Weights'!O$2*'calc-Weights'!$B24*'calc-CovarMatrix'!O24</f>
        <v>0</v>
      </c>
      <c r="P24" s="26">
        <f>'calc-Weights'!P$2*'calc-Weights'!$B24*'calc-CovarMatrix'!P24</f>
        <v>0</v>
      </c>
      <c r="Q24" s="26">
        <f>'calc-Weights'!Q$2*'calc-Weights'!$B24*'calc-CovarMatrix'!Q24</f>
        <v>0</v>
      </c>
      <c r="R24" s="26">
        <f>'calc-Weights'!R$2*'calc-Weights'!$B24*'calc-CovarMatrix'!R24</f>
        <v>0</v>
      </c>
      <c r="S24" s="26">
        <f>'calc-Weights'!S$2*'calc-Weights'!$B24*'calc-CovarMatrix'!S24</f>
        <v>0</v>
      </c>
      <c r="T24" s="26">
        <f>'calc-Weights'!T$2*'calc-Weights'!$B24*'calc-CovarMatrix'!T24</f>
        <v>0</v>
      </c>
      <c r="U24" s="26">
        <f>'calc-Weights'!U$2*'calc-Weights'!$B24*'calc-CovarMatrix'!U24</f>
        <v>0</v>
      </c>
      <c r="V24" s="26">
        <f>'calc-Weights'!V$2*'calc-Weights'!$B24*'calc-CovarMatrix'!V24</f>
        <v>0</v>
      </c>
      <c r="W24" s="26">
        <f>'calc-Weights'!W$2*'calc-Weights'!$B24*'calc-CovarMatrix'!W24</f>
        <v>0</v>
      </c>
      <c r="X24" s="26">
        <f>'calc-Weights'!X$2*'calc-Weights'!$B24*'calc-CovarMatrix'!X24</f>
        <v>0</v>
      </c>
      <c r="Y24" s="26">
        <f>'calc-Weights'!Y$2*'calc-Weights'!$B24*'calc-CovarMatrix'!Y24</f>
        <v>0</v>
      </c>
      <c r="Z24" s="26">
        <f>'calc-Weights'!Z$2*'calc-Weights'!$B24*'calc-CovarMatrix'!Z24</f>
        <v>0</v>
      </c>
      <c r="AA24" s="26">
        <f>'calc-Weights'!AA$2*'calc-Weights'!$B24*'calc-CovarMatrix'!AA24</f>
        <v>0</v>
      </c>
      <c r="AB24" s="26">
        <f>'calc-Weights'!AB$2*'calc-Weights'!$B24*'calc-CovarMatrix'!AB24</f>
        <v>0</v>
      </c>
      <c r="AC24" s="26">
        <f>'calc-Weights'!AC$2*'calc-Weights'!$B24*'calc-CovarMatrix'!AC24</f>
        <v>0</v>
      </c>
      <c r="AD24" s="26">
        <f>'calc-Weights'!AD$2*'calc-Weights'!$B24*'calc-CovarMatrix'!AD24</f>
        <v>0</v>
      </c>
      <c r="AE24" s="26">
        <f>'calc-Weights'!AE$2*'calc-Weights'!$B24*'calc-CovarMatrix'!AE24</f>
        <v>0</v>
      </c>
      <c r="AF24" s="26">
        <f>'calc-Weights'!AF$2*'calc-Weights'!$B24*'calc-CovarMatrix'!AF24</f>
        <v>0</v>
      </c>
      <c r="AG24" s="26">
        <f>'calc-Weights'!AG$2*'calc-Weights'!$B24*'calc-CovarMatrix'!AG24</f>
        <v>0</v>
      </c>
      <c r="AH24" s="26">
        <f>'calc-Weights'!AH$2*'calc-Weights'!$B24*'calc-CovarMatrix'!AH24</f>
        <v>0</v>
      </c>
      <c r="AI24" s="26">
        <f>'calc-Weights'!AI$2*'calc-Weights'!$B24*'calc-CovarMatrix'!AI24</f>
        <v>0</v>
      </c>
      <c r="AJ24" s="26">
        <f>'calc-Weights'!AJ$2*'calc-Weights'!$B24*'calc-CovarMatrix'!AJ24</f>
        <v>0</v>
      </c>
      <c r="AK24" s="26">
        <f>'calc-Weights'!AK$2*'calc-Weights'!$B24*'calc-CovarMatrix'!AK24</f>
        <v>0</v>
      </c>
      <c r="AL24" s="26">
        <f>'calc-Weights'!AL$2*'calc-Weights'!$B24*'calc-CovarMatrix'!AL24</f>
        <v>0</v>
      </c>
      <c r="AM24" s="26">
        <f>'calc-Weights'!AM$2*'calc-Weights'!$B24*'calc-CovarMatrix'!AM24</f>
        <v>0</v>
      </c>
      <c r="AN24" s="26">
        <f>'calc-Weights'!AN$2*'calc-Weights'!$B24*'calc-CovarMatrix'!AN24</f>
        <v>0</v>
      </c>
      <c r="AO24" s="26">
        <f>'calc-Weights'!AO$2*'calc-Weights'!$B24*'calc-CovarMatrix'!AO24</f>
        <v>0</v>
      </c>
      <c r="AP24" s="26">
        <f>'calc-Weights'!AP$2*'calc-Weights'!$B24*'calc-CovarMatrix'!AP24</f>
        <v>0</v>
      </c>
      <c r="AQ24" s="26">
        <f>'calc-Weights'!AQ$2*'calc-Weights'!$B24*'calc-CovarMatrix'!AQ24</f>
        <v>0</v>
      </c>
      <c r="AR24" s="26">
        <f>'calc-Weights'!AR$2*'calc-Weights'!$B24*'calc-CovarMatrix'!AR24</f>
        <v>0</v>
      </c>
      <c r="AS24" s="26">
        <f>'calc-Weights'!AS$2*'calc-Weights'!$B24*'calc-CovarMatrix'!AS24</f>
        <v>0</v>
      </c>
      <c r="AT24" s="26">
        <f>'calc-Weights'!AT$2*'calc-Weights'!$B24*'calc-CovarMatrix'!AT24</f>
        <v>0</v>
      </c>
      <c r="AU24" s="26">
        <f>'calc-Weights'!AU$2*'calc-Weights'!$B24*'calc-CovarMatrix'!AU24</f>
        <v>0</v>
      </c>
      <c r="AV24" s="26">
        <f>'calc-Weights'!AV$2*'calc-Weights'!$B24*'calc-CovarMatrix'!AV24</f>
        <v>0</v>
      </c>
    </row>
    <row r="25" spans="1:48" x14ac:dyDescent="0.2">
      <c r="A25" s="26" t="s">
        <v>98</v>
      </c>
      <c r="B25" s="26">
        <f>'calc-Weights'!B$2*'calc-Weights'!$B25*'calc-CovarMatrix'!B25</f>
        <v>0</v>
      </c>
      <c r="C25" s="26">
        <f>'calc-Weights'!C$2*'calc-Weights'!$B25*'calc-CovarMatrix'!C25</f>
        <v>0</v>
      </c>
      <c r="D25" s="26">
        <f>'calc-Weights'!D$2*'calc-Weights'!$B25*'calc-CovarMatrix'!D25</f>
        <v>0</v>
      </c>
      <c r="E25" s="26">
        <f>'calc-Weights'!E$2*'calc-Weights'!$B25*'calc-CovarMatrix'!E25</f>
        <v>0</v>
      </c>
      <c r="F25" s="26">
        <f>'calc-Weights'!F$2*'calc-Weights'!$B25*'calc-CovarMatrix'!F25</f>
        <v>0</v>
      </c>
      <c r="G25" s="26">
        <f>'calc-Weights'!G$2*'calc-Weights'!$B25*'calc-CovarMatrix'!G25</f>
        <v>0</v>
      </c>
      <c r="H25" s="26">
        <f>'calc-Weights'!H$2*'calc-Weights'!$B25*'calc-CovarMatrix'!H25</f>
        <v>0</v>
      </c>
      <c r="I25" s="26">
        <f>'calc-Weights'!I$2*'calc-Weights'!$B25*'calc-CovarMatrix'!I25</f>
        <v>0</v>
      </c>
      <c r="J25" s="26">
        <f>'calc-Weights'!J$2*'calc-Weights'!$B25*'calc-CovarMatrix'!J25</f>
        <v>0</v>
      </c>
      <c r="K25" s="26">
        <f>'calc-Weights'!K$2*'calc-Weights'!$B25*'calc-CovarMatrix'!K25</f>
        <v>0</v>
      </c>
      <c r="L25" s="26">
        <f>'calc-Weights'!L$2*'calc-Weights'!$B25*'calc-CovarMatrix'!L25</f>
        <v>0</v>
      </c>
      <c r="M25" s="26">
        <f>'calc-Weights'!M$2*'calc-Weights'!$B25*'calc-CovarMatrix'!M25</f>
        <v>0</v>
      </c>
      <c r="N25" s="26">
        <f>'calc-Weights'!N$2*'calc-Weights'!$B25*'calc-CovarMatrix'!N25</f>
        <v>0</v>
      </c>
      <c r="O25" s="26">
        <f>'calc-Weights'!O$2*'calc-Weights'!$B25*'calc-CovarMatrix'!O25</f>
        <v>0</v>
      </c>
      <c r="P25" s="26">
        <f>'calc-Weights'!P$2*'calc-Weights'!$B25*'calc-CovarMatrix'!P25</f>
        <v>0</v>
      </c>
      <c r="Q25" s="26">
        <f>'calc-Weights'!Q$2*'calc-Weights'!$B25*'calc-CovarMatrix'!Q25</f>
        <v>0</v>
      </c>
      <c r="R25" s="26">
        <f>'calc-Weights'!R$2*'calc-Weights'!$B25*'calc-CovarMatrix'!R25</f>
        <v>0</v>
      </c>
      <c r="S25" s="26">
        <f>'calc-Weights'!S$2*'calc-Weights'!$B25*'calc-CovarMatrix'!S25</f>
        <v>0</v>
      </c>
      <c r="T25" s="26">
        <f>'calc-Weights'!T$2*'calc-Weights'!$B25*'calc-CovarMatrix'!T25</f>
        <v>0</v>
      </c>
      <c r="U25" s="26">
        <f>'calc-Weights'!U$2*'calc-Weights'!$B25*'calc-CovarMatrix'!U25</f>
        <v>0</v>
      </c>
      <c r="V25" s="26">
        <f>'calc-Weights'!V$2*'calc-Weights'!$B25*'calc-CovarMatrix'!V25</f>
        <v>0</v>
      </c>
      <c r="W25" s="26">
        <f>'calc-Weights'!W$2*'calc-Weights'!$B25*'calc-CovarMatrix'!W25</f>
        <v>0</v>
      </c>
      <c r="X25" s="26">
        <f>'calc-Weights'!X$2*'calc-Weights'!$B25*'calc-CovarMatrix'!X25</f>
        <v>0</v>
      </c>
      <c r="Y25" s="26">
        <f>'calc-Weights'!Y$2*'calc-Weights'!$B25*'calc-CovarMatrix'!Y25</f>
        <v>0</v>
      </c>
      <c r="Z25" s="26">
        <f>'calc-Weights'!Z$2*'calc-Weights'!$B25*'calc-CovarMatrix'!Z25</f>
        <v>0</v>
      </c>
      <c r="AA25" s="26">
        <f>'calc-Weights'!AA$2*'calc-Weights'!$B25*'calc-CovarMatrix'!AA25</f>
        <v>0</v>
      </c>
      <c r="AB25" s="26">
        <f>'calc-Weights'!AB$2*'calc-Weights'!$B25*'calc-CovarMatrix'!AB25</f>
        <v>0</v>
      </c>
      <c r="AC25" s="26">
        <f>'calc-Weights'!AC$2*'calc-Weights'!$B25*'calc-CovarMatrix'!AC25</f>
        <v>0</v>
      </c>
      <c r="AD25" s="26">
        <f>'calc-Weights'!AD$2*'calc-Weights'!$B25*'calc-CovarMatrix'!AD25</f>
        <v>0</v>
      </c>
      <c r="AE25" s="26">
        <f>'calc-Weights'!AE$2*'calc-Weights'!$B25*'calc-CovarMatrix'!AE25</f>
        <v>0</v>
      </c>
      <c r="AF25" s="26">
        <f>'calc-Weights'!AF$2*'calc-Weights'!$B25*'calc-CovarMatrix'!AF25</f>
        <v>0</v>
      </c>
      <c r="AG25" s="26">
        <f>'calc-Weights'!AG$2*'calc-Weights'!$B25*'calc-CovarMatrix'!AG25</f>
        <v>0</v>
      </c>
      <c r="AH25" s="26">
        <f>'calc-Weights'!AH$2*'calc-Weights'!$B25*'calc-CovarMatrix'!AH25</f>
        <v>0</v>
      </c>
      <c r="AI25" s="26">
        <f>'calc-Weights'!AI$2*'calc-Weights'!$B25*'calc-CovarMatrix'!AI25</f>
        <v>0</v>
      </c>
      <c r="AJ25" s="26">
        <f>'calc-Weights'!AJ$2*'calc-Weights'!$B25*'calc-CovarMatrix'!AJ25</f>
        <v>0</v>
      </c>
      <c r="AK25" s="26">
        <f>'calc-Weights'!AK$2*'calc-Weights'!$B25*'calc-CovarMatrix'!AK25</f>
        <v>0</v>
      </c>
      <c r="AL25" s="26">
        <f>'calc-Weights'!AL$2*'calc-Weights'!$B25*'calc-CovarMatrix'!AL25</f>
        <v>0</v>
      </c>
      <c r="AM25" s="26">
        <f>'calc-Weights'!AM$2*'calc-Weights'!$B25*'calc-CovarMatrix'!AM25</f>
        <v>0</v>
      </c>
      <c r="AN25" s="26">
        <f>'calc-Weights'!AN$2*'calc-Weights'!$B25*'calc-CovarMatrix'!AN25</f>
        <v>0</v>
      </c>
      <c r="AO25" s="26">
        <f>'calc-Weights'!AO$2*'calc-Weights'!$B25*'calc-CovarMatrix'!AO25</f>
        <v>0</v>
      </c>
      <c r="AP25" s="26">
        <f>'calc-Weights'!AP$2*'calc-Weights'!$B25*'calc-CovarMatrix'!AP25</f>
        <v>0</v>
      </c>
      <c r="AQ25" s="26">
        <f>'calc-Weights'!AQ$2*'calc-Weights'!$B25*'calc-CovarMatrix'!AQ25</f>
        <v>0</v>
      </c>
      <c r="AR25" s="26">
        <f>'calc-Weights'!AR$2*'calc-Weights'!$B25*'calc-CovarMatrix'!AR25</f>
        <v>0</v>
      </c>
      <c r="AS25" s="26">
        <f>'calc-Weights'!AS$2*'calc-Weights'!$B25*'calc-CovarMatrix'!AS25</f>
        <v>0</v>
      </c>
      <c r="AT25" s="26">
        <f>'calc-Weights'!AT$2*'calc-Weights'!$B25*'calc-CovarMatrix'!AT25</f>
        <v>0</v>
      </c>
      <c r="AU25" s="26">
        <f>'calc-Weights'!AU$2*'calc-Weights'!$B25*'calc-CovarMatrix'!AU25</f>
        <v>0</v>
      </c>
      <c r="AV25" s="26">
        <f>'calc-Weights'!AV$2*'calc-Weights'!$B25*'calc-CovarMatrix'!AV25</f>
        <v>0</v>
      </c>
    </row>
    <row r="26" spans="1:48" x14ac:dyDescent="0.2">
      <c r="A26" s="26" t="s">
        <v>99</v>
      </c>
      <c r="B26" s="26">
        <f>'calc-Weights'!B$2*'calc-Weights'!$B26*'calc-CovarMatrix'!B26</f>
        <v>0</v>
      </c>
      <c r="C26" s="26">
        <f>'calc-Weights'!C$2*'calc-Weights'!$B26*'calc-CovarMatrix'!C26</f>
        <v>0</v>
      </c>
      <c r="D26" s="26">
        <f>'calc-Weights'!D$2*'calc-Weights'!$B26*'calc-CovarMatrix'!D26</f>
        <v>0</v>
      </c>
      <c r="E26" s="26">
        <f>'calc-Weights'!E$2*'calc-Weights'!$B26*'calc-CovarMatrix'!E26</f>
        <v>0</v>
      </c>
      <c r="F26" s="26">
        <f>'calc-Weights'!F$2*'calc-Weights'!$B26*'calc-CovarMatrix'!F26</f>
        <v>0</v>
      </c>
      <c r="G26" s="26">
        <f>'calc-Weights'!G$2*'calc-Weights'!$B26*'calc-CovarMatrix'!G26</f>
        <v>0</v>
      </c>
      <c r="H26" s="26">
        <f>'calc-Weights'!H$2*'calc-Weights'!$B26*'calc-CovarMatrix'!H26</f>
        <v>0</v>
      </c>
      <c r="I26" s="26">
        <f>'calc-Weights'!I$2*'calc-Weights'!$B26*'calc-CovarMatrix'!I26</f>
        <v>0</v>
      </c>
      <c r="J26" s="26">
        <f>'calc-Weights'!J$2*'calc-Weights'!$B26*'calc-CovarMatrix'!J26</f>
        <v>0</v>
      </c>
      <c r="K26" s="26">
        <f>'calc-Weights'!K$2*'calc-Weights'!$B26*'calc-CovarMatrix'!K26</f>
        <v>0</v>
      </c>
      <c r="L26" s="26">
        <f>'calc-Weights'!L$2*'calc-Weights'!$B26*'calc-CovarMatrix'!L26</f>
        <v>0</v>
      </c>
      <c r="M26" s="26">
        <f>'calc-Weights'!M$2*'calc-Weights'!$B26*'calc-CovarMatrix'!M26</f>
        <v>0</v>
      </c>
      <c r="N26" s="26">
        <f>'calc-Weights'!N$2*'calc-Weights'!$B26*'calc-CovarMatrix'!N26</f>
        <v>0</v>
      </c>
      <c r="O26" s="26">
        <f>'calc-Weights'!O$2*'calc-Weights'!$B26*'calc-CovarMatrix'!O26</f>
        <v>0</v>
      </c>
      <c r="P26" s="26">
        <f>'calc-Weights'!P$2*'calc-Weights'!$B26*'calc-CovarMatrix'!P26</f>
        <v>0</v>
      </c>
      <c r="Q26" s="26">
        <f>'calc-Weights'!Q$2*'calc-Weights'!$B26*'calc-CovarMatrix'!Q26</f>
        <v>0</v>
      </c>
      <c r="R26" s="26">
        <f>'calc-Weights'!R$2*'calc-Weights'!$B26*'calc-CovarMatrix'!R26</f>
        <v>0</v>
      </c>
      <c r="S26" s="26">
        <f>'calc-Weights'!S$2*'calc-Weights'!$B26*'calc-CovarMatrix'!S26</f>
        <v>0</v>
      </c>
      <c r="T26" s="26">
        <f>'calc-Weights'!T$2*'calc-Weights'!$B26*'calc-CovarMatrix'!T26</f>
        <v>0</v>
      </c>
      <c r="U26" s="26">
        <f>'calc-Weights'!U$2*'calc-Weights'!$B26*'calc-CovarMatrix'!U26</f>
        <v>0</v>
      </c>
      <c r="V26" s="26">
        <f>'calc-Weights'!V$2*'calc-Weights'!$B26*'calc-CovarMatrix'!V26</f>
        <v>0</v>
      </c>
      <c r="W26" s="26">
        <f>'calc-Weights'!W$2*'calc-Weights'!$B26*'calc-CovarMatrix'!W26</f>
        <v>0</v>
      </c>
      <c r="X26" s="26">
        <f>'calc-Weights'!X$2*'calc-Weights'!$B26*'calc-CovarMatrix'!X26</f>
        <v>0</v>
      </c>
      <c r="Y26" s="26">
        <f>'calc-Weights'!Y$2*'calc-Weights'!$B26*'calc-CovarMatrix'!Y26</f>
        <v>0</v>
      </c>
      <c r="Z26" s="26">
        <f>'calc-Weights'!Z$2*'calc-Weights'!$B26*'calc-CovarMatrix'!Z26</f>
        <v>0</v>
      </c>
      <c r="AA26" s="26">
        <f>'calc-Weights'!AA$2*'calc-Weights'!$B26*'calc-CovarMatrix'!AA26</f>
        <v>0</v>
      </c>
      <c r="AB26" s="26">
        <f>'calc-Weights'!AB$2*'calc-Weights'!$B26*'calc-CovarMatrix'!AB26</f>
        <v>0</v>
      </c>
      <c r="AC26" s="26">
        <f>'calc-Weights'!AC$2*'calc-Weights'!$B26*'calc-CovarMatrix'!AC26</f>
        <v>0</v>
      </c>
      <c r="AD26" s="26">
        <f>'calc-Weights'!AD$2*'calc-Weights'!$B26*'calc-CovarMatrix'!AD26</f>
        <v>0</v>
      </c>
      <c r="AE26" s="26">
        <f>'calc-Weights'!AE$2*'calc-Weights'!$B26*'calc-CovarMatrix'!AE26</f>
        <v>0</v>
      </c>
      <c r="AF26" s="26">
        <f>'calc-Weights'!AF$2*'calc-Weights'!$B26*'calc-CovarMatrix'!AF26</f>
        <v>0</v>
      </c>
      <c r="AG26" s="26">
        <f>'calc-Weights'!AG$2*'calc-Weights'!$B26*'calc-CovarMatrix'!AG26</f>
        <v>0</v>
      </c>
      <c r="AH26" s="26">
        <f>'calc-Weights'!AH$2*'calc-Weights'!$B26*'calc-CovarMatrix'!AH26</f>
        <v>0</v>
      </c>
      <c r="AI26" s="26">
        <f>'calc-Weights'!AI$2*'calc-Weights'!$B26*'calc-CovarMatrix'!AI26</f>
        <v>0</v>
      </c>
      <c r="AJ26" s="26">
        <f>'calc-Weights'!AJ$2*'calc-Weights'!$B26*'calc-CovarMatrix'!AJ26</f>
        <v>0</v>
      </c>
      <c r="AK26" s="26">
        <f>'calc-Weights'!AK$2*'calc-Weights'!$B26*'calc-CovarMatrix'!AK26</f>
        <v>0</v>
      </c>
      <c r="AL26" s="26">
        <f>'calc-Weights'!AL$2*'calc-Weights'!$B26*'calc-CovarMatrix'!AL26</f>
        <v>0</v>
      </c>
      <c r="AM26" s="26">
        <f>'calc-Weights'!AM$2*'calc-Weights'!$B26*'calc-CovarMatrix'!AM26</f>
        <v>0</v>
      </c>
      <c r="AN26" s="26">
        <f>'calc-Weights'!AN$2*'calc-Weights'!$B26*'calc-CovarMatrix'!AN26</f>
        <v>0</v>
      </c>
      <c r="AO26" s="26">
        <f>'calc-Weights'!AO$2*'calc-Weights'!$B26*'calc-CovarMatrix'!AO26</f>
        <v>0</v>
      </c>
      <c r="AP26" s="26">
        <f>'calc-Weights'!AP$2*'calc-Weights'!$B26*'calc-CovarMatrix'!AP26</f>
        <v>0</v>
      </c>
      <c r="AQ26" s="26">
        <f>'calc-Weights'!AQ$2*'calc-Weights'!$B26*'calc-CovarMatrix'!AQ26</f>
        <v>0</v>
      </c>
      <c r="AR26" s="26">
        <f>'calc-Weights'!AR$2*'calc-Weights'!$B26*'calc-CovarMatrix'!AR26</f>
        <v>0</v>
      </c>
      <c r="AS26" s="26">
        <f>'calc-Weights'!AS$2*'calc-Weights'!$B26*'calc-CovarMatrix'!AS26</f>
        <v>0</v>
      </c>
      <c r="AT26" s="26">
        <f>'calc-Weights'!AT$2*'calc-Weights'!$B26*'calc-CovarMatrix'!AT26</f>
        <v>0</v>
      </c>
      <c r="AU26" s="26">
        <f>'calc-Weights'!AU$2*'calc-Weights'!$B26*'calc-CovarMatrix'!AU26</f>
        <v>0</v>
      </c>
      <c r="AV26" s="26">
        <f>'calc-Weights'!AV$2*'calc-Weights'!$B26*'calc-CovarMatrix'!AV26</f>
        <v>0</v>
      </c>
    </row>
    <row r="27" spans="1:48" x14ac:dyDescent="0.2">
      <c r="A27" s="26" t="s">
        <v>100</v>
      </c>
      <c r="B27" s="26">
        <f>'calc-Weights'!B$2*'calc-Weights'!$B27*'calc-CovarMatrix'!B27</f>
        <v>0</v>
      </c>
      <c r="C27" s="26">
        <f>'calc-Weights'!C$2*'calc-Weights'!$B27*'calc-CovarMatrix'!C27</f>
        <v>0</v>
      </c>
      <c r="D27" s="26">
        <f>'calc-Weights'!D$2*'calc-Weights'!$B27*'calc-CovarMatrix'!D27</f>
        <v>0</v>
      </c>
      <c r="E27" s="26">
        <f>'calc-Weights'!E$2*'calc-Weights'!$B27*'calc-CovarMatrix'!E27</f>
        <v>0</v>
      </c>
      <c r="F27" s="26">
        <f>'calc-Weights'!F$2*'calc-Weights'!$B27*'calc-CovarMatrix'!F27</f>
        <v>0</v>
      </c>
      <c r="G27" s="26">
        <f>'calc-Weights'!G$2*'calc-Weights'!$B27*'calc-CovarMatrix'!G27</f>
        <v>0</v>
      </c>
      <c r="H27" s="26">
        <f>'calc-Weights'!H$2*'calc-Weights'!$B27*'calc-CovarMatrix'!H27</f>
        <v>0</v>
      </c>
      <c r="I27" s="26">
        <f>'calc-Weights'!I$2*'calc-Weights'!$B27*'calc-CovarMatrix'!I27</f>
        <v>0</v>
      </c>
      <c r="J27" s="26">
        <f>'calc-Weights'!J$2*'calc-Weights'!$B27*'calc-CovarMatrix'!J27</f>
        <v>0</v>
      </c>
      <c r="K27" s="26">
        <f>'calc-Weights'!K$2*'calc-Weights'!$B27*'calc-CovarMatrix'!K27</f>
        <v>0</v>
      </c>
      <c r="L27" s="26">
        <f>'calc-Weights'!L$2*'calc-Weights'!$B27*'calc-CovarMatrix'!L27</f>
        <v>0</v>
      </c>
      <c r="M27" s="26">
        <f>'calc-Weights'!M$2*'calc-Weights'!$B27*'calc-CovarMatrix'!M27</f>
        <v>0</v>
      </c>
      <c r="N27" s="26">
        <f>'calc-Weights'!N$2*'calc-Weights'!$B27*'calc-CovarMatrix'!N27</f>
        <v>0</v>
      </c>
      <c r="O27" s="26">
        <f>'calc-Weights'!O$2*'calc-Weights'!$B27*'calc-CovarMatrix'!O27</f>
        <v>0</v>
      </c>
      <c r="P27" s="26">
        <f>'calc-Weights'!P$2*'calc-Weights'!$B27*'calc-CovarMatrix'!P27</f>
        <v>0</v>
      </c>
      <c r="Q27" s="26">
        <f>'calc-Weights'!Q$2*'calc-Weights'!$B27*'calc-CovarMatrix'!Q27</f>
        <v>0</v>
      </c>
      <c r="R27" s="26">
        <f>'calc-Weights'!R$2*'calc-Weights'!$B27*'calc-CovarMatrix'!R27</f>
        <v>0</v>
      </c>
      <c r="S27" s="26">
        <f>'calc-Weights'!S$2*'calc-Weights'!$B27*'calc-CovarMatrix'!S27</f>
        <v>0</v>
      </c>
      <c r="T27" s="26">
        <f>'calc-Weights'!T$2*'calc-Weights'!$B27*'calc-CovarMatrix'!T27</f>
        <v>0</v>
      </c>
      <c r="U27" s="26">
        <f>'calc-Weights'!U$2*'calc-Weights'!$B27*'calc-CovarMatrix'!U27</f>
        <v>0</v>
      </c>
      <c r="V27" s="26">
        <f>'calc-Weights'!V$2*'calc-Weights'!$B27*'calc-CovarMatrix'!V27</f>
        <v>0</v>
      </c>
      <c r="W27" s="26">
        <f>'calc-Weights'!W$2*'calc-Weights'!$B27*'calc-CovarMatrix'!W27</f>
        <v>0</v>
      </c>
      <c r="X27" s="26">
        <f>'calc-Weights'!X$2*'calc-Weights'!$B27*'calc-CovarMatrix'!X27</f>
        <v>0</v>
      </c>
      <c r="Y27" s="26">
        <f>'calc-Weights'!Y$2*'calc-Weights'!$B27*'calc-CovarMatrix'!Y27</f>
        <v>0</v>
      </c>
      <c r="Z27" s="26">
        <f>'calc-Weights'!Z$2*'calc-Weights'!$B27*'calc-CovarMatrix'!Z27</f>
        <v>0</v>
      </c>
      <c r="AA27" s="26">
        <f>'calc-Weights'!AA$2*'calc-Weights'!$B27*'calc-CovarMatrix'!AA27</f>
        <v>0</v>
      </c>
      <c r="AB27" s="26">
        <f>'calc-Weights'!AB$2*'calc-Weights'!$B27*'calc-CovarMatrix'!AB27</f>
        <v>0</v>
      </c>
      <c r="AC27" s="26">
        <f>'calc-Weights'!AC$2*'calc-Weights'!$B27*'calc-CovarMatrix'!AC27</f>
        <v>0</v>
      </c>
      <c r="AD27" s="26">
        <f>'calc-Weights'!AD$2*'calc-Weights'!$B27*'calc-CovarMatrix'!AD27</f>
        <v>0</v>
      </c>
      <c r="AE27" s="26">
        <f>'calc-Weights'!AE$2*'calc-Weights'!$B27*'calc-CovarMatrix'!AE27</f>
        <v>0</v>
      </c>
      <c r="AF27" s="26">
        <f>'calc-Weights'!AF$2*'calc-Weights'!$B27*'calc-CovarMatrix'!AF27</f>
        <v>0</v>
      </c>
      <c r="AG27" s="26">
        <f>'calc-Weights'!AG$2*'calc-Weights'!$B27*'calc-CovarMatrix'!AG27</f>
        <v>0</v>
      </c>
      <c r="AH27" s="26">
        <f>'calc-Weights'!AH$2*'calc-Weights'!$B27*'calc-CovarMatrix'!AH27</f>
        <v>0</v>
      </c>
      <c r="AI27" s="26">
        <f>'calc-Weights'!AI$2*'calc-Weights'!$B27*'calc-CovarMatrix'!AI27</f>
        <v>0</v>
      </c>
      <c r="AJ27" s="26">
        <f>'calc-Weights'!AJ$2*'calc-Weights'!$B27*'calc-CovarMatrix'!AJ27</f>
        <v>0</v>
      </c>
      <c r="AK27" s="26">
        <f>'calc-Weights'!AK$2*'calc-Weights'!$B27*'calc-CovarMatrix'!AK27</f>
        <v>0</v>
      </c>
      <c r="AL27" s="26">
        <f>'calc-Weights'!AL$2*'calc-Weights'!$B27*'calc-CovarMatrix'!AL27</f>
        <v>0</v>
      </c>
      <c r="AM27" s="26">
        <f>'calc-Weights'!AM$2*'calc-Weights'!$B27*'calc-CovarMatrix'!AM27</f>
        <v>0</v>
      </c>
      <c r="AN27" s="26">
        <f>'calc-Weights'!AN$2*'calc-Weights'!$B27*'calc-CovarMatrix'!AN27</f>
        <v>0</v>
      </c>
      <c r="AO27" s="26">
        <f>'calc-Weights'!AO$2*'calc-Weights'!$B27*'calc-CovarMatrix'!AO27</f>
        <v>0</v>
      </c>
      <c r="AP27" s="26">
        <f>'calc-Weights'!AP$2*'calc-Weights'!$B27*'calc-CovarMatrix'!AP27</f>
        <v>0</v>
      </c>
      <c r="AQ27" s="26">
        <f>'calc-Weights'!AQ$2*'calc-Weights'!$B27*'calc-CovarMatrix'!AQ27</f>
        <v>0</v>
      </c>
      <c r="AR27" s="26">
        <f>'calc-Weights'!AR$2*'calc-Weights'!$B27*'calc-CovarMatrix'!AR27</f>
        <v>0</v>
      </c>
      <c r="AS27" s="26">
        <f>'calc-Weights'!AS$2*'calc-Weights'!$B27*'calc-CovarMatrix'!AS27</f>
        <v>0</v>
      </c>
      <c r="AT27" s="26">
        <f>'calc-Weights'!AT$2*'calc-Weights'!$B27*'calc-CovarMatrix'!AT27</f>
        <v>0</v>
      </c>
      <c r="AU27" s="26">
        <f>'calc-Weights'!AU$2*'calc-Weights'!$B27*'calc-CovarMatrix'!AU27</f>
        <v>0</v>
      </c>
      <c r="AV27" s="26">
        <f>'calc-Weights'!AV$2*'calc-Weights'!$B27*'calc-CovarMatrix'!AV27</f>
        <v>0</v>
      </c>
    </row>
    <row r="28" spans="1:48" x14ac:dyDescent="0.2">
      <c r="A28" s="26" t="s">
        <v>101</v>
      </c>
      <c r="B28" s="26">
        <f>'calc-Weights'!B$2*'calc-Weights'!$B28*'calc-CovarMatrix'!B28</f>
        <v>0</v>
      </c>
      <c r="C28" s="26">
        <f>'calc-Weights'!C$2*'calc-Weights'!$B28*'calc-CovarMatrix'!C28</f>
        <v>0</v>
      </c>
      <c r="D28" s="26">
        <f>'calc-Weights'!D$2*'calc-Weights'!$B28*'calc-CovarMatrix'!D28</f>
        <v>0</v>
      </c>
      <c r="E28" s="26">
        <f>'calc-Weights'!E$2*'calc-Weights'!$B28*'calc-CovarMatrix'!E28</f>
        <v>0</v>
      </c>
      <c r="F28" s="26">
        <f>'calc-Weights'!F$2*'calc-Weights'!$B28*'calc-CovarMatrix'!F28</f>
        <v>0</v>
      </c>
      <c r="G28" s="26">
        <f>'calc-Weights'!G$2*'calc-Weights'!$B28*'calc-CovarMatrix'!G28</f>
        <v>0</v>
      </c>
      <c r="H28" s="26">
        <f>'calc-Weights'!H$2*'calc-Weights'!$B28*'calc-CovarMatrix'!H28</f>
        <v>0</v>
      </c>
      <c r="I28" s="26">
        <f>'calc-Weights'!I$2*'calc-Weights'!$B28*'calc-CovarMatrix'!I28</f>
        <v>0</v>
      </c>
      <c r="J28" s="26">
        <f>'calc-Weights'!J$2*'calc-Weights'!$B28*'calc-CovarMatrix'!J28</f>
        <v>0</v>
      </c>
      <c r="K28" s="26">
        <f>'calc-Weights'!K$2*'calc-Weights'!$B28*'calc-CovarMatrix'!K28</f>
        <v>0</v>
      </c>
      <c r="L28" s="26">
        <f>'calc-Weights'!L$2*'calc-Weights'!$B28*'calc-CovarMatrix'!L28</f>
        <v>0</v>
      </c>
      <c r="M28" s="26">
        <f>'calc-Weights'!M$2*'calc-Weights'!$B28*'calc-CovarMatrix'!M28</f>
        <v>0</v>
      </c>
      <c r="N28" s="26">
        <f>'calc-Weights'!N$2*'calc-Weights'!$B28*'calc-CovarMatrix'!N28</f>
        <v>0</v>
      </c>
      <c r="O28" s="26">
        <f>'calc-Weights'!O$2*'calc-Weights'!$B28*'calc-CovarMatrix'!O28</f>
        <v>0</v>
      </c>
      <c r="P28" s="26">
        <f>'calc-Weights'!P$2*'calc-Weights'!$B28*'calc-CovarMatrix'!P28</f>
        <v>0</v>
      </c>
      <c r="Q28" s="26">
        <f>'calc-Weights'!Q$2*'calc-Weights'!$B28*'calc-CovarMatrix'!Q28</f>
        <v>0</v>
      </c>
      <c r="R28" s="26">
        <f>'calc-Weights'!R$2*'calc-Weights'!$B28*'calc-CovarMatrix'!R28</f>
        <v>0</v>
      </c>
      <c r="S28" s="26">
        <f>'calc-Weights'!S$2*'calc-Weights'!$B28*'calc-CovarMatrix'!S28</f>
        <v>0</v>
      </c>
      <c r="T28" s="26">
        <f>'calc-Weights'!T$2*'calc-Weights'!$B28*'calc-CovarMatrix'!T28</f>
        <v>0</v>
      </c>
      <c r="U28" s="26">
        <f>'calc-Weights'!U$2*'calc-Weights'!$B28*'calc-CovarMatrix'!U28</f>
        <v>0</v>
      </c>
      <c r="V28" s="26">
        <f>'calc-Weights'!V$2*'calc-Weights'!$B28*'calc-CovarMatrix'!V28</f>
        <v>0</v>
      </c>
      <c r="W28" s="26">
        <f>'calc-Weights'!W$2*'calc-Weights'!$B28*'calc-CovarMatrix'!W28</f>
        <v>0</v>
      </c>
      <c r="X28" s="26">
        <f>'calc-Weights'!X$2*'calc-Weights'!$B28*'calc-CovarMatrix'!X28</f>
        <v>0</v>
      </c>
      <c r="Y28" s="26">
        <f>'calc-Weights'!Y$2*'calc-Weights'!$B28*'calc-CovarMatrix'!Y28</f>
        <v>0</v>
      </c>
      <c r="Z28" s="26">
        <f>'calc-Weights'!Z$2*'calc-Weights'!$B28*'calc-CovarMatrix'!Z28</f>
        <v>0</v>
      </c>
      <c r="AA28" s="26">
        <f>'calc-Weights'!AA$2*'calc-Weights'!$B28*'calc-CovarMatrix'!AA28</f>
        <v>0</v>
      </c>
      <c r="AB28" s="26">
        <f>'calc-Weights'!AB$2*'calc-Weights'!$B28*'calc-CovarMatrix'!AB28</f>
        <v>0</v>
      </c>
      <c r="AC28" s="26">
        <f>'calc-Weights'!AC$2*'calc-Weights'!$B28*'calc-CovarMatrix'!AC28</f>
        <v>0</v>
      </c>
      <c r="AD28" s="26">
        <f>'calc-Weights'!AD$2*'calc-Weights'!$B28*'calc-CovarMatrix'!AD28</f>
        <v>0</v>
      </c>
      <c r="AE28" s="26">
        <f>'calc-Weights'!AE$2*'calc-Weights'!$B28*'calc-CovarMatrix'!AE28</f>
        <v>0</v>
      </c>
      <c r="AF28" s="26">
        <f>'calc-Weights'!AF$2*'calc-Weights'!$B28*'calc-CovarMatrix'!AF28</f>
        <v>0</v>
      </c>
      <c r="AG28" s="26">
        <f>'calc-Weights'!AG$2*'calc-Weights'!$B28*'calc-CovarMatrix'!AG28</f>
        <v>0</v>
      </c>
      <c r="AH28" s="26">
        <f>'calc-Weights'!AH$2*'calc-Weights'!$B28*'calc-CovarMatrix'!AH28</f>
        <v>0</v>
      </c>
      <c r="AI28" s="26">
        <f>'calc-Weights'!AI$2*'calc-Weights'!$B28*'calc-CovarMatrix'!AI28</f>
        <v>0</v>
      </c>
      <c r="AJ28" s="26">
        <f>'calc-Weights'!AJ$2*'calc-Weights'!$B28*'calc-CovarMatrix'!AJ28</f>
        <v>0</v>
      </c>
      <c r="AK28" s="26">
        <f>'calc-Weights'!AK$2*'calc-Weights'!$B28*'calc-CovarMatrix'!AK28</f>
        <v>0</v>
      </c>
      <c r="AL28" s="26">
        <f>'calc-Weights'!AL$2*'calc-Weights'!$B28*'calc-CovarMatrix'!AL28</f>
        <v>0</v>
      </c>
      <c r="AM28" s="26">
        <f>'calc-Weights'!AM$2*'calc-Weights'!$B28*'calc-CovarMatrix'!AM28</f>
        <v>0</v>
      </c>
      <c r="AN28" s="26">
        <f>'calc-Weights'!AN$2*'calc-Weights'!$B28*'calc-CovarMatrix'!AN28</f>
        <v>0</v>
      </c>
      <c r="AO28" s="26">
        <f>'calc-Weights'!AO$2*'calc-Weights'!$B28*'calc-CovarMatrix'!AO28</f>
        <v>0</v>
      </c>
      <c r="AP28" s="26">
        <f>'calc-Weights'!AP$2*'calc-Weights'!$B28*'calc-CovarMatrix'!AP28</f>
        <v>0</v>
      </c>
      <c r="AQ28" s="26">
        <f>'calc-Weights'!AQ$2*'calc-Weights'!$B28*'calc-CovarMatrix'!AQ28</f>
        <v>0</v>
      </c>
      <c r="AR28" s="26">
        <f>'calc-Weights'!AR$2*'calc-Weights'!$B28*'calc-CovarMatrix'!AR28</f>
        <v>0</v>
      </c>
      <c r="AS28" s="26">
        <f>'calc-Weights'!AS$2*'calc-Weights'!$B28*'calc-CovarMatrix'!AS28</f>
        <v>0</v>
      </c>
      <c r="AT28" s="26">
        <f>'calc-Weights'!AT$2*'calc-Weights'!$B28*'calc-CovarMatrix'!AT28</f>
        <v>0</v>
      </c>
      <c r="AU28" s="26">
        <f>'calc-Weights'!AU$2*'calc-Weights'!$B28*'calc-CovarMatrix'!AU28</f>
        <v>0</v>
      </c>
      <c r="AV28" s="26">
        <f>'calc-Weights'!AV$2*'calc-Weights'!$B28*'calc-CovarMatrix'!AV28</f>
        <v>0</v>
      </c>
    </row>
    <row r="29" spans="1:48" x14ac:dyDescent="0.2">
      <c r="A29" s="26" t="s">
        <v>102</v>
      </c>
      <c r="B29" s="26">
        <f>'calc-Weights'!B$2*'calc-Weights'!$B29*'calc-CovarMatrix'!B29</f>
        <v>0</v>
      </c>
      <c r="C29" s="26">
        <f>'calc-Weights'!C$2*'calc-Weights'!$B29*'calc-CovarMatrix'!C29</f>
        <v>0</v>
      </c>
      <c r="D29" s="26">
        <f>'calc-Weights'!D$2*'calc-Weights'!$B29*'calc-CovarMatrix'!D29</f>
        <v>0</v>
      </c>
      <c r="E29" s="26">
        <f>'calc-Weights'!E$2*'calc-Weights'!$B29*'calc-CovarMatrix'!E29</f>
        <v>0</v>
      </c>
      <c r="F29" s="26">
        <f>'calc-Weights'!F$2*'calc-Weights'!$B29*'calc-CovarMatrix'!F29</f>
        <v>0</v>
      </c>
      <c r="G29" s="26">
        <f>'calc-Weights'!G$2*'calc-Weights'!$B29*'calc-CovarMatrix'!G29</f>
        <v>0</v>
      </c>
      <c r="H29" s="26">
        <f>'calc-Weights'!H$2*'calc-Weights'!$B29*'calc-CovarMatrix'!H29</f>
        <v>0</v>
      </c>
      <c r="I29" s="26">
        <f>'calc-Weights'!I$2*'calc-Weights'!$B29*'calc-CovarMatrix'!I29</f>
        <v>0</v>
      </c>
      <c r="J29" s="26">
        <f>'calc-Weights'!J$2*'calc-Weights'!$B29*'calc-CovarMatrix'!J29</f>
        <v>0</v>
      </c>
      <c r="K29" s="26">
        <f>'calc-Weights'!K$2*'calc-Weights'!$B29*'calc-CovarMatrix'!K29</f>
        <v>0</v>
      </c>
      <c r="L29" s="26">
        <f>'calc-Weights'!L$2*'calc-Weights'!$B29*'calc-CovarMatrix'!L29</f>
        <v>0</v>
      </c>
      <c r="M29" s="26">
        <f>'calc-Weights'!M$2*'calc-Weights'!$B29*'calc-CovarMatrix'!M29</f>
        <v>0</v>
      </c>
      <c r="N29" s="26">
        <f>'calc-Weights'!N$2*'calc-Weights'!$B29*'calc-CovarMatrix'!N29</f>
        <v>0</v>
      </c>
      <c r="O29" s="26">
        <f>'calc-Weights'!O$2*'calc-Weights'!$B29*'calc-CovarMatrix'!O29</f>
        <v>0</v>
      </c>
      <c r="P29" s="26">
        <f>'calc-Weights'!P$2*'calc-Weights'!$B29*'calc-CovarMatrix'!P29</f>
        <v>0</v>
      </c>
      <c r="Q29" s="26">
        <f>'calc-Weights'!Q$2*'calc-Weights'!$B29*'calc-CovarMatrix'!Q29</f>
        <v>0</v>
      </c>
      <c r="R29" s="26">
        <f>'calc-Weights'!R$2*'calc-Weights'!$B29*'calc-CovarMatrix'!R29</f>
        <v>0</v>
      </c>
      <c r="S29" s="26">
        <f>'calc-Weights'!S$2*'calc-Weights'!$B29*'calc-CovarMatrix'!S29</f>
        <v>0</v>
      </c>
      <c r="T29" s="26">
        <f>'calc-Weights'!T$2*'calc-Weights'!$B29*'calc-CovarMatrix'!T29</f>
        <v>0</v>
      </c>
      <c r="U29" s="26">
        <f>'calc-Weights'!U$2*'calc-Weights'!$B29*'calc-CovarMatrix'!U29</f>
        <v>0</v>
      </c>
      <c r="V29" s="26">
        <f>'calc-Weights'!V$2*'calc-Weights'!$B29*'calc-CovarMatrix'!V29</f>
        <v>0</v>
      </c>
      <c r="W29" s="26">
        <f>'calc-Weights'!W$2*'calc-Weights'!$B29*'calc-CovarMatrix'!W29</f>
        <v>0</v>
      </c>
      <c r="X29" s="26">
        <f>'calc-Weights'!X$2*'calc-Weights'!$B29*'calc-CovarMatrix'!X29</f>
        <v>0</v>
      </c>
      <c r="Y29" s="26">
        <f>'calc-Weights'!Y$2*'calc-Weights'!$B29*'calc-CovarMatrix'!Y29</f>
        <v>0</v>
      </c>
      <c r="Z29" s="26">
        <f>'calc-Weights'!Z$2*'calc-Weights'!$B29*'calc-CovarMatrix'!Z29</f>
        <v>0</v>
      </c>
      <c r="AA29" s="26">
        <f>'calc-Weights'!AA$2*'calc-Weights'!$B29*'calc-CovarMatrix'!AA29</f>
        <v>0</v>
      </c>
      <c r="AB29" s="26">
        <f>'calc-Weights'!AB$2*'calc-Weights'!$B29*'calc-CovarMatrix'!AB29</f>
        <v>0</v>
      </c>
      <c r="AC29" s="26">
        <f>'calc-Weights'!AC$2*'calc-Weights'!$B29*'calc-CovarMatrix'!AC29</f>
        <v>0</v>
      </c>
      <c r="AD29" s="26">
        <f>'calc-Weights'!AD$2*'calc-Weights'!$B29*'calc-CovarMatrix'!AD29</f>
        <v>0</v>
      </c>
      <c r="AE29" s="26">
        <f>'calc-Weights'!AE$2*'calc-Weights'!$B29*'calc-CovarMatrix'!AE29</f>
        <v>0</v>
      </c>
      <c r="AF29" s="26">
        <f>'calc-Weights'!AF$2*'calc-Weights'!$B29*'calc-CovarMatrix'!AF29</f>
        <v>0</v>
      </c>
      <c r="AG29" s="26">
        <f>'calc-Weights'!AG$2*'calc-Weights'!$B29*'calc-CovarMatrix'!AG29</f>
        <v>0</v>
      </c>
      <c r="AH29" s="26">
        <f>'calc-Weights'!AH$2*'calc-Weights'!$B29*'calc-CovarMatrix'!AH29</f>
        <v>0</v>
      </c>
      <c r="AI29" s="26">
        <f>'calc-Weights'!AI$2*'calc-Weights'!$B29*'calc-CovarMatrix'!AI29</f>
        <v>0</v>
      </c>
      <c r="AJ29" s="26">
        <f>'calc-Weights'!AJ$2*'calc-Weights'!$B29*'calc-CovarMatrix'!AJ29</f>
        <v>0</v>
      </c>
      <c r="AK29" s="26">
        <f>'calc-Weights'!AK$2*'calc-Weights'!$B29*'calc-CovarMatrix'!AK29</f>
        <v>0</v>
      </c>
      <c r="AL29" s="26">
        <f>'calc-Weights'!AL$2*'calc-Weights'!$B29*'calc-CovarMatrix'!AL29</f>
        <v>0</v>
      </c>
      <c r="AM29" s="26">
        <f>'calc-Weights'!AM$2*'calc-Weights'!$B29*'calc-CovarMatrix'!AM29</f>
        <v>0</v>
      </c>
      <c r="AN29" s="26">
        <f>'calc-Weights'!AN$2*'calc-Weights'!$B29*'calc-CovarMatrix'!AN29</f>
        <v>0</v>
      </c>
      <c r="AO29" s="26">
        <f>'calc-Weights'!AO$2*'calc-Weights'!$B29*'calc-CovarMatrix'!AO29</f>
        <v>0</v>
      </c>
      <c r="AP29" s="26">
        <f>'calc-Weights'!AP$2*'calc-Weights'!$B29*'calc-CovarMatrix'!AP29</f>
        <v>0</v>
      </c>
      <c r="AQ29" s="26">
        <f>'calc-Weights'!AQ$2*'calc-Weights'!$B29*'calc-CovarMatrix'!AQ29</f>
        <v>0</v>
      </c>
      <c r="AR29" s="26">
        <f>'calc-Weights'!AR$2*'calc-Weights'!$B29*'calc-CovarMatrix'!AR29</f>
        <v>0</v>
      </c>
      <c r="AS29" s="26">
        <f>'calc-Weights'!AS$2*'calc-Weights'!$B29*'calc-CovarMatrix'!AS29</f>
        <v>0</v>
      </c>
      <c r="AT29" s="26">
        <f>'calc-Weights'!AT$2*'calc-Weights'!$B29*'calc-CovarMatrix'!AT29</f>
        <v>0</v>
      </c>
      <c r="AU29" s="26">
        <f>'calc-Weights'!AU$2*'calc-Weights'!$B29*'calc-CovarMatrix'!AU29</f>
        <v>0</v>
      </c>
      <c r="AV29" s="26">
        <f>'calc-Weights'!AV$2*'calc-Weights'!$B29*'calc-CovarMatrix'!AV29</f>
        <v>0</v>
      </c>
    </row>
    <row r="30" spans="1:48" x14ac:dyDescent="0.2">
      <c r="A30" s="26" t="s">
        <v>106</v>
      </c>
      <c r="B30" s="26">
        <f>'calc-Weights'!B$2*'calc-Weights'!$B30*'calc-CovarMatrix'!B30</f>
        <v>0</v>
      </c>
      <c r="C30" s="26">
        <f>'calc-Weights'!C$2*'calc-Weights'!$B30*'calc-CovarMatrix'!C30</f>
        <v>0</v>
      </c>
      <c r="D30" s="26">
        <f>'calc-Weights'!D$2*'calc-Weights'!$B30*'calc-CovarMatrix'!D30</f>
        <v>0</v>
      </c>
      <c r="E30" s="26">
        <f>'calc-Weights'!E$2*'calc-Weights'!$B30*'calc-CovarMatrix'!E30</f>
        <v>0</v>
      </c>
      <c r="F30" s="26">
        <f>'calc-Weights'!F$2*'calc-Weights'!$B30*'calc-CovarMatrix'!F30</f>
        <v>0</v>
      </c>
      <c r="G30" s="26">
        <f>'calc-Weights'!G$2*'calc-Weights'!$B30*'calc-CovarMatrix'!G30</f>
        <v>0</v>
      </c>
      <c r="H30" s="26">
        <f>'calc-Weights'!H$2*'calc-Weights'!$B30*'calc-CovarMatrix'!H30</f>
        <v>0</v>
      </c>
      <c r="I30" s="26">
        <f>'calc-Weights'!I$2*'calc-Weights'!$B30*'calc-CovarMatrix'!I30</f>
        <v>0</v>
      </c>
      <c r="J30" s="26">
        <f>'calc-Weights'!J$2*'calc-Weights'!$B30*'calc-CovarMatrix'!J30</f>
        <v>0</v>
      </c>
      <c r="K30" s="26">
        <f>'calc-Weights'!K$2*'calc-Weights'!$B30*'calc-CovarMatrix'!K30</f>
        <v>0</v>
      </c>
      <c r="L30" s="26">
        <f>'calc-Weights'!L$2*'calc-Weights'!$B30*'calc-CovarMatrix'!L30</f>
        <v>0</v>
      </c>
      <c r="M30" s="26">
        <f>'calc-Weights'!M$2*'calc-Weights'!$B30*'calc-CovarMatrix'!M30</f>
        <v>0</v>
      </c>
      <c r="N30" s="26">
        <f>'calc-Weights'!N$2*'calc-Weights'!$B30*'calc-CovarMatrix'!N30</f>
        <v>0</v>
      </c>
      <c r="O30" s="26">
        <f>'calc-Weights'!O$2*'calc-Weights'!$B30*'calc-CovarMatrix'!O30</f>
        <v>0</v>
      </c>
      <c r="P30" s="26">
        <f>'calc-Weights'!P$2*'calc-Weights'!$B30*'calc-CovarMatrix'!P30</f>
        <v>0</v>
      </c>
      <c r="Q30" s="26">
        <f>'calc-Weights'!Q$2*'calc-Weights'!$B30*'calc-CovarMatrix'!Q30</f>
        <v>0</v>
      </c>
      <c r="R30" s="26">
        <f>'calc-Weights'!R$2*'calc-Weights'!$B30*'calc-CovarMatrix'!R30</f>
        <v>0</v>
      </c>
      <c r="S30" s="26">
        <f>'calc-Weights'!S$2*'calc-Weights'!$B30*'calc-CovarMatrix'!S30</f>
        <v>0</v>
      </c>
      <c r="T30" s="26">
        <f>'calc-Weights'!T$2*'calc-Weights'!$B30*'calc-CovarMatrix'!T30</f>
        <v>0</v>
      </c>
      <c r="U30" s="26">
        <f>'calc-Weights'!U$2*'calc-Weights'!$B30*'calc-CovarMatrix'!U30</f>
        <v>0</v>
      </c>
      <c r="V30" s="26">
        <f>'calc-Weights'!V$2*'calc-Weights'!$B30*'calc-CovarMatrix'!V30</f>
        <v>0</v>
      </c>
      <c r="W30" s="26">
        <f>'calc-Weights'!W$2*'calc-Weights'!$B30*'calc-CovarMatrix'!W30</f>
        <v>0</v>
      </c>
      <c r="X30" s="26">
        <f>'calc-Weights'!X$2*'calc-Weights'!$B30*'calc-CovarMatrix'!X30</f>
        <v>0</v>
      </c>
      <c r="Y30" s="26">
        <f>'calc-Weights'!Y$2*'calc-Weights'!$B30*'calc-CovarMatrix'!Y30</f>
        <v>0</v>
      </c>
      <c r="Z30" s="26">
        <f>'calc-Weights'!Z$2*'calc-Weights'!$B30*'calc-CovarMatrix'!Z30</f>
        <v>0</v>
      </c>
      <c r="AA30" s="26">
        <f>'calc-Weights'!AA$2*'calc-Weights'!$B30*'calc-CovarMatrix'!AA30</f>
        <v>0</v>
      </c>
      <c r="AB30" s="26">
        <f>'calc-Weights'!AB$2*'calc-Weights'!$B30*'calc-CovarMatrix'!AB30</f>
        <v>0</v>
      </c>
      <c r="AC30" s="26">
        <f>'calc-Weights'!AC$2*'calc-Weights'!$B30*'calc-CovarMatrix'!AC30</f>
        <v>0</v>
      </c>
      <c r="AD30" s="26">
        <f>'calc-Weights'!AD$2*'calc-Weights'!$B30*'calc-CovarMatrix'!AD30</f>
        <v>0</v>
      </c>
      <c r="AE30" s="26">
        <f>'calc-Weights'!AE$2*'calc-Weights'!$B30*'calc-CovarMatrix'!AE30</f>
        <v>0</v>
      </c>
      <c r="AF30" s="26">
        <f>'calc-Weights'!AF$2*'calc-Weights'!$B30*'calc-CovarMatrix'!AF30</f>
        <v>0</v>
      </c>
      <c r="AG30" s="26">
        <f>'calc-Weights'!AG$2*'calc-Weights'!$B30*'calc-CovarMatrix'!AG30</f>
        <v>0</v>
      </c>
      <c r="AH30" s="26">
        <f>'calc-Weights'!AH$2*'calc-Weights'!$B30*'calc-CovarMatrix'!AH30</f>
        <v>0</v>
      </c>
      <c r="AI30" s="26">
        <f>'calc-Weights'!AI$2*'calc-Weights'!$B30*'calc-CovarMatrix'!AI30</f>
        <v>0</v>
      </c>
      <c r="AJ30" s="26">
        <f>'calc-Weights'!AJ$2*'calc-Weights'!$B30*'calc-CovarMatrix'!AJ30</f>
        <v>0</v>
      </c>
      <c r="AK30" s="26">
        <f>'calc-Weights'!AK$2*'calc-Weights'!$B30*'calc-CovarMatrix'!AK30</f>
        <v>0</v>
      </c>
      <c r="AL30" s="26">
        <f>'calc-Weights'!AL$2*'calc-Weights'!$B30*'calc-CovarMatrix'!AL30</f>
        <v>0</v>
      </c>
      <c r="AM30" s="26">
        <f>'calc-Weights'!AM$2*'calc-Weights'!$B30*'calc-CovarMatrix'!AM30</f>
        <v>0</v>
      </c>
      <c r="AN30" s="26">
        <f>'calc-Weights'!AN$2*'calc-Weights'!$B30*'calc-CovarMatrix'!AN30</f>
        <v>0</v>
      </c>
      <c r="AO30" s="26">
        <f>'calc-Weights'!AO$2*'calc-Weights'!$B30*'calc-CovarMatrix'!AO30</f>
        <v>0</v>
      </c>
      <c r="AP30" s="26">
        <f>'calc-Weights'!AP$2*'calc-Weights'!$B30*'calc-CovarMatrix'!AP30</f>
        <v>0</v>
      </c>
      <c r="AQ30" s="26">
        <f>'calc-Weights'!AQ$2*'calc-Weights'!$B30*'calc-CovarMatrix'!AQ30</f>
        <v>0</v>
      </c>
      <c r="AR30" s="26">
        <f>'calc-Weights'!AR$2*'calc-Weights'!$B30*'calc-CovarMatrix'!AR30</f>
        <v>0</v>
      </c>
      <c r="AS30" s="26">
        <f>'calc-Weights'!AS$2*'calc-Weights'!$B30*'calc-CovarMatrix'!AS30</f>
        <v>0</v>
      </c>
      <c r="AT30" s="26">
        <f>'calc-Weights'!AT$2*'calc-Weights'!$B30*'calc-CovarMatrix'!AT30</f>
        <v>0</v>
      </c>
      <c r="AU30" s="26">
        <f>'calc-Weights'!AU$2*'calc-Weights'!$B30*'calc-CovarMatrix'!AU30</f>
        <v>0</v>
      </c>
      <c r="AV30" s="26">
        <f>'calc-Weights'!AV$2*'calc-Weights'!$B30*'calc-CovarMatrix'!AV30</f>
        <v>0</v>
      </c>
    </row>
    <row r="31" spans="1:48" x14ac:dyDescent="0.2">
      <c r="A31" s="26" t="s">
        <v>108</v>
      </c>
      <c r="B31" s="26">
        <f>'calc-Weights'!B$2*'calc-Weights'!$B31*'calc-CovarMatrix'!B31</f>
        <v>0</v>
      </c>
      <c r="C31" s="26">
        <f>'calc-Weights'!C$2*'calc-Weights'!$B31*'calc-CovarMatrix'!C31</f>
        <v>0</v>
      </c>
      <c r="D31" s="26">
        <f>'calc-Weights'!D$2*'calc-Weights'!$B31*'calc-CovarMatrix'!D31</f>
        <v>0</v>
      </c>
      <c r="E31" s="26">
        <f>'calc-Weights'!E$2*'calc-Weights'!$B31*'calc-CovarMatrix'!E31</f>
        <v>0</v>
      </c>
      <c r="F31" s="26">
        <f>'calc-Weights'!F$2*'calc-Weights'!$B31*'calc-CovarMatrix'!F31</f>
        <v>0</v>
      </c>
      <c r="G31" s="26">
        <f>'calc-Weights'!G$2*'calc-Weights'!$B31*'calc-CovarMatrix'!G31</f>
        <v>0</v>
      </c>
      <c r="H31" s="26">
        <f>'calc-Weights'!H$2*'calc-Weights'!$B31*'calc-CovarMatrix'!H31</f>
        <v>0</v>
      </c>
      <c r="I31" s="26">
        <f>'calc-Weights'!I$2*'calc-Weights'!$B31*'calc-CovarMatrix'!I31</f>
        <v>0</v>
      </c>
      <c r="J31" s="26">
        <f>'calc-Weights'!J$2*'calc-Weights'!$B31*'calc-CovarMatrix'!J31</f>
        <v>0</v>
      </c>
      <c r="K31" s="26">
        <f>'calc-Weights'!K$2*'calc-Weights'!$B31*'calc-CovarMatrix'!K31</f>
        <v>0</v>
      </c>
      <c r="L31" s="26">
        <f>'calc-Weights'!L$2*'calc-Weights'!$B31*'calc-CovarMatrix'!L31</f>
        <v>0</v>
      </c>
      <c r="M31" s="26">
        <f>'calc-Weights'!M$2*'calc-Weights'!$B31*'calc-CovarMatrix'!M31</f>
        <v>0</v>
      </c>
      <c r="N31" s="26">
        <f>'calc-Weights'!N$2*'calc-Weights'!$B31*'calc-CovarMatrix'!N31</f>
        <v>0</v>
      </c>
      <c r="O31" s="26">
        <f>'calc-Weights'!O$2*'calc-Weights'!$B31*'calc-CovarMatrix'!O31</f>
        <v>0</v>
      </c>
      <c r="P31" s="26">
        <f>'calc-Weights'!P$2*'calc-Weights'!$B31*'calc-CovarMatrix'!P31</f>
        <v>0</v>
      </c>
      <c r="Q31" s="26">
        <f>'calc-Weights'!Q$2*'calc-Weights'!$B31*'calc-CovarMatrix'!Q31</f>
        <v>0</v>
      </c>
      <c r="R31" s="26">
        <f>'calc-Weights'!R$2*'calc-Weights'!$B31*'calc-CovarMatrix'!R31</f>
        <v>0</v>
      </c>
      <c r="S31" s="26">
        <f>'calc-Weights'!S$2*'calc-Weights'!$B31*'calc-CovarMatrix'!S31</f>
        <v>0</v>
      </c>
      <c r="T31" s="26">
        <f>'calc-Weights'!T$2*'calc-Weights'!$B31*'calc-CovarMatrix'!T31</f>
        <v>0</v>
      </c>
      <c r="U31" s="26">
        <f>'calc-Weights'!U$2*'calc-Weights'!$B31*'calc-CovarMatrix'!U31</f>
        <v>0</v>
      </c>
      <c r="V31" s="26">
        <f>'calc-Weights'!V$2*'calc-Weights'!$B31*'calc-CovarMatrix'!V31</f>
        <v>0</v>
      </c>
      <c r="W31" s="26">
        <f>'calc-Weights'!W$2*'calc-Weights'!$B31*'calc-CovarMatrix'!W31</f>
        <v>0</v>
      </c>
      <c r="X31" s="26">
        <f>'calc-Weights'!X$2*'calc-Weights'!$B31*'calc-CovarMatrix'!X31</f>
        <v>0</v>
      </c>
      <c r="Y31" s="26">
        <f>'calc-Weights'!Y$2*'calc-Weights'!$B31*'calc-CovarMatrix'!Y31</f>
        <v>0</v>
      </c>
      <c r="Z31" s="26">
        <f>'calc-Weights'!Z$2*'calc-Weights'!$B31*'calc-CovarMatrix'!Z31</f>
        <v>0</v>
      </c>
      <c r="AA31" s="26">
        <f>'calc-Weights'!AA$2*'calc-Weights'!$B31*'calc-CovarMatrix'!AA31</f>
        <v>0</v>
      </c>
      <c r="AB31" s="26">
        <f>'calc-Weights'!AB$2*'calc-Weights'!$B31*'calc-CovarMatrix'!AB31</f>
        <v>0</v>
      </c>
      <c r="AC31" s="26">
        <f>'calc-Weights'!AC$2*'calc-Weights'!$B31*'calc-CovarMatrix'!AC31</f>
        <v>0</v>
      </c>
      <c r="AD31" s="26">
        <f>'calc-Weights'!AD$2*'calc-Weights'!$B31*'calc-CovarMatrix'!AD31</f>
        <v>0</v>
      </c>
      <c r="AE31" s="26">
        <f>'calc-Weights'!AE$2*'calc-Weights'!$B31*'calc-CovarMatrix'!AE31</f>
        <v>0</v>
      </c>
      <c r="AF31" s="26">
        <f>'calc-Weights'!AF$2*'calc-Weights'!$B31*'calc-CovarMatrix'!AF31</f>
        <v>0</v>
      </c>
      <c r="AG31" s="26">
        <f>'calc-Weights'!AG$2*'calc-Weights'!$B31*'calc-CovarMatrix'!AG31</f>
        <v>0</v>
      </c>
      <c r="AH31" s="26">
        <f>'calc-Weights'!AH$2*'calc-Weights'!$B31*'calc-CovarMatrix'!AH31</f>
        <v>0</v>
      </c>
      <c r="AI31" s="26">
        <f>'calc-Weights'!AI$2*'calc-Weights'!$B31*'calc-CovarMatrix'!AI31</f>
        <v>0</v>
      </c>
      <c r="AJ31" s="26">
        <f>'calc-Weights'!AJ$2*'calc-Weights'!$B31*'calc-CovarMatrix'!AJ31</f>
        <v>0</v>
      </c>
      <c r="AK31" s="26">
        <f>'calc-Weights'!AK$2*'calc-Weights'!$B31*'calc-CovarMatrix'!AK31</f>
        <v>0</v>
      </c>
      <c r="AL31" s="26">
        <f>'calc-Weights'!AL$2*'calc-Weights'!$B31*'calc-CovarMatrix'!AL31</f>
        <v>0</v>
      </c>
      <c r="AM31" s="26">
        <f>'calc-Weights'!AM$2*'calc-Weights'!$B31*'calc-CovarMatrix'!AM31</f>
        <v>0</v>
      </c>
      <c r="AN31" s="26">
        <f>'calc-Weights'!AN$2*'calc-Weights'!$B31*'calc-CovarMatrix'!AN31</f>
        <v>0</v>
      </c>
      <c r="AO31" s="26">
        <f>'calc-Weights'!AO$2*'calc-Weights'!$B31*'calc-CovarMatrix'!AO31</f>
        <v>0</v>
      </c>
      <c r="AP31" s="26">
        <f>'calc-Weights'!AP$2*'calc-Weights'!$B31*'calc-CovarMatrix'!AP31</f>
        <v>0</v>
      </c>
      <c r="AQ31" s="26">
        <f>'calc-Weights'!AQ$2*'calc-Weights'!$B31*'calc-CovarMatrix'!AQ31</f>
        <v>0</v>
      </c>
      <c r="AR31" s="26">
        <f>'calc-Weights'!AR$2*'calc-Weights'!$B31*'calc-CovarMatrix'!AR31</f>
        <v>0</v>
      </c>
      <c r="AS31" s="26">
        <f>'calc-Weights'!AS$2*'calc-Weights'!$B31*'calc-CovarMatrix'!AS31</f>
        <v>0</v>
      </c>
      <c r="AT31" s="26">
        <f>'calc-Weights'!AT$2*'calc-Weights'!$B31*'calc-CovarMatrix'!AT31</f>
        <v>0</v>
      </c>
      <c r="AU31" s="26">
        <f>'calc-Weights'!AU$2*'calc-Weights'!$B31*'calc-CovarMatrix'!AU31</f>
        <v>0</v>
      </c>
      <c r="AV31" s="26">
        <f>'calc-Weights'!AV$2*'calc-Weights'!$B31*'calc-CovarMatrix'!AV31</f>
        <v>0</v>
      </c>
    </row>
    <row r="32" spans="1:48" x14ac:dyDescent="0.2">
      <c r="A32" s="26" t="s">
        <v>109</v>
      </c>
      <c r="B32" s="26">
        <f>'calc-Weights'!B$2*'calc-Weights'!$B32*'calc-CovarMatrix'!B32</f>
        <v>0</v>
      </c>
      <c r="C32" s="26">
        <f>'calc-Weights'!C$2*'calc-Weights'!$B32*'calc-CovarMatrix'!C32</f>
        <v>0</v>
      </c>
      <c r="D32" s="26">
        <f>'calc-Weights'!D$2*'calc-Weights'!$B32*'calc-CovarMatrix'!D32</f>
        <v>0</v>
      </c>
      <c r="E32" s="26">
        <f>'calc-Weights'!E$2*'calc-Weights'!$B32*'calc-CovarMatrix'!E32</f>
        <v>0</v>
      </c>
      <c r="F32" s="26">
        <f>'calc-Weights'!F$2*'calc-Weights'!$B32*'calc-CovarMatrix'!F32</f>
        <v>0</v>
      </c>
      <c r="G32" s="26">
        <f>'calc-Weights'!G$2*'calc-Weights'!$B32*'calc-CovarMatrix'!G32</f>
        <v>0</v>
      </c>
      <c r="H32" s="26">
        <f>'calc-Weights'!H$2*'calc-Weights'!$B32*'calc-CovarMatrix'!H32</f>
        <v>0</v>
      </c>
      <c r="I32" s="26">
        <f>'calc-Weights'!I$2*'calc-Weights'!$B32*'calc-CovarMatrix'!I32</f>
        <v>0</v>
      </c>
      <c r="J32" s="26">
        <f>'calc-Weights'!J$2*'calc-Weights'!$B32*'calc-CovarMatrix'!J32</f>
        <v>0</v>
      </c>
      <c r="K32" s="26">
        <f>'calc-Weights'!K$2*'calc-Weights'!$B32*'calc-CovarMatrix'!K32</f>
        <v>0</v>
      </c>
      <c r="L32" s="26">
        <f>'calc-Weights'!L$2*'calc-Weights'!$B32*'calc-CovarMatrix'!L32</f>
        <v>0</v>
      </c>
      <c r="M32" s="26">
        <f>'calc-Weights'!M$2*'calc-Weights'!$B32*'calc-CovarMatrix'!M32</f>
        <v>0</v>
      </c>
      <c r="N32" s="26">
        <f>'calc-Weights'!N$2*'calc-Weights'!$B32*'calc-CovarMatrix'!N32</f>
        <v>0</v>
      </c>
      <c r="O32" s="26">
        <f>'calc-Weights'!O$2*'calc-Weights'!$B32*'calc-CovarMatrix'!O32</f>
        <v>0</v>
      </c>
      <c r="P32" s="26">
        <f>'calc-Weights'!P$2*'calc-Weights'!$B32*'calc-CovarMatrix'!P32</f>
        <v>0</v>
      </c>
      <c r="Q32" s="26">
        <f>'calc-Weights'!Q$2*'calc-Weights'!$B32*'calc-CovarMatrix'!Q32</f>
        <v>0</v>
      </c>
      <c r="R32" s="26">
        <f>'calc-Weights'!R$2*'calc-Weights'!$B32*'calc-CovarMatrix'!R32</f>
        <v>0</v>
      </c>
      <c r="S32" s="26">
        <f>'calc-Weights'!S$2*'calc-Weights'!$B32*'calc-CovarMatrix'!S32</f>
        <v>0</v>
      </c>
      <c r="T32" s="26">
        <f>'calc-Weights'!T$2*'calc-Weights'!$B32*'calc-CovarMatrix'!T32</f>
        <v>0</v>
      </c>
      <c r="U32" s="26">
        <f>'calc-Weights'!U$2*'calc-Weights'!$B32*'calc-CovarMatrix'!U32</f>
        <v>0</v>
      </c>
      <c r="V32" s="26">
        <f>'calc-Weights'!V$2*'calc-Weights'!$B32*'calc-CovarMatrix'!V32</f>
        <v>0</v>
      </c>
      <c r="W32" s="26">
        <f>'calc-Weights'!W$2*'calc-Weights'!$B32*'calc-CovarMatrix'!W32</f>
        <v>0</v>
      </c>
      <c r="X32" s="26">
        <f>'calc-Weights'!X$2*'calc-Weights'!$B32*'calc-CovarMatrix'!X32</f>
        <v>0</v>
      </c>
      <c r="Y32" s="26">
        <f>'calc-Weights'!Y$2*'calc-Weights'!$B32*'calc-CovarMatrix'!Y32</f>
        <v>0</v>
      </c>
      <c r="Z32" s="26">
        <f>'calc-Weights'!Z$2*'calc-Weights'!$B32*'calc-CovarMatrix'!Z32</f>
        <v>0</v>
      </c>
      <c r="AA32" s="26">
        <f>'calc-Weights'!AA$2*'calc-Weights'!$B32*'calc-CovarMatrix'!AA32</f>
        <v>0</v>
      </c>
      <c r="AB32" s="26">
        <f>'calc-Weights'!AB$2*'calc-Weights'!$B32*'calc-CovarMatrix'!AB32</f>
        <v>0</v>
      </c>
      <c r="AC32" s="26">
        <f>'calc-Weights'!AC$2*'calc-Weights'!$B32*'calc-CovarMatrix'!AC32</f>
        <v>0</v>
      </c>
      <c r="AD32" s="26">
        <f>'calc-Weights'!AD$2*'calc-Weights'!$B32*'calc-CovarMatrix'!AD32</f>
        <v>0</v>
      </c>
      <c r="AE32" s="26">
        <f>'calc-Weights'!AE$2*'calc-Weights'!$B32*'calc-CovarMatrix'!AE32</f>
        <v>0</v>
      </c>
      <c r="AF32" s="26">
        <f>'calc-Weights'!AF$2*'calc-Weights'!$B32*'calc-CovarMatrix'!AF32</f>
        <v>0</v>
      </c>
      <c r="AG32" s="26">
        <f>'calc-Weights'!AG$2*'calc-Weights'!$B32*'calc-CovarMatrix'!AG32</f>
        <v>0</v>
      </c>
      <c r="AH32" s="26">
        <f>'calc-Weights'!AH$2*'calc-Weights'!$B32*'calc-CovarMatrix'!AH32</f>
        <v>0</v>
      </c>
      <c r="AI32" s="26">
        <f>'calc-Weights'!AI$2*'calc-Weights'!$B32*'calc-CovarMatrix'!AI32</f>
        <v>0</v>
      </c>
      <c r="AJ32" s="26">
        <f>'calc-Weights'!AJ$2*'calc-Weights'!$B32*'calc-CovarMatrix'!AJ32</f>
        <v>0</v>
      </c>
      <c r="AK32" s="26">
        <f>'calc-Weights'!AK$2*'calc-Weights'!$B32*'calc-CovarMatrix'!AK32</f>
        <v>0</v>
      </c>
      <c r="AL32" s="26">
        <f>'calc-Weights'!AL$2*'calc-Weights'!$B32*'calc-CovarMatrix'!AL32</f>
        <v>0</v>
      </c>
      <c r="AM32" s="26">
        <f>'calc-Weights'!AM$2*'calc-Weights'!$B32*'calc-CovarMatrix'!AM32</f>
        <v>0</v>
      </c>
      <c r="AN32" s="26">
        <f>'calc-Weights'!AN$2*'calc-Weights'!$B32*'calc-CovarMatrix'!AN32</f>
        <v>0</v>
      </c>
      <c r="AO32" s="26">
        <f>'calc-Weights'!AO$2*'calc-Weights'!$B32*'calc-CovarMatrix'!AO32</f>
        <v>0</v>
      </c>
      <c r="AP32" s="26">
        <f>'calc-Weights'!AP$2*'calc-Weights'!$B32*'calc-CovarMatrix'!AP32</f>
        <v>0</v>
      </c>
      <c r="AQ32" s="26">
        <f>'calc-Weights'!AQ$2*'calc-Weights'!$B32*'calc-CovarMatrix'!AQ32</f>
        <v>0</v>
      </c>
      <c r="AR32" s="26">
        <f>'calc-Weights'!AR$2*'calc-Weights'!$B32*'calc-CovarMatrix'!AR32</f>
        <v>0</v>
      </c>
      <c r="AS32" s="26">
        <f>'calc-Weights'!AS$2*'calc-Weights'!$B32*'calc-CovarMatrix'!AS32</f>
        <v>0</v>
      </c>
      <c r="AT32" s="26">
        <f>'calc-Weights'!AT$2*'calc-Weights'!$B32*'calc-CovarMatrix'!AT32</f>
        <v>0</v>
      </c>
      <c r="AU32" s="26">
        <f>'calc-Weights'!AU$2*'calc-Weights'!$B32*'calc-CovarMatrix'!AU32</f>
        <v>0</v>
      </c>
      <c r="AV32" s="26">
        <f>'calc-Weights'!AV$2*'calc-Weights'!$B32*'calc-CovarMatrix'!AV32</f>
        <v>0</v>
      </c>
    </row>
    <row r="33" spans="1:48" x14ac:dyDescent="0.2">
      <c r="A33" s="26" t="s">
        <v>110</v>
      </c>
      <c r="B33" s="26">
        <f>'calc-Weights'!B$2*'calc-Weights'!$B33*'calc-CovarMatrix'!B33</f>
        <v>0</v>
      </c>
      <c r="C33" s="26">
        <f>'calc-Weights'!C$2*'calc-Weights'!$B33*'calc-CovarMatrix'!C33</f>
        <v>0</v>
      </c>
      <c r="D33" s="26">
        <f>'calc-Weights'!D$2*'calc-Weights'!$B33*'calc-CovarMatrix'!D33</f>
        <v>-1.6667700696885728E-8</v>
      </c>
      <c r="E33" s="26">
        <f>'calc-Weights'!E$2*'calc-Weights'!$B33*'calc-CovarMatrix'!E33</f>
        <v>0</v>
      </c>
      <c r="F33" s="26">
        <f>'calc-Weights'!F$2*'calc-Weights'!$B33*'calc-CovarMatrix'!F33</f>
        <v>0</v>
      </c>
      <c r="G33" s="26">
        <f>'calc-Weights'!G$2*'calc-Weights'!$B33*'calc-CovarMatrix'!G33</f>
        <v>0</v>
      </c>
      <c r="H33" s="26">
        <f>'calc-Weights'!H$2*'calc-Weights'!$B33*'calc-CovarMatrix'!H33</f>
        <v>0</v>
      </c>
      <c r="I33" s="26">
        <f>'calc-Weights'!I$2*'calc-Weights'!$B33*'calc-CovarMatrix'!I33</f>
        <v>-4.2249459835471464E-8</v>
      </c>
      <c r="J33" s="26">
        <f>'calc-Weights'!J$2*'calc-Weights'!$B33*'calc-CovarMatrix'!J33</f>
        <v>-1.7161076444075184E-9</v>
      </c>
      <c r="K33" s="26">
        <f>'calc-Weights'!K$2*'calc-Weights'!$B33*'calc-CovarMatrix'!K33</f>
        <v>0</v>
      </c>
      <c r="L33" s="26">
        <f>'calc-Weights'!L$2*'calc-Weights'!$B33*'calc-CovarMatrix'!L33</f>
        <v>0</v>
      </c>
      <c r="M33" s="26">
        <f>'calc-Weights'!M$2*'calc-Weights'!$B33*'calc-CovarMatrix'!M33</f>
        <v>8.7917927274716363E-9</v>
      </c>
      <c r="N33" s="26">
        <f>'calc-Weights'!N$2*'calc-Weights'!$B33*'calc-CovarMatrix'!N33</f>
        <v>0</v>
      </c>
      <c r="O33" s="26">
        <f>'calc-Weights'!O$2*'calc-Weights'!$B33*'calc-CovarMatrix'!O33</f>
        <v>0</v>
      </c>
      <c r="P33" s="26">
        <f>'calc-Weights'!P$2*'calc-Weights'!$B33*'calc-CovarMatrix'!P33</f>
        <v>0</v>
      </c>
      <c r="Q33" s="26">
        <f>'calc-Weights'!Q$2*'calc-Weights'!$B33*'calc-CovarMatrix'!Q33</f>
        <v>0</v>
      </c>
      <c r="R33" s="26">
        <f>'calc-Weights'!R$2*'calc-Weights'!$B33*'calc-CovarMatrix'!R33</f>
        <v>0</v>
      </c>
      <c r="S33" s="26">
        <f>'calc-Weights'!S$2*'calc-Weights'!$B33*'calc-CovarMatrix'!S33</f>
        <v>0</v>
      </c>
      <c r="T33" s="26">
        <f>'calc-Weights'!T$2*'calc-Weights'!$B33*'calc-CovarMatrix'!T33</f>
        <v>0</v>
      </c>
      <c r="U33" s="26">
        <f>'calc-Weights'!U$2*'calc-Weights'!$B33*'calc-CovarMatrix'!U33</f>
        <v>4.9118427192004927E-7</v>
      </c>
      <c r="V33" s="26">
        <f>'calc-Weights'!V$2*'calc-Weights'!$B33*'calc-CovarMatrix'!V33</f>
        <v>0</v>
      </c>
      <c r="W33" s="26">
        <f>'calc-Weights'!W$2*'calc-Weights'!$B33*'calc-CovarMatrix'!W33</f>
        <v>0</v>
      </c>
      <c r="X33" s="26">
        <f>'calc-Weights'!X$2*'calc-Weights'!$B33*'calc-CovarMatrix'!X33</f>
        <v>0</v>
      </c>
      <c r="Y33" s="26">
        <f>'calc-Weights'!Y$2*'calc-Weights'!$B33*'calc-CovarMatrix'!Y33</f>
        <v>0</v>
      </c>
      <c r="Z33" s="26">
        <f>'calc-Weights'!Z$2*'calc-Weights'!$B33*'calc-CovarMatrix'!Z33</f>
        <v>0</v>
      </c>
      <c r="AA33" s="26">
        <f>'calc-Weights'!AA$2*'calc-Weights'!$B33*'calc-CovarMatrix'!AA33</f>
        <v>0</v>
      </c>
      <c r="AB33" s="26">
        <f>'calc-Weights'!AB$2*'calc-Weights'!$B33*'calc-CovarMatrix'!AB33</f>
        <v>0</v>
      </c>
      <c r="AC33" s="26">
        <f>'calc-Weights'!AC$2*'calc-Weights'!$B33*'calc-CovarMatrix'!AC33</f>
        <v>0</v>
      </c>
      <c r="AD33" s="26">
        <f>'calc-Weights'!AD$2*'calc-Weights'!$B33*'calc-CovarMatrix'!AD33</f>
        <v>0</v>
      </c>
      <c r="AE33" s="26">
        <f>'calc-Weights'!AE$2*'calc-Weights'!$B33*'calc-CovarMatrix'!AE33</f>
        <v>0</v>
      </c>
      <c r="AF33" s="26">
        <f>'calc-Weights'!AF$2*'calc-Weights'!$B33*'calc-CovarMatrix'!AF33</f>
        <v>0</v>
      </c>
      <c r="AG33" s="26">
        <f>'calc-Weights'!AG$2*'calc-Weights'!$B33*'calc-CovarMatrix'!AG33</f>
        <v>8.7878681592769336E-8</v>
      </c>
      <c r="AH33" s="26">
        <f>'calc-Weights'!AH$2*'calc-Weights'!$B33*'calc-CovarMatrix'!AH33</f>
        <v>1.2582146767846301E-7</v>
      </c>
      <c r="AI33" s="26">
        <f>'calc-Weights'!AI$2*'calc-Weights'!$B33*'calc-CovarMatrix'!AI33</f>
        <v>0</v>
      </c>
      <c r="AJ33" s="26">
        <f>'calc-Weights'!AJ$2*'calc-Weights'!$B33*'calc-CovarMatrix'!AJ33</f>
        <v>1.1590027166891402E-6</v>
      </c>
      <c r="AK33" s="26">
        <f>'calc-Weights'!AK$2*'calc-Weights'!$B33*'calc-CovarMatrix'!AK33</f>
        <v>0</v>
      </c>
      <c r="AL33" s="26">
        <f>'calc-Weights'!AL$2*'calc-Weights'!$B33*'calc-CovarMatrix'!AL33</f>
        <v>0</v>
      </c>
      <c r="AM33" s="26">
        <f>'calc-Weights'!AM$2*'calc-Weights'!$B33*'calc-CovarMatrix'!AM33</f>
        <v>0</v>
      </c>
      <c r="AN33" s="26">
        <f>'calc-Weights'!AN$2*'calc-Weights'!$B33*'calc-CovarMatrix'!AN33</f>
        <v>0</v>
      </c>
      <c r="AO33" s="26">
        <f>'calc-Weights'!AO$2*'calc-Weights'!$B33*'calc-CovarMatrix'!AO33</f>
        <v>0</v>
      </c>
      <c r="AP33" s="26">
        <f>'calc-Weights'!AP$2*'calc-Weights'!$B33*'calc-CovarMatrix'!AP33</f>
        <v>2.1796470225357637E-7</v>
      </c>
      <c r="AQ33" s="26">
        <f>'calc-Weights'!AQ$2*'calc-Weights'!$B33*'calc-CovarMatrix'!AQ33</f>
        <v>0</v>
      </c>
      <c r="AR33" s="26">
        <f>'calc-Weights'!AR$2*'calc-Weights'!$B33*'calc-CovarMatrix'!AR33</f>
        <v>0</v>
      </c>
      <c r="AS33" s="26">
        <f>'calc-Weights'!AS$2*'calc-Weights'!$B33*'calc-CovarMatrix'!AS33</f>
        <v>0</v>
      </c>
      <c r="AT33" s="26">
        <f>'calc-Weights'!AT$2*'calc-Weights'!$B33*'calc-CovarMatrix'!AT33</f>
        <v>0</v>
      </c>
      <c r="AU33" s="26">
        <f>'calc-Weights'!AU$2*'calc-Weights'!$B33*'calc-CovarMatrix'!AU33</f>
        <v>0</v>
      </c>
      <c r="AV33" s="26">
        <f>'calc-Weights'!AV$2*'calc-Weights'!$B33*'calc-CovarMatrix'!AV33</f>
        <v>2.7949720894648803E-7</v>
      </c>
    </row>
    <row r="34" spans="1:48" x14ac:dyDescent="0.2">
      <c r="A34" s="26" t="s">
        <v>111</v>
      </c>
      <c r="B34" s="26">
        <f>'calc-Weights'!B$2*'calc-Weights'!$B34*'calc-CovarMatrix'!B34</f>
        <v>0</v>
      </c>
      <c r="C34" s="26">
        <f>'calc-Weights'!C$2*'calc-Weights'!$B34*'calc-CovarMatrix'!C34</f>
        <v>0</v>
      </c>
      <c r="D34" s="26">
        <f>'calc-Weights'!D$2*'calc-Weights'!$B34*'calc-CovarMatrix'!D34</f>
        <v>-2.5774193321119152E-8</v>
      </c>
      <c r="E34" s="26">
        <f>'calc-Weights'!E$2*'calc-Weights'!$B34*'calc-CovarMatrix'!E34</f>
        <v>0</v>
      </c>
      <c r="F34" s="26">
        <f>'calc-Weights'!F$2*'calc-Weights'!$B34*'calc-CovarMatrix'!F34</f>
        <v>0</v>
      </c>
      <c r="G34" s="26">
        <f>'calc-Weights'!G$2*'calc-Weights'!$B34*'calc-CovarMatrix'!G34</f>
        <v>0</v>
      </c>
      <c r="H34" s="26">
        <f>'calc-Weights'!H$2*'calc-Weights'!$B34*'calc-CovarMatrix'!H34</f>
        <v>0</v>
      </c>
      <c r="I34" s="26">
        <f>'calc-Weights'!I$2*'calc-Weights'!$B34*'calc-CovarMatrix'!I34</f>
        <v>-5.6557152404857797E-8</v>
      </c>
      <c r="J34" s="26">
        <f>'calc-Weights'!J$2*'calc-Weights'!$B34*'calc-CovarMatrix'!J34</f>
        <v>-3.769564689971322E-9</v>
      </c>
      <c r="K34" s="26">
        <f>'calc-Weights'!K$2*'calc-Weights'!$B34*'calc-CovarMatrix'!K34</f>
        <v>0</v>
      </c>
      <c r="L34" s="26">
        <f>'calc-Weights'!L$2*'calc-Weights'!$B34*'calc-CovarMatrix'!L34</f>
        <v>0</v>
      </c>
      <c r="M34" s="26">
        <f>'calc-Weights'!M$2*'calc-Weights'!$B34*'calc-CovarMatrix'!M34</f>
        <v>1.2578812386778268E-8</v>
      </c>
      <c r="N34" s="26">
        <f>'calc-Weights'!N$2*'calc-Weights'!$B34*'calc-CovarMatrix'!N34</f>
        <v>0</v>
      </c>
      <c r="O34" s="26">
        <f>'calc-Weights'!O$2*'calc-Weights'!$B34*'calc-CovarMatrix'!O34</f>
        <v>0</v>
      </c>
      <c r="P34" s="26">
        <f>'calc-Weights'!P$2*'calc-Weights'!$B34*'calc-CovarMatrix'!P34</f>
        <v>0</v>
      </c>
      <c r="Q34" s="26">
        <f>'calc-Weights'!Q$2*'calc-Weights'!$B34*'calc-CovarMatrix'!Q34</f>
        <v>0</v>
      </c>
      <c r="R34" s="26">
        <f>'calc-Weights'!R$2*'calc-Weights'!$B34*'calc-CovarMatrix'!R34</f>
        <v>0</v>
      </c>
      <c r="S34" s="26">
        <f>'calc-Weights'!S$2*'calc-Weights'!$B34*'calc-CovarMatrix'!S34</f>
        <v>0</v>
      </c>
      <c r="T34" s="26">
        <f>'calc-Weights'!T$2*'calc-Weights'!$B34*'calc-CovarMatrix'!T34</f>
        <v>0</v>
      </c>
      <c r="U34" s="26">
        <f>'calc-Weights'!U$2*'calc-Weights'!$B34*'calc-CovarMatrix'!U34</f>
        <v>7.2896855186475339E-7</v>
      </c>
      <c r="V34" s="26">
        <f>'calc-Weights'!V$2*'calc-Weights'!$B34*'calc-CovarMatrix'!V34</f>
        <v>0</v>
      </c>
      <c r="W34" s="26">
        <f>'calc-Weights'!W$2*'calc-Weights'!$B34*'calc-CovarMatrix'!W34</f>
        <v>0</v>
      </c>
      <c r="X34" s="26">
        <f>'calc-Weights'!X$2*'calc-Weights'!$B34*'calc-CovarMatrix'!X34</f>
        <v>0</v>
      </c>
      <c r="Y34" s="26">
        <f>'calc-Weights'!Y$2*'calc-Weights'!$B34*'calc-CovarMatrix'!Y34</f>
        <v>0</v>
      </c>
      <c r="Z34" s="26">
        <f>'calc-Weights'!Z$2*'calc-Weights'!$B34*'calc-CovarMatrix'!Z34</f>
        <v>0</v>
      </c>
      <c r="AA34" s="26">
        <f>'calc-Weights'!AA$2*'calc-Weights'!$B34*'calc-CovarMatrix'!AA34</f>
        <v>0</v>
      </c>
      <c r="AB34" s="26">
        <f>'calc-Weights'!AB$2*'calc-Weights'!$B34*'calc-CovarMatrix'!AB34</f>
        <v>0</v>
      </c>
      <c r="AC34" s="26">
        <f>'calc-Weights'!AC$2*'calc-Weights'!$B34*'calc-CovarMatrix'!AC34</f>
        <v>0</v>
      </c>
      <c r="AD34" s="26">
        <f>'calc-Weights'!AD$2*'calc-Weights'!$B34*'calc-CovarMatrix'!AD34</f>
        <v>0</v>
      </c>
      <c r="AE34" s="26">
        <f>'calc-Weights'!AE$2*'calc-Weights'!$B34*'calc-CovarMatrix'!AE34</f>
        <v>0</v>
      </c>
      <c r="AF34" s="26">
        <f>'calc-Weights'!AF$2*'calc-Weights'!$B34*'calc-CovarMatrix'!AF34</f>
        <v>0</v>
      </c>
      <c r="AG34" s="26">
        <f>'calc-Weights'!AG$2*'calc-Weights'!$B34*'calc-CovarMatrix'!AG34</f>
        <v>1.2582146767846301E-7</v>
      </c>
      <c r="AH34" s="26">
        <f>'calc-Weights'!AH$2*'calc-Weights'!$B34*'calc-CovarMatrix'!AH34</f>
        <v>1.907346849720326E-7</v>
      </c>
      <c r="AI34" s="26">
        <f>'calc-Weights'!AI$2*'calc-Weights'!$B34*'calc-CovarMatrix'!AI34</f>
        <v>0</v>
      </c>
      <c r="AJ34" s="26">
        <f>'calc-Weights'!AJ$2*'calc-Weights'!$B34*'calc-CovarMatrix'!AJ34</f>
        <v>1.5751544716843953E-6</v>
      </c>
      <c r="AK34" s="26">
        <f>'calc-Weights'!AK$2*'calc-Weights'!$B34*'calc-CovarMatrix'!AK34</f>
        <v>0</v>
      </c>
      <c r="AL34" s="26">
        <f>'calc-Weights'!AL$2*'calc-Weights'!$B34*'calc-CovarMatrix'!AL34</f>
        <v>0</v>
      </c>
      <c r="AM34" s="26">
        <f>'calc-Weights'!AM$2*'calc-Weights'!$B34*'calc-CovarMatrix'!AM34</f>
        <v>0</v>
      </c>
      <c r="AN34" s="26">
        <f>'calc-Weights'!AN$2*'calc-Weights'!$B34*'calc-CovarMatrix'!AN34</f>
        <v>0</v>
      </c>
      <c r="AO34" s="26">
        <f>'calc-Weights'!AO$2*'calc-Weights'!$B34*'calc-CovarMatrix'!AO34</f>
        <v>0</v>
      </c>
      <c r="AP34" s="26">
        <f>'calc-Weights'!AP$2*'calc-Weights'!$B34*'calc-CovarMatrix'!AP34</f>
        <v>3.047011057283882E-7</v>
      </c>
      <c r="AQ34" s="26">
        <f>'calc-Weights'!AQ$2*'calc-Weights'!$B34*'calc-CovarMatrix'!AQ34</f>
        <v>0</v>
      </c>
      <c r="AR34" s="26">
        <f>'calc-Weights'!AR$2*'calc-Weights'!$B34*'calc-CovarMatrix'!AR34</f>
        <v>0</v>
      </c>
      <c r="AS34" s="26">
        <f>'calc-Weights'!AS$2*'calc-Weights'!$B34*'calc-CovarMatrix'!AS34</f>
        <v>0</v>
      </c>
      <c r="AT34" s="26">
        <f>'calc-Weights'!AT$2*'calc-Weights'!$B34*'calc-CovarMatrix'!AT34</f>
        <v>0</v>
      </c>
      <c r="AU34" s="26">
        <f>'calc-Weights'!AU$2*'calc-Weights'!$B34*'calc-CovarMatrix'!AU34</f>
        <v>0</v>
      </c>
      <c r="AV34" s="26">
        <f>'calc-Weights'!AV$2*'calc-Weights'!$B34*'calc-CovarMatrix'!AV34</f>
        <v>3.5956000830663789E-7</v>
      </c>
    </row>
    <row r="35" spans="1:48" x14ac:dyDescent="0.2">
      <c r="A35" s="26" t="s">
        <v>112</v>
      </c>
      <c r="B35" s="26">
        <f>'calc-Weights'!B$2*'calc-Weights'!$B35*'calc-CovarMatrix'!B35</f>
        <v>0</v>
      </c>
      <c r="C35" s="26">
        <f>'calc-Weights'!C$2*'calc-Weights'!$B35*'calc-CovarMatrix'!C35</f>
        <v>0</v>
      </c>
      <c r="D35" s="26">
        <f>'calc-Weights'!D$2*'calc-Weights'!$B35*'calc-CovarMatrix'!D35</f>
        <v>0</v>
      </c>
      <c r="E35" s="26">
        <f>'calc-Weights'!E$2*'calc-Weights'!$B35*'calc-CovarMatrix'!E35</f>
        <v>0</v>
      </c>
      <c r="F35" s="26">
        <f>'calc-Weights'!F$2*'calc-Weights'!$B35*'calc-CovarMatrix'!F35</f>
        <v>0</v>
      </c>
      <c r="G35" s="26">
        <f>'calc-Weights'!G$2*'calc-Weights'!$B35*'calc-CovarMatrix'!G35</f>
        <v>0</v>
      </c>
      <c r="H35" s="26">
        <f>'calc-Weights'!H$2*'calc-Weights'!$B35*'calc-CovarMatrix'!H35</f>
        <v>0</v>
      </c>
      <c r="I35" s="26">
        <f>'calc-Weights'!I$2*'calc-Weights'!$B35*'calc-CovarMatrix'!I35</f>
        <v>0</v>
      </c>
      <c r="J35" s="26">
        <f>'calc-Weights'!J$2*'calc-Weights'!$B35*'calc-CovarMatrix'!J35</f>
        <v>0</v>
      </c>
      <c r="K35" s="26">
        <f>'calc-Weights'!K$2*'calc-Weights'!$B35*'calc-CovarMatrix'!K35</f>
        <v>0</v>
      </c>
      <c r="L35" s="26">
        <f>'calc-Weights'!L$2*'calc-Weights'!$B35*'calc-CovarMatrix'!L35</f>
        <v>0</v>
      </c>
      <c r="M35" s="26">
        <f>'calc-Weights'!M$2*'calc-Weights'!$B35*'calc-CovarMatrix'!M35</f>
        <v>0</v>
      </c>
      <c r="N35" s="26">
        <f>'calc-Weights'!N$2*'calc-Weights'!$B35*'calc-CovarMatrix'!N35</f>
        <v>0</v>
      </c>
      <c r="O35" s="26">
        <f>'calc-Weights'!O$2*'calc-Weights'!$B35*'calc-CovarMatrix'!O35</f>
        <v>0</v>
      </c>
      <c r="P35" s="26">
        <f>'calc-Weights'!P$2*'calc-Weights'!$B35*'calc-CovarMatrix'!P35</f>
        <v>0</v>
      </c>
      <c r="Q35" s="26">
        <f>'calc-Weights'!Q$2*'calc-Weights'!$B35*'calc-CovarMatrix'!Q35</f>
        <v>0</v>
      </c>
      <c r="R35" s="26">
        <f>'calc-Weights'!R$2*'calc-Weights'!$B35*'calc-CovarMatrix'!R35</f>
        <v>0</v>
      </c>
      <c r="S35" s="26">
        <f>'calc-Weights'!S$2*'calc-Weights'!$B35*'calc-CovarMatrix'!S35</f>
        <v>0</v>
      </c>
      <c r="T35" s="26">
        <f>'calc-Weights'!T$2*'calc-Weights'!$B35*'calc-CovarMatrix'!T35</f>
        <v>0</v>
      </c>
      <c r="U35" s="26">
        <f>'calc-Weights'!U$2*'calc-Weights'!$B35*'calc-CovarMatrix'!U35</f>
        <v>0</v>
      </c>
      <c r="V35" s="26">
        <f>'calc-Weights'!V$2*'calc-Weights'!$B35*'calc-CovarMatrix'!V35</f>
        <v>0</v>
      </c>
      <c r="W35" s="26">
        <f>'calc-Weights'!W$2*'calc-Weights'!$B35*'calc-CovarMatrix'!W35</f>
        <v>0</v>
      </c>
      <c r="X35" s="26">
        <f>'calc-Weights'!X$2*'calc-Weights'!$B35*'calc-CovarMatrix'!X35</f>
        <v>0</v>
      </c>
      <c r="Y35" s="26">
        <f>'calc-Weights'!Y$2*'calc-Weights'!$B35*'calc-CovarMatrix'!Y35</f>
        <v>0</v>
      </c>
      <c r="Z35" s="26">
        <f>'calc-Weights'!Z$2*'calc-Weights'!$B35*'calc-CovarMatrix'!Z35</f>
        <v>0</v>
      </c>
      <c r="AA35" s="26">
        <f>'calc-Weights'!AA$2*'calc-Weights'!$B35*'calc-CovarMatrix'!AA35</f>
        <v>0</v>
      </c>
      <c r="AB35" s="26">
        <f>'calc-Weights'!AB$2*'calc-Weights'!$B35*'calc-CovarMatrix'!AB35</f>
        <v>0</v>
      </c>
      <c r="AC35" s="26">
        <f>'calc-Weights'!AC$2*'calc-Weights'!$B35*'calc-CovarMatrix'!AC35</f>
        <v>0</v>
      </c>
      <c r="AD35" s="26">
        <f>'calc-Weights'!AD$2*'calc-Weights'!$B35*'calc-CovarMatrix'!AD35</f>
        <v>0</v>
      </c>
      <c r="AE35" s="26">
        <f>'calc-Weights'!AE$2*'calc-Weights'!$B35*'calc-CovarMatrix'!AE35</f>
        <v>0</v>
      </c>
      <c r="AF35" s="26">
        <f>'calc-Weights'!AF$2*'calc-Weights'!$B35*'calc-CovarMatrix'!AF35</f>
        <v>0</v>
      </c>
      <c r="AG35" s="26">
        <f>'calc-Weights'!AG$2*'calc-Weights'!$B35*'calc-CovarMatrix'!AG35</f>
        <v>0</v>
      </c>
      <c r="AH35" s="26">
        <f>'calc-Weights'!AH$2*'calc-Weights'!$B35*'calc-CovarMatrix'!AH35</f>
        <v>0</v>
      </c>
      <c r="AI35" s="26">
        <f>'calc-Weights'!AI$2*'calc-Weights'!$B35*'calc-CovarMatrix'!AI35</f>
        <v>0</v>
      </c>
      <c r="AJ35" s="26">
        <f>'calc-Weights'!AJ$2*'calc-Weights'!$B35*'calc-CovarMatrix'!AJ35</f>
        <v>0</v>
      </c>
      <c r="AK35" s="26">
        <f>'calc-Weights'!AK$2*'calc-Weights'!$B35*'calc-CovarMatrix'!AK35</f>
        <v>0</v>
      </c>
      <c r="AL35" s="26">
        <f>'calc-Weights'!AL$2*'calc-Weights'!$B35*'calc-CovarMatrix'!AL35</f>
        <v>0</v>
      </c>
      <c r="AM35" s="26">
        <f>'calc-Weights'!AM$2*'calc-Weights'!$B35*'calc-CovarMatrix'!AM35</f>
        <v>0</v>
      </c>
      <c r="AN35" s="26">
        <f>'calc-Weights'!AN$2*'calc-Weights'!$B35*'calc-CovarMatrix'!AN35</f>
        <v>0</v>
      </c>
      <c r="AO35" s="26">
        <f>'calc-Weights'!AO$2*'calc-Weights'!$B35*'calc-CovarMatrix'!AO35</f>
        <v>0</v>
      </c>
      <c r="AP35" s="26">
        <f>'calc-Weights'!AP$2*'calc-Weights'!$B35*'calc-CovarMatrix'!AP35</f>
        <v>0</v>
      </c>
      <c r="AQ35" s="26">
        <f>'calc-Weights'!AQ$2*'calc-Weights'!$B35*'calc-CovarMatrix'!AQ35</f>
        <v>0</v>
      </c>
      <c r="AR35" s="26">
        <f>'calc-Weights'!AR$2*'calc-Weights'!$B35*'calc-CovarMatrix'!AR35</f>
        <v>0</v>
      </c>
      <c r="AS35" s="26">
        <f>'calc-Weights'!AS$2*'calc-Weights'!$B35*'calc-CovarMatrix'!AS35</f>
        <v>0</v>
      </c>
      <c r="AT35" s="26">
        <f>'calc-Weights'!AT$2*'calc-Weights'!$B35*'calc-CovarMatrix'!AT35</f>
        <v>0</v>
      </c>
      <c r="AU35" s="26">
        <f>'calc-Weights'!AU$2*'calc-Weights'!$B35*'calc-CovarMatrix'!AU35</f>
        <v>0</v>
      </c>
      <c r="AV35" s="26">
        <f>'calc-Weights'!AV$2*'calc-Weights'!$B35*'calc-CovarMatrix'!AV35</f>
        <v>0</v>
      </c>
    </row>
    <row r="36" spans="1:48" x14ac:dyDescent="0.2">
      <c r="A36" s="26" t="s">
        <v>113</v>
      </c>
      <c r="B36" s="26">
        <f>'calc-Weights'!B$2*'calc-Weights'!$B36*'calc-CovarMatrix'!B36</f>
        <v>0</v>
      </c>
      <c r="C36" s="26">
        <f>'calc-Weights'!C$2*'calc-Weights'!$B36*'calc-CovarMatrix'!C36</f>
        <v>0</v>
      </c>
      <c r="D36" s="26">
        <f>'calc-Weights'!D$2*'calc-Weights'!$B36*'calc-CovarMatrix'!D36</f>
        <v>6.8468206479706609E-8</v>
      </c>
      <c r="E36" s="26">
        <f>'calc-Weights'!E$2*'calc-Weights'!$B36*'calc-CovarMatrix'!E36</f>
        <v>0</v>
      </c>
      <c r="F36" s="26">
        <f>'calc-Weights'!F$2*'calc-Weights'!$B36*'calc-CovarMatrix'!F36</f>
        <v>0</v>
      </c>
      <c r="G36" s="26">
        <f>'calc-Weights'!G$2*'calc-Weights'!$B36*'calc-CovarMatrix'!G36</f>
        <v>0</v>
      </c>
      <c r="H36" s="26">
        <f>'calc-Weights'!H$2*'calc-Weights'!$B36*'calc-CovarMatrix'!H36</f>
        <v>0</v>
      </c>
      <c r="I36" s="26">
        <f>'calc-Weights'!I$2*'calc-Weights'!$B36*'calc-CovarMatrix'!I36</f>
        <v>6.40782650785256E-7</v>
      </c>
      <c r="J36" s="26">
        <f>'calc-Weights'!J$2*'calc-Weights'!$B36*'calc-CovarMatrix'!J36</f>
        <v>1.3849692258929279E-7</v>
      </c>
      <c r="K36" s="26">
        <f>'calc-Weights'!K$2*'calc-Weights'!$B36*'calc-CovarMatrix'!K36</f>
        <v>0</v>
      </c>
      <c r="L36" s="26">
        <f>'calc-Weights'!L$2*'calc-Weights'!$B36*'calc-CovarMatrix'!L36</f>
        <v>0</v>
      </c>
      <c r="M36" s="26">
        <f>'calc-Weights'!M$2*'calc-Weights'!$B36*'calc-CovarMatrix'!M36</f>
        <v>1.9037645254646279E-7</v>
      </c>
      <c r="N36" s="26">
        <f>'calc-Weights'!N$2*'calc-Weights'!$B36*'calc-CovarMatrix'!N36</f>
        <v>0</v>
      </c>
      <c r="O36" s="26">
        <f>'calc-Weights'!O$2*'calc-Weights'!$B36*'calc-CovarMatrix'!O36</f>
        <v>0</v>
      </c>
      <c r="P36" s="26">
        <f>'calc-Weights'!P$2*'calc-Weights'!$B36*'calc-CovarMatrix'!P36</f>
        <v>0</v>
      </c>
      <c r="Q36" s="26">
        <f>'calc-Weights'!Q$2*'calc-Weights'!$B36*'calc-CovarMatrix'!Q36</f>
        <v>0</v>
      </c>
      <c r="R36" s="26">
        <f>'calc-Weights'!R$2*'calc-Weights'!$B36*'calc-CovarMatrix'!R36</f>
        <v>0</v>
      </c>
      <c r="S36" s="26">
        <f>'calc-Weights'!S$2*'calc-Weights'!$B36*'calc-CovarMatrix'!S36</f>
        <v>0</v>
      </c>
      <c r="T36" s="26">
        <f>'calc-Weights'!T$2*'calc-Weights'!$B36*'calc-CovarMatrix'!T36</f>
        <v>0</v>
      </c>
      <c r="U36" s="26">
        <f>'calc-Weights'!U$2*'calc-Weights'!$B36*'calc-CovarMatrix'!U36</f>
        <v>5.5943364340450746E-6</v>
      </c>
      <c r="V36" s="26">
        <f>'calc-Weights'!V$2*'calc-Weights'!$B36*'calc-CovarMatrix'!V36</f>
        <v>0</v>
      </c>
      <c r="W36" s="26">
        <f>'calc-Weights'!W$2*'calc-Weights'!$B36*'calc-CovarMatrix'!W36</f>
        <v>0</v>
      </c>
      <c r="X36" s="26">
        <f>'calc-Weights'!X$2*'calc-Weights'!$B36*'calc-CovarMatrix'!X36</f>
        <v>0</v>
      </c>
      <c r="Y36" s="26">
        <f>'calc-Weights'!Y$2*'calc-Weights'!$B36*'calc-CovarMatrix'!Y36</f>
        <v>0</v>
      </c>
      <c r="Z36" s="26">
        <f>'calc-Weights'!Z$2*'calc-Weights'!$B36*'calc-CovarMatrix'!Z36</f>
        <v>0</v>
      </c>
      <c r="AA36" s="26">
        <f>'calc-Weights'!AA$2*'calc-Weights'!$B36*'calc-CovarMatrix'!AA36</f>
        <v>0</v>
      </c>
      <c r="AB36" s="26">
        <f>'calc-Weights'!AB$2*'calc-Weights'!$B36*'calc-CovarMatrix'!AB36</f>
        <v>0</v>
      </c>
      <c r="AC36" s="26">
        <f>'calc-Weights'!AC$2*'calc-Weights'!$B36*'calc-CovarMatrix'!AC36</f>
        <v>0</v>
      </c>
      <c r="AD36" s="26">
        <f>'calc-Weights'!AD$2*'calc-Weights'!$B36*'calc-CovarMatrix'!AD36</f>
        <v>0</v>
      </c>
      <c r="AE36" s="26">
        <f>'calc-Weights'!AE$2*'calc-Weights'!$B36*'calc-CovarMatrix'!AE36</f>
        <v>0</v>
      </c>
      <c r="AF36" s="26">
        <f>'calc-Weights'!AF$2*'calc-Weights'!$B36*'calc-CovarMatrix'!AF36</f>
        <v>0</v>
      </c>
      <c r="AG36" s="26">
        <f>'calc-Weights'!AG$2*'calc-Weights'!$B36*'calc-CovarMatrix'!AG36</f>
        <v>1.1590027166891402E-6</v>
      </c>
      <c r="AH36" s="26">
        <f>'calc-Weights'!AH$2*'calc-Weights'!$B36*'calc-CovarMatrix'!AH36</f>
        <v>1.5751544716843953E-6</v>
      </c>
      <c r="AI36" s="26">
        <f>'calc-Weights'!AI$2*'calc-Weights'!$B36*'calc-CovarMatrix'!AI36</f>
        <v>0</v>
      </c>
      <c r="AJ36" s="26">
        <f>'calc-Weights'!AJ$2*'calc-Weights'!$B36*'calc-CovarMatrix'!AJ36</f>
        <v>2.0811963148339947E-5</v>
      </c>
      <c r="AK36" s="26">
        <f>'calc-Weights'!AK$2*'calc-Weights'!$B36*'calc-CovarMatrix'!AK36</f>
        <v>0</v>
      </c>
      <c r="AL36" s="26">
        <f>'calc-Weights'!AL$2*'calc-Weights'!$B36*'calc-CovarMatrix'!AL36</f>
        <v>0</v>
      </c>
      <c r="AM36" s="26">
        <f>'calc-Weights'!AM$2*'calc-Weights'!$B36*'calc-CovarMatrix'!AM36</f>
        <v>0</v>
      </c>
      <c r="AN36" s="26">
        <f>'calc-Weights'!AN$2*'calc-Weights'!$B36*'calc-CovarMatrix'!AN36</f>
        <v>0</v>
      </c>
      <c r="AO36" s="26">
        <f>'calc-Weights'!AO$2*'calc-Weights'!$B36*'calc-CovarMatrix'!AO36</f>
        <v>0</v>
      </c>
      <c r="AP36" s="26">
        <f>'calc-Weights'!AP$2*'calc-Weights'!$B36*'calc-CovarMatrix'!AP36</f>
        <v>2.5811450374943212E-6</v>
      </c>
      <c r="AQ36" s="26">
        <f>'calc-Weights'!AQ$2*'calc-Weights'!$B36*'calc-CovarMatrix'!AQ36</f>
        <v>0</v>
      </c>
      <c r="AR36" s="26">
        <f>'calc-Weights'!AR$2*'calc-Weights'!$B36*'calc-CovarMatrix'!AR36</f>
        <v>0</v>
      </c>
      <c r="AS36" s="26">
        <f>'calc-Weights'!AS$2*'calc-Weights'!$B36*'calc-CovarMatrix'!AS36</f>
        <v>0</v>
      </c>
      <c r="AT36" s="26">
        <f>'calc-Weights'!AT$2*'calc-Weights'!$B36*'calc-CovarMatrix'!AT36</f>
        <v>0</v>
      </c>
      <c r="AU36" s="26">
        <f>'calc-Weights'!AU$2*'calc-Weights'!$B36*'calc-CovarMatrix'!AU36</f>
        <v>0</v>
      </c>
      <c r="AV36" s="26">
        <f>'calc-Weights'!AV$2*'calc-Weights'!$B36*'calc-CovarMatrix'!AV36</f>
        <v>6.9032756346675932E-6</v>
      </c>
    </row>
    <row r="37" spans="1:48" x14ac:dyDescent="0.2">
      <c r="A37" s="26" t="s">
        <v>116</v>
      </c>
      <c r="B37" s="26">
        <f>'calc-Weights'!B$2*'calc-Weights'!$B37*'calc-CovarMatrix'!B37</f>
        <v>0</v>
      </c>
      <c r="C37" s="26">
        <f>'calc-Weights'!C$2*'calc-Weights'!$B37*'calc-CovarMatrix'!C37</f>
        <v>0</v>
      </c>
      <c r="D37" s="26">
        <f>'calc-Weights'!D$2*'calc-Weights'!$B37*'calc-CovarMatrix'!D37</f>
        <v>0</v>
      </c>
      <c r="E37" s="26">
        <f>'calc-Weights'!E$2*'calc-Weights'!$B37*'calc-CovarMatrix'!E37</f>
        <v>0</v>
      </c>
      <c r="F37" s="26">
        <f>'calc-Weights'!F$2*'calc-Weights'!$B37*'calc-CovarMatrix'!F37</f>
        <v>0</v>
      </c>
      <c r="G37" s="26">
        <f>'calc-Weights'!G$2*'calc-Weights'!$B37*'calc-CovarMatrix'!G37</f>
        <v>0</v>
      </c>
      <c r="H37" s="26">
        <f>'calc-Weights'!H$2*'calc-Weights'!$B37*'calc-CovarMatrix'!H37</f>
        <v>0</v>
      </c>
      <c r="I37" s="26">
        <f>'calc-Weights'!I$2*'calc-Weights'!$B37*'calc-CovarMatrix'!I37</f>
        <v>0</v>
      </c>
      <c r="J37" s="26">
        <f>'calc-Weights'!J$2*'calc-Weights'!$B37*'calc-CovarMatrix'!J37</f>
        <v>0</v>
      </c>
      <c r="K37" s="26">
        <f>'calc-Weights'!K$2*'calc-Weights'!$B37*'calc-CovarMatrix'!K37</f>
        <v>0</v>
      </c>
      <c r="L37" s="26">
        <f>'calc-Weights'!L$2*'calc-Weights'!$B37*'calc-CovarMatrix'!L37</f>
        <v>0</v>
      </c>
      <c r="M37" s="26">
        <f>'calc-Weights'!M$2*'calc-Weights'!$B37*'calc-CovarMatrix'!M37</f>
        <v>0</v>
      </c>
      <c r="N37" s="26">
        <f>'calc-Weights'!N$2*'calc-Weights'!$B37*'calc-CovarMatrix'!N37</f>
        <v>0</v>
      </c>
      <c r="O37" s="26">
        <f>'calc-Weights'!O$2*'calc-Weights'!$B37*'calc-CovarMatrix'!O37</f>
        <v>0</v>
      </c>
      <c r="P37" s="26">
        <f>'calc-Weights'!P$2*'calc-Weights'!$B37*'calc-CovarMatrix'!P37</f>
        <v>0</v>
      </c>
      <c r="Q37" s="26">
        <f>'calc-Weights'!Q$2*'calc-Weights'!$B37*'calc-CovarMatrix'!Q37</f>
        <v>0</v>
      </c>
      <c r="R37" s="26">
        <f>'calc-Weights'!R$2*'calc-Weights'!$B37*'calc-CovarMatrix'!R37</f>
        <v>0</v>
      </c>
      <c r="S37" s="26">
        <f>'calc-Weights'!S$2*'calc-Weights'!$B37*'calc-CovarMatrix'!S37</f>
        <v>0</v>
      </c>
      <c r="T37" s="26">
        <f>'calc-Weights'!T$2*'calc-Weights'!$B37*'calc-CovarMatrix'!T37</f>
        <v>0</v>
      </c>
      <c r="U37" s="26">
        <f>'calc-Weights'!U$2*'calc-Weights'!$B37*'calc-CovarMatrix'!U37</f>
        <v>0</v>
      </c>
      <c r="V37" s="26">
        <f>'calc-Weights'!V$2*'calc-Weights'!$B37*'calc-CovarMatrix'!V37</f>
        <v>0</v>
      </c>
      <c r="W37" s="26">
        <f>'calc-Weights'!W$2*'calc-Weights'!$B37*'calc-CovarMatrix'!W37</f>
        <v>0</v>
      </c>
      <c r="X37" s="26">
        <f>'calc-Weights'!X$2*'calc-Weights'!$B37*'calc-CovarMatrix'!X37</f>
        <v>0</v>
      </c>
      <c r="Y37" s="26">
        <f>'calc-Weights'!Y$2*'calc-Weights'!$B37*'calc-CovarMatrix'!Y37</f>
        <v>0</v>
      </c>
      <c r="Z37" s="26">
        <f>'calc-Weights'!Z$2*'calc-Weights'!$B37*'calc-CovarMatrix'!Z37</f>
        <v>0</v>
      </c>
      <c r="AA37" s="26">
        <f>'calc-Weights'!AA$2*'calc-Weights'!$B37*'calc-CovarMatrix'!AA37</f>
        <v>0</v>
      </c>
      <c r="AB37" s="26">
        <f>'calc-Weights'!AB$2*'calc-Weights'!$B37*'calc-CovarMatrix'!AB37</f>
        <v>0</v>
      </c>
      <c r="AC37" s="26">
        <f>'calc-Weights'!AC$2*'calc-Weights'!$B37*'calc-CovarMatrix'!AC37</f>
        <v>0</v>
      </c>
      <c r="AD37" s="26">
        <f>'calc-Weights'!AD$2*'calc-Weights'!$B37*'calc-CovarMatrix'!AD37</f>
        <v>0</v>
      </c>
      <c r="AE37" s="26">
        <f>'calc-Weights'!AE$2*'calc-Weights'!$B37*'calc-CovarMatrix'!AE37</f>
        <v>0</v>
      </c>
      <c r="AF37" s="26">
        <f>'calc-Weights'!AF$2*'calc-Weights'!$B37*'calc-CovarMatrix'!AF37</f>
        <v>0</v>
      </c>
      <c r="AG37" s="26">
        <f>'calc-Weights'!AG$2*'calc-Weights'!$B37*'calc-CovarMatrix'!AG37</f>
        <v>0</v>
      </c>
      <c r="AH37" s="26">
        <f>'calc-Weights'!AH$2*'calc-Weights'!$B37*'calc-CovarMatrix'!AH37</f>
        <v>0</v>
      </c>
      <c r="AI37" s="26">
        <f>'calc-Weights'!AI$2*'calc-Weights'!$B37*'calc-CovarMatrix'!AI37</f>
        <v>0</v>
      </c>
      <c r="AJ37" s="26">
        <f>'calc-Weights'!AJ$2*'calc-Weights'!$B37*'calc-CovarMatrix'!AJ37</f>
        <v>0</v>
      </c>
      <c r="AK37" s="26">
        <f>'calc-Weights'!AK$2*'calc-Weights'!$B37*'calc-CovarMatrix'!AK37</f>
        <v>0</v>
      </c>
      <c r="AL37" s="26">
        <f>'calc-Weights'!AL$2*'calc-Weights'!$B37*'calc-CovarMatrix'!AL37</f>
        <v>0</v>
      </c>
      <c r="AM37" s="26">
        <f>'calc-Weights'!AM$2*'calc-Weights'!$B37*'calc-CovarMatrix'!AM37</f>
        <v>0</v>
      </c>
      <c r="AN37" s="26">
        <f>'calc-Weights'!AN$2*'calc-Weights'!$B37*'calc-CovarMatrix'!AN37</f>
        <v>0</v>
      </c>
      <c r="AO37" s="26">
        <f>'calc-Weights'!AO$2*'calc-Weights'!$B37*'calc-CovarMatrix'!AO37</f>
        <v>0</v>
      </c>
      <c r="AP37" s="26">
        <f>'calc-Weights'!AP$2*'calc-Weights'!$B37*'calc-CovarMatrix'!AP37</f>
        <v>0</v>
      </c>
      <c r="AQ37" s="26">
        <f>'calc-Weights'!AQ$2*'calc-Weights'!$B37*'calc-CovarMatrix'!AQ37</f>
        <v>0</v>
      </c>
      <c r="AR37" s="26">
        <f>'calc-Weights'!AR$2*'calc-Weights'!$B37*'calc-CovarMatrix'!AR37</f>
        <v>0</v>
      </c>
      <c r="AS37" s="26">
        <f>'calc-Weights'!AS$2*'calc-Weights'!$B37*'calc-CovarMatrix'!AS37</f>
        <v>0</v>
      </c>
      <c r="AT37" s="26">
        <f>'calc-Weights'!AT$2*'calc-Weights'!$B37*'calc-CovarMatrix'!AT37</f>
        <v>0</v>
      </c>
      <c r="AU37" s="26">
        <f>'calc-Weights'!AU$2*'calc-Weights'!$B37*'calc-CovarMatrix'!AU37</f>
        <v>0</v>
      </c>
      <c r="AV37" s="26">
        <f>'calc-Weights'!AV$2*'calc-Weights'!$B37*'calc-CovarMatrix'!AV37</f>
        <v>0</v>
      </c>
    </row>
    <row r="38" spans="1:48" x14ac:dyDescent="0.2">
      <c r="A38" s="26" t="s">
        <v>117</v>
      </c>
      <c r="B38" s="26">
        <f>'calc-Weights'!B$2*'calc-Weights'!$B38*'calc-CovarMatrix'!B38</f>
        <v>0</v>
      </c>
      <c r="C38" s="26">
        <f>'calc-Weights'!C$2*'calc-Weights'!$B38*'calc-CovarMatrix'!C38</f>
        <v>0</v>
      </c>
      <c r="D38" s="26">
        <f>'calc-Weights'!D$2*'calc-Weights'!$B38*'calc-CovarMatrix'!D38</f>
        <v>0</v>
      </c>
      <c r="E38" s="26">
        <f>'calc-Weights'!E$2*'calc-Weights'!$B38*'calc-CovarMatrix'!E38</f>
        <v>0</v>
      </c>
      <c r="F38" s="26">
        <f>'calc-Weights'!F$2*'calc-Weights'!$B38*'calc-CovarMatrix'!F38</f>
        <v>0</v>
      </c>
      <c r="G38" s="26">
        <f>'calc-Weights'!G$2*'calc-Weights'!$B38*'calc-CovarMatrix'!G38</f>
        <v>0</v>
      </c>
      <c r="H38" s="26">
        <f>'calc-Weights'!H$2*'calc-Weights'!$B38*'calc-CovarMatrix'!H38</f>
        <v>0</v>
      </c>
      <c r="I38" s="26">
        <f>'calc-Weights'!I$2*'calc-Weights'!$B38*'calc-CovarMatrix'!I38</f>
        <v>0</v>
      </c>
      <c r="J38" s="26">
        <f>'calc-Weights'!J$2*'calc-Weights'!$B38*'calc-CovarMatrix'!J38</f>
        <v>0</v>
      </c>
      <c r="K38" s="26">
        <f>'calc-Weights'!K$2*'calc-Weights'!$B38*'calc-CovarMatrix'!K38</f>
        <v>0</v>
      </c>
      <c r="L38" s="26">
        <f>'calc-Weights'!L$2*'calc-Weights'!$B38*'calc-CovarMatrix'!L38</f>
        <v>0</v>
      </c>
      <c r="M38" s="26">
        <f>'calc-Weights'!M$2*'calc-Weights'!$B38*'calc-CovarMatrix'!M38</f>
        <v>0</v>
      </c>
      <c r="N38" s="26">
        <f>'calc-Weights'!N$2*'calc-Weights'!$B38*'calc-CovarMatrix'!N38</f>
        <v>0</v>
      </c>
      <c r="O38" s="26">
        <f>'calc-Weights'!O$2*'calc-Weights'!$B38*'calc-CovarMatrix'!O38</f>
        <v>0</v>
      </c>
      <c r="P38" s="26">
        <f>'calc-Weights'!P$2*'calc-Weights'!$B38*'calc-CovarMatrix'!P38</f>
        <v>0</v>
      </c>
      <c r="Q38" s="26">
        <f>'calc-Weights'!Q$2*'calc-Weights'!$B38*'calc-CovarMatrix'!Q38</f>
        <v>0</v>
      </c>
      <c r="R38" s="26">
        <f>'calc-Weights'!R$2*'calc-Weights'!$B38*'calc-CovarMatrix'!R38</f>
        <v>0</v>
      </c>
      <c r="S38" s="26">
        <f>'calc-Weights'!S$2*'calc-Weights'!$B38*'calc-CovarMatrix'!S38</f>
        <v>0</v>
      </c>
      <c r="T38" s="26">
        <f>'calc-Weights'!T$2*'calc-Weights'!$B38*'calc-CovarMatrix'!T38</f>
        <v>0</v>
      </c>
      <c r="U38" s="26">
        <f>'calc-Weights'!U$2*'calc-Weights'!$B38*'calc-CovarMatrix'!U38</f>
        <v>0</v>
      </c>
      <c r="V38" s="26">
        <f>'calc-Weights'!V$2*'calc-Weights'!$B38*'calc-CovarMatrix'!V38</f>
        <v>0</v>
      </c>
      <c r="W38" s="26">
        <f>'calc-Weights'!W$2*'calc-Weights'!$B38*'calc-CovarMatrix'!W38</f>
        <v>0</v>
      </c>
      <c r="X38" s="26">
        <f>'calc-Weights'!X$2*'calc-Weights'!$B38*'calc-CovarMatrix'!X38</f>
        <v>0</v>
      </c>
      <c r="Y38" s="26">
        <f>'calc-Weights'!Y$2*'calc-Weights'!$B38*'calc-CovarMatrix'!Y38</f>
        <v>0</v>
      </c>
      <c r="Z38" s="26">
        <f>'calc-Weights'!Z$2*'calc-Weights'!$B38*'calc-CovarMatrix'!Z38</f>
        <v>0</v>
      </c>
      <c r="AA38" s="26">
        <f>'calc-Weights'!AA$2*'calc-Weights'!$B38*'calc-CovarMatrix'!AA38</f>
        <v>0</v>
      </c>
      <c r="AB38" s="26">
        <f>'calc-Weights'!AB$2*'calc-Weights'!$B38*'calc-CovarMatrix'!AB38</f>
        <v>0</v>
      </c>
      <c r="AC38" s="26">
        <f>'calc-Weights'!AC$2*'calc-Weights'!$B38*'calc-CovarMatrix'!AC38</f>
        <v>0</v>
      </c>
      <c r="AD38" s="26">
        <f>'calc-Weights'!AD$2*'calc-Weights'!$B38*'calc-CovarMatrix'!AD38</f>
        <v>0</v>
      </c>
      <c r="AE38" s="26">
        <f>'calc-Weights'!AE$2*'calc-Weights'!$B38*'calc-CovarMatrix'!AE38</f>
        <v>0</v>
      </c>
      <c r="AF38" s="26">
        <f>'calc-Weights'!AF$2*'calc-Weights'!$B38*'calc-CovarMatrix'!AF38</f>
        <v>0</v>
      </c>
      <c r="AG38" s="26">
        <f>'calc-Weights'!AG$2*'calc-Weights'!$B38*'calc-CovarMatrix'!AG38</f>
        <v>0</v>
      </c>
      <c r="AH38" s="26">
        <f>'calc-Weights'!AH$2*'calc-Weights'!$B38*'calc-CovarMatrix'!AH38</f>
        <v>0</v>
      </c>
      <c r="AI38" s="26">
        <f>'calc-Weights'!AI$2*'calc-Weights'!$B38*'calc-CovarMatrix'!AI38</f>
        <v>0</v>
      </c>
      <c r="AJ38" s="26">
        <f>'calc-Weights'!AJ$2*'calc-Weights'!$B38*'calc-CovarMatrix'!AJ38</f>
        <v>0</v>
      </c>
      <c r="AK38" s="26">
        <f>'calc-Weights'!AK$2*'calc-Weights'!$B38*'calc-CovarMatrix'!AK38</f>
        <v>0</v>
      </c>
      <c r="AL38" s="26">
        <f>'calc-Weights'!AL$2*'calc-Weights'!$B38*'calc-CovarMatrix'!AL38</f>
        <v>0</v>
      </c>
      <c r="AM38" s="26">
        <f>'calc-Weights'!AM$2*'calc-Weights'!$B38*'calc-CovarMatrix'!AM38</f>
        <v>0</v>
      </c>
      <c r="AN38" s="26">
        <f>'calc-Weights'!AN$2*'calc-Weights'!$B38*'calc-CovarMatrix'!AN38</f>
        <v>0</v>
      </c>
      <c r="AO38" s="26">
        <f>'calc-Weights'!AO$2*'calc-Weights'!$B38*'calc-CovarMatrix'!AO38</f>
        <v>0</v>
      </c>
      <c r="AP38" s="26">
        <f>'calc-Weights'!AP$2*'calc-Weights'!$B38*'calc-CovarMatrix'!AP38</f>
        <v>0</v>
      </c>
      <c r="AQ38" s="26">
        <f>'calc-Weights'!AQ$2*'calc-Weights'!$B38*'calc-CovarMatrix'!AQ38</f>
        <v>0</v>
      </c>
      <c r="AR38" s="26">
        <f>'calc-Weights'!AR$2*'calc-Weights'!$B38*'calc-CovarMatrix'!AR38</f>
        <v>0</v>
      </c>
      <c r="AS38" s="26">
        <f>'calc-Weights'!AS$2*'calc-Weights'!$B38*'calc-CovarMatrix'!AS38</f>
        <v>0</v>
      </c>
      <c r="AT38" s="26">
        <f>'calc-Weights'!AT$2*'calc-Weights'!$B38*'calc-CovarMatrix'!AT38</f>
        <v>0</v>
      </c>
      <c r="AU38" s="26">
        <f>'calc-Weights'!AU$2*'calc-Weights'!$B38*'calc-CovarMatrix'!AU38</f>
        <v>0</v>
      </c>
      <c r="AV38" s="26">
        <f>'calc-Weights'!AV$2*'calc-Weights'!$B38*'calc-CovarMatrix'!AV38</f>
        <v>0</v>
      </c>
    </row>
    <row r="39" spans="1:48" x14ac:dyDescent="0.2">
      <c r="A39" s="26" t="s">
        <v>118</v>
      </c>
      <c r="B39" s="26">
        <f>'calc-Weights'!B$2*'calc-Weights'!$B39*'calc-CovarMatrix'!B39</f>
        <v>0</v>
      </c>
      <c r="C39" s="26">
        <f>'calc-Weights'!C$2*'calc-Weights'!$B39*'calc-CovarMatrix'!C39</f>
        <v>0</v>
      </c>
      <c r="D39" s="26">
        <f>'calc-Weights'!D$2*'calc-Weights'!$B39*'calc-CovarMatrix'!D39</f>
        <v>0</v>
      </c>
      <c r="E39" s="26">
        <f>'calc-Weights'!E$2*'calc-Weights'!$B39*'calc-CovarMatrix'!E39</f>
        <v>0</v>
      </c>
      <c r="F39" s="26">
        <f>'calc-Weights'!F$2*'calc-Weights'!$B39*'calc-CovarMatrix'!F39</f>
        <v>0</v>
      </c>
      <c r="G39" s="26">
        <f>'calc-Weights'!G$2*'calc-Weights'!$B39*'calc-CovarMatrix'!G39</f>
        <v>0</v>
      </c>
      <c r="H39" s="26">
        <f>'calc-Weights'!H$2*'calc-Weights'!$B39*'calc-CovarMatrix'!H39</f>
        <v>0</v>
      </c>
      <c r="I39" s="26">
        <f>'calc-Weights'!I$2*'calc-Weights'!$B39*'calc-CovarMatrix'!I39</f>
        <v>0</v>
      </c>
      <c r="J39" s="26">
        <f>'calc-Weights'!J$2*'calc-Weights'!$B39*'calc-CovarMatrix'!J39</f>
        <v>0</v>
      </c>
      <c r="K39" s="26">
        <f>'calc-Weights'!K$2*'calc-Weights'!$B39*'calc-CovarMatrix'!K39</f>
        <v>0</v>
      </c>
      <c r="L39" s="26">
        <f>'calc-Weights'!L$2*'calc-Weights'!$B39*'calc-CovarMatrix'!L39</f>
        <v>0</v>
      </c>
      <c r="M39" s="26">
        <f>'calc-Weights'!M$2*'calc-Weights'!$B39*'calc-CovarMatrix'!M39</f>
        <v>0</v>
      </c>
      <c r="N39" s="26">
        <f>'calc-Weights'!N$2*'calc-Weights'!$B39*'calc-CovarMatrix'!N39</f>
        <v>0</v>
      </c>
      <c r="O39" s="26">
        <f>'calc-Weights'!O$2*'calc-Weights'!$B39*'calc-CovarMatrix'!O39</f>
        <v>0</v>
      </c>
      <c r="P39" s="26">
        <f>'calc-Weights'!P$2*'calc-Weights'!$B39*'calc-CovarMatrix'!P39</f>
        <v>0</v>
      </c>
      <c r="Q39" s="26">
        <f>'calc-Weights'!Q$2*'calc-Weights'!$B39*'calc-CovarMatrix'!Q39</f>
        <v>0</v>
      </c>
      <c r="R39" s="26">
        <f>'calc-Weights'!R$2*'calc-Weights'!$B39*'calc-CovarMatrix'!R39</f>
        <v>0</v>
      </c>
      <c r="S39" s="26">
        <f>'calc-Weights'!S$2*'calc-Weights'!$B39*'calc-CovarMatrix'!S39</f>
        <v>0</v>
      </c>
      <c r="T39" s="26">
        <f>'calc-Weights'!T$2*'calc-Weights'!$B39*'calc-CovarMatrix'!T39</f>
        <v>0</v>
      </c>
      <c r="U39" s="26">
        <f>'calc-Weights'!U$2*'calc-Weights'!$B39*'calc-CovarMatrix'!U39</f>
        <v>0</v>
      </c>
      <c r="V39" s="26">
        <f>'calc-Weights'!V$2*'calc-Weights'!$B39*'calc-CovarMatrix'!V39</f>
        <v>0</v>
      </c>
      <c r="W39" s="26">
        <f>'calc-Weights'!W$2*'calc-Weights'!$B39*'calc-CovarMatrix'!W39</f>
        <v>0</v>
      </c>
      <c r="X39" s="26">
        <f>'calc-Weights'!X$2*'calc-Weights'!$B39*'calc-CovarMatrix'!X39</f>
        <v>0</v>
      </c>
      <c r="Y39" s="26">
        <f>'calc-Weights'!Y$2*'calc-Weights'!$B39*'calc-CovarMatrix'!Y39</f>
        <v>0</v>
      </c>
      <c r="Z39" s="26">
        <f>'calc-Weights'!Z$2*'calc-Weights'!$B39*'calc-CovarMatrix'!Z39</f>
        <v>0</v>
      </c>
      <c r="AA39" s="26">
        <f>'calc-Weights'!AA$2*'calc-Weights'!$B39*'calc-CovarMatrix'!AA39</f>
        <v>0</v>
      </c>
      <c r="AB39" s="26">
        <f>'calc-Weights'!AB$2*'calc-Weights'!$B39*'calc-CovarMatrix'!AB39</f>
        <v>0</v>
      </c>
      <c r="AC39" s="26">
        <f>'calc-Weights'!AC$2*'calc-Weights'!$B39*'calc-CovarMatrix'!AC39</f>
        <v>0</v>
      </c>
      <c r="AD39" s="26">
        <f>'calc-Weights'!AD$2*'calc-Weights'!$B39*'calc-CovarMatrix'!AD39</f>
        <v>0</v>
      </c>
      <c r="AE39" s="26">
        <f>'calc-Weights'!AE$2*'calc-Weights'!$B39*'calc-CovarMatrix'!AE39</f>
        <v>0</v>
      </c>
      <c r="AF39" s="26">
        <f>'calc-Weights'!AF$2*'calc-Weights'!$B39*'calc-CovarMatrix'!AF39</f>
        <v>0</v>
      </c>
      <c r="AG39" s="26">
        <f>'calc-Weights'!AG$2*'calc-Weights'!$B39*'calc-CovarMatrix'!AG39</f>
        <v>0</v>
      </c>
      <c r="AH39" s="26">
        <f>'calc-Weights'!AH$2*'calc-Weights'!$B39*'calc-CovarMatrix'!AH39</f>
        <v>0</v>
      </c>
      <c r="AI39" s="26">
        <f>'calc-Weights'!AI$2*'calc-Weights'!$B39*'calc-CovarMatrix'!AI39</f>
        <v>0</v>
      </c>
      <c r="AJ39" s="26">
        <f>'calc-Weights'!AJ$2*'calc-Weights'!$B39*'calc-CovarMatrix'!AJ39</f>
        <v>0</v>
      </c>
      <c r="AK39" s="26">
        <f>'calc-Weights'!AK$2*'calc-Weights'!$B39*'calc-CovarMatrix'!AK39</f>
        <v>0</v>
      </c>
      <c r="AL39" s="26">
        <f>'calc-Weights'!AL$2*'calc-Weights'!$B39*'calc-CovarMatrix'!AL39</f>
        <v>0</v>
      </c>
      <c r="AM39" s="26">
        <f>'calc-Weights'!AM$2*'calc-Weights'!$B39*'calc-CovarMatrix'!AM39</f>
        <v>0</v>
      </c>
      <c r="AN39" s="26">
        <f>'calc-Weights'!AN$2*'calc-Weights'!$B39*'calc-CovarMatrix'!AN39</f>
        <v>0</v>
      </c>
      <c r="AO39" s="26">
        <f>'calc-Weights'!AO$2*'calc-Weights'!$B39*'calc-CovarMatrix'!AO39</f>
        <v>0</v>
      </c>
      <c r="AP39" s="26">
        <f>'calc-Weights'!AP$2*'calc-Weights'!$B39*'calc-CovarMatrix'!AP39</f>
        <v>0</v>
      </c>
      <c r="AQ39" s="26">
        <f>'calc-Weights'!AQ$2*'calc-Weights'!$B39*'calc-CovarMatrix'!AQ39</f>
        <v>0</v>
      </c>
      <c r="AR39" s="26">
        <f>'calc-Weights'!AR$2*'calc-Weights'!$B39*'calc-CovarMatrix'!AR39</f>
        <v>0</v>
      </c>
      <c r="AS39" s="26">
        <f>'calc-Weights'!AS$2*'calc-Weights'!$B39*'calc-CovarMatrix'!AS39</f>
        <v>0</v>
      </c>
      <c r="AT39" s="26">
        <f>'calc-Weights'!AT$2*'calc-Weights'!$B39*'calc-CovarMatrix'!AT39</f>
        <v>0</v>
      </c>
      <c r="AU39" s="26">
        <f>'calc-Weights'!AU$2*'calc-Weights'!$B39*'calc-CovarMatrix'!AU39</f>
        <v>0</v>
      </c>
      <c r="AV39" s="26">
        <f>'calc-Weights'!AV$2*'calc-Weights'!$B39*'calc-CovarMatrix'!AV39</f>
        <v>0</v>
      </c>
    </row>
    <row r="40" spans="1:48" x14ac:dyDescent="0.2">
      <c r="A40" s="26" t="s">
        <v>119</v>
      </c>
      <c r="B40" s="26">
        <f>'calc-Weights'!B$2*'calc-Weights'!$B40*'calc-CovarMatrix'!B40</f>
        <v>0</v>
      </c>
      <c r="C40" s="26">
        <f>'calc-Weights'!C$2*'calc-Weights'!$B40*'calc-CovarMatrix'!C40</f>
        <v>0</v>
      </c>
      <c r="D40" s="26">
        <f>'calc-Weights'!D$2*'calc-Weights'!$B40*'calc-CovarMatrix'!D40</f>
        <v>0</v>
      </c>
      <c r="E40" s="26">
        <f>'calc-Weights'!E$2*'calc-Weights'!$B40*'calc-CovarMatrix'!E40</f>
        <v>0</v>
      </c>
      <c r="F40" s="26">
        <f>'calc-Weights'!F$2*'calc-Weights'!$B40*'calc-CovarMatrix'!F40</f>
        <v>0</v>
      </c>
      <c r="G40" s="26">
        <f>'calc-Weights'!G$2*'calc-Weights'!$B40*'calc-CovarMatrix'!G40</f>
        <v>0</v>
      </c>
      <c r="H40" s="26">
        <f>'calc-Weights'!H$2*'calc-Weights'!$B40*'calc-CovarMatrix'!H40</f>
        <v>0</v>
      </c>
      <c r="I40" s="26">
        <f>'calc-Weights'!I$2*'calc-Weights'!$B40*'calc-CovarMatrix'!I40</f>
        <v>0</v>
      </c>
      <c r="J40" s="26">
        <f>'calc-Weights'!J$2*'calc-Weights'!$B40*'calc-CovarMatrix'!J40</f>
        <v>0</v>
      </c>
      <c r="K40" s="26">
        <f>'calc-Weights'!K$2*'calc-Weights'!$B40*'calc-CovarMatrix'!K40</f>
        <v>0</v>
      </c>
      <c r="L40" s="26">
        <f>'calc-Weights'!L$2*'calc-Weights'!$B40*'calc-CovarMatrix'!L40</f>
        <v>0</v>
      </c>
      <c r="M40" s="26">
        <f>'calc-Weights'!M$2*'calc-Weights'!$B40*'calc-CovarMatrix'!M40</f>
        <v>0</v>
      </c>
      <c r="N40" s="26">
        <f>'calc-Weights'!N$2*'calc-Weights'!$B40*'calc-CovarMatrix'!N40</f>
        <v>0</v>
      </c>
      <c r="O40" s="26">
        <f>'calc-Weights'!O$2*'calc-Weights'!$B40*'calc-CovarMatrix'!O40</f>
        <v>0</v>
      </c>
      <c r="P40" s="26">
        <f>'calc-Weights'!P$2*'calc-Weights'!$B40*'calc-CovarMatrix'!P40</f>
        <v>0</v>
      </c>
      <c r="Q40" s="26">
        <f>'calc-Weights'!Q$2*'calc-Weights'!$B40*'calc-CovarMatrix'!Q40</f>
        <v>0</v>
      </c>
      <c r="R40" s="26">
        <f>'calc-Weights'!R$2*'calc-Weights'!$B40*'calc-CovarMatrix'!R40</f>
        <v>0</v>
      </c>
      <c r="S40" s="26">
        <f>'calc-Weights'!S$2*'calc-Weights'!$B40*'calc-CovarMatrix'!S40</f>
        <v>0</v>
      </c>
      <c r="T40" s="26">
        <f>'calc-Weights'!T$2*'calc-Weights'!$B40*'calc-CovarMatrix'!T40</f>
        <v>0</v>
      </c>
      <c r="U40" s="26">
        <f>'calc-Weights'!U$2*'calc-Weights'!$B40*'calc-CovarMatrix'!U40</f>
        <v>0</v>
      </c>
      <c r="V40" s="26">
        <f>'calc-Weights'!V$2*'calc-Weights'!$B40*'calc-CovarMatrix'!V40</f>
        <v>0</v>
      </c>
      <c r="W40" s="26">
        <f>'calc-Weights'!W$2*'calc-Weights'!$B40*'calc-CovarMatrix'!W40</f>
        <v>0</v>
      </c>
      <c r="X40" s="26">
        <f>'calc-Weights'!X$2*'calc-Weights'!$B40*'calc-CovarMatrix'!X40</f>
        <v>0</v>
      </c>
      <c r="Y40" s="26">
        <f>'calc-Weights'!Y$2*'calc-Weights'!$B40*'calc-CovarMatrix'!Y40</f>
        <v>0</v>
      </c>
      <c r="Z40" s="26">
        <f>'calc-Weights'!Z$2*'calc-Weights'!$B40*'calc-CovarMatrix'!Z40</f>
        <v>0</v>
      </c>
      <c r="AA40" s="26">
        <f>'calc-Weights'!AA$2*'calc-Weights'!$B40*'calc-CovarMatrix'!AA40</f>
        <v>0</v>
      </c>
      <c r="AB40" s="26">
        <f>'calc-Weights'!AB$2*'calc-Weights'!$B40*'calc-CovarMatrix'!AB40</f>
        <v>0</v>
      </c>
      <c r="AC40" s="26">
        <f>'calc-Weights'!AC$2*'calc-Weights'!$B40*'calc-CovarMatrix'!AC40</f>
        <v>0</v>
      </c>
      <c r="AD40" s="26">
        <f>'calc-Weights'!AD$2*'calc-Weights'!$B40*'calc-CovarMatrix'!AD40</f>
        <v>0</v>
      </c>
      <c r="AE40" s="26">
        <f>'calc-Weights'!AE$2*'calc-Weights'!$B40*'calc-CovarMatrix'!AE40</f>
        <v>0</v>
      </c>
      <c r="AF40" s="26">
        <f>'calc-Weights'!AF$2*'calc-Weights'!$B40*'calc-CovarMatrix'!AF40</f>
        <v>0</v>
      </c>
      <c r="AG40" s="26">
        <f>'calc-Weights'!AG$2*'calc-Weights'!$B40*'calc-CovarMatrix'!AG40</f>
        <v>0</v>
      </c>
      <c r="AH40" s="26">
        <f>'calc-Weights'!AH$2*'calc-Weights'!$B40*'calc-CovarMatrix'!AH40</f>
        <v>0</v>
      </c>
      <c r="AI40" s="26">
        <f>'calc-Weights'!AI$2*'calc-Weights'!$B40*'calc-CovarMatrix'!AI40</f>
        <v>0</v>
      </c>
      <c r="AJ40" s="26">
        <f>'calc-Weights'!AJ$2*'calc-Weights'!$B40*'calc-CovarMatrix'!AJ40</f>
        <v>0</v>
      </c>
      <c r="AK40" s="26">
        <f>'calc-Weights'!AK$2*'calc-Weights'!$B40*'calc-CovarMatrix'!AK40</f>
        <v>0</v>
      </c>
      <c r="AL40" s="26">
        <f>'calc-Weights'!AL$2*'calc-Weights'!$B40*'calc-CovarMatrix'!AL40</f>
        <v>0</v>
      </c>
      <c r="AM40" s="26">
        <f>'calc-Weights'!AM$2*'calc-Weights'!$B40*'calc-CovarMatrix'!AM40</f>
        <v>0</v>
      </c>
      <c r="AN40" s="26">
        <f>'calc-Weights'!AN$2*'calc-Weights'!$B40*'calc-CovarMatrix'!AN40</f>
        <v>0</v>
      </c>
      <c r="AO40" s="26">
        <f>'calc-Weights'!AO$2*'calc-Weights'!$B40*'calc-CovarMatrix'!AO40</f>
        <v>0</v>
      </c>
      <c r="AP40" s="26">
        <f>'calc-Weights'!AP$2*'calc-Weights'!$B40*'calc-CovarMatrix'!AP40</f>
        <v>0</v>
      </c>
      <c r="AQ40" s="26">
        <f>'calc-Weights'!AQ$2*'calc-Weights'!$B40*'calc-CovarMatrix'!AQ40</f>
        <v>0</v>
      </c>
      <c r="AR40" s="26">
        <f>'calc-Weights'!AR$2*'calc-Weights'!$B40*'calc-CovarMatrix'!AR40</f>
        <v>0</v>
      </c>
      <c r="AS40" s="26">
        <f>'calc-Weights'!AS$2*'calc-Weights'!$B40*'calc-CovarMatrix'!AS40</f>
        <v>0</v>
      </c>
      <c r="AT40" s="26">
        <f>'calc-Weights'!AT$2*'calc-Weights'!$B40*'calc-CovarMatrix'!AT40</f>
        <v>0</v>
      </c>
      <c r="AU40" s="26">
        <f>'calc-Weights'!AU$2*'calc-Weights'!$B40*'calc-CovarMatrix'!AU40</f>
        <v>0</v>
      </c>
      <c r="AV40" s="26">
        <f>'calc-Weights'!AV$2*'calc-Weights'!$B40*'calc-CovarMatrix'!AV40</f>
        <v>0</v>
      </c>
    </row>
    <row r="41" spans="1:48" x14ac:dyDescent="0.2">
      <c r="A41" s="26" t="s">
        <v>120</v>
      </c>
      <c r="B41" s="26">
        <f>'calc-Weights'!B$2*'calc-Weights'!$B41*'calc-CovarMatrix'!B41</f>
        <v>0</v>
      </c>
      <c r="C41" s="26">
        <f>'calc-Weights'!C$2*'calc-Weights'!$B41*'calc-CovarMatrix'!C41</f>
        <v>0</v>
      </c>
      <c r="D41" s="26">
        <f>'calc-Weights'!D$2*'calc-Weights'!$B41*'calc-CovarMatrix'!D41</f>
        <v>0</v>
      </c>
      <c r="E41" s="26">
        <f>'calc-Weights'!E$2*'calc-Weights'!$B41*'calc-CovarMatrix'!E41</f>
        <v>0</v>
      </c>
      <c r="F41" s="26">
        <f>'calc-Weights'!F$2*'calc-Weights'!$B41*'calc-CovarMatrix'!F41</f>
        <v>0</v>
      </c>
      <c r="G41" s="26">
        <f>'calc-Weights'!G$2*'calc-Weights'!$B41*'calc-CovarMatrix'!G41</f>
        <v>0</v>
      </c>
      <c r="H41" s="26">
        <f>'calc-Weights'!H$2*'calc-Weights'!$B41*'calc-CovarMatrix'!H41</f>
        <v>0</v>
      </c>
      <c r="I41" s="26">
        <f>'calc-Weights'!I$2*'calc-Weights'!$B41*'calc-CovarMatrix'!I41</f>
        <v>0</v>
      </c>
      <c r="J41" s="26">
        <f>'calc-Weights'!J$2*'calc-Weights'!$B41*'calc-CovarMatrix'!J41</f>
        <v>0</v>
      </c>
      <c r="K41" s="26">
        <f>'calc-Weights'!K$2*'calc-Weights'!$B41*'calc-CovarMatrix'!K41</f>
        <v>0</v>
      </c>
      <c r="L41" s="26">
        <f>'calc-Weights'!L$2*'calc-Weights'!$B41*'calc-CovarMatrix'!L41</f>
        <v>0</v>
      </c>
      <c r="M41" s="26">
        <f>'calc-Weights'!M$2*'calc-Weights'!$B41*'calc-CovarMatrix'!M41</f>
        <v>0</v>
      </c>
      <c r="N41" s="26">
        <f>'calc-Weights'!N$2*'calc-Weights'!$B41*'calc-CovarMatrix'!N41</f>
        <v>0</v>
      </c>
      <c r="O41" s="26">
        <f>'calc-Weights'!O$2*'calc-Weights'!$B41*'calc-CovarMatrix'!O41</f>
        <v>0</v>
      </c>
      <c r="P41" s="26">
        <f>'calc-Weights'!P$2*'calc-Weights'!$B41*'calc-CovarMatrix'!P41</f>
        <v>0</v>
      </c>
      <c r="Q41" s="26">
        <f>'calc-Weights'!Q$2*'calc-Weights'!$B41*'calc-CovarMatrix'!Q41</f>
        <v>0</v>
      </c>
      <c r="R41" s="26">
        <f>'calc-Weights'!R$2*'calc-Weights'!$B41*'calc-CovarMatrix'!R41</f>
        <v>0</v>
      </c>
      <c r="S41" s="26">
        <f>'calc-Weights'!S$2*'calc-Weights'!$B41*'calc-CovarMatrix'!S41</f>
        <v>0</v>
      </c>
      <c r="T41" s="26">
        <f>'calc-Weights'!T$2*'calc-Weights'!$B41*'calc-CovarMatrix'!T41</f>
        <v>0</v>
      </c>
      <c r="U41" s="26">
        <f>'calc-Weights'!U$2*'calc-Weights'!$B41*'calc-CovarMatrix'!U41</f>
        <v>0</v>
      </c>
      <c r="V41" s="26">
        <f>'calc-Weights'!V$2*'calc-Weights'!$B41*'calc-CovarMatrix'!V41</f>
        <v>0</v>
      </c>
      <c r="W41" s="26">
        <f>'calc-Weights'!W$2*'calc-Weights'!$B41*'calc-CovarMatrix'!W41</f>
        <v>0</v>
      </c>
      <c r="X41" s="26">
        <f>'calc-Weights'!X$2*'calc-Weights'!$B41*'calc-CovarMatrix'!X41</f>
        <v>0</v>
      </c>
      <c r="Y41" s="26">
        <f>'calc-Weights'!Y$2*'calc-Weights'!$B41*'calc-CovarMatrix'!Y41</f>
        <v>0</v>
      </c>
      <c r="Z41" s="26">
        <f>'calc-Weights'!Z$2*'calc-Weights'!$B41*'calc-CovarMatrix'!Z41</f>
        <v>0</v>
      </c>
      <c r="AA41" s="26">
        <f>'calc-Weights'!AA$2*'calc-Weights'!$B41*'calc-CovarMatrix'!AA41</f>
        <v>0</v>
      </c>
      <c r="AB41" s="26">
        <f>'calc-Weights'!AB$2*'calc-Weights'!$B41*'calc-CovarMatrix'!AB41</f>
        <v>0</v>
      </c>
      <c r="AC41" s="26">
        <f>'calc-Weights'!AC$2*'calc-Weights'!$B41*'calc-CovarMatrix'!AC41</f>
        <v>0</v>
      </c>
      <c r="AD41" s="26">
        <f>'calc-Weights'!AD$2*'calc-Weights'!$B41*'calc-CovarMatrix'!AD41</f>
        <v>0</v>
      </c>
      <c r="AE41" s="26">
        <f>'calc-Weights'!AE$2*'calc-Weights'!$B41*'calc-CovarMatrix'!AE41</f>
        <v>0</v>
      </c>
      <c r="AF41" s="26">
        <f>'calc-Weights'!AF$2*'calc-Weights'!$B41*'calc-CovarMatrix'!AF41</f>
        <v>0</v>
      </c>
      <c r="AG41" s="26">
        <f>'calc-Weights'!AG$2*'calc-Weights'!$B41*'calc-CovarMatrix'!AG41</f>
        <v>0</v>
      </c>
      <c r="AH41" s="26">
        <f>'calc-Weights'!AH$2*'calc-Weights'!$B41*'calc-CovarMatrix'!AH41</f>
        <v>0</v>
      </c>
      <c r="AI41" s="26">
        <f>'calc-Weights'!AI$2*'calc-Weights'!$B41*'calc-CovarMatrix'!AI41</f>
        <v>0</v>
      </c>
      <c r="AJ41" s="26">
        <f>'calc-Weights'!AJ$2*'calc-Weights'!$B41*'calc-CovarMatrix'!AJ41</f>
        <v>0</v>
      </c>
      <c r="AK41" s="26">
        <f>'calc-Weights'!AK$2*'calc-Weights'!$B41*'calc-CovarMatrix'!AK41</f>
        <v>0</v>
      </c>
      <c r="AL41" s="26">
        <f>'calc-Weights'!AL$2*'calc-Weights'!$B41*'calc-CovarMatrix'!AL41</f>
        <v>0</v>
      </c>
      <c r="AM41" s="26">
        <f>'calc-Weights'!AM$2*'calc-Weights'!$B41*'calc-CovarMatrix'!AM41</f>
        <v>0</v>
      </c>
      <c r="AN41" s="26">
        <f>'calc-Weights'!AN$2*'calc-Weights'!$B41*'calc-CovarMatrix'!AN41</f>
        <v>0</v>
      </c>
      <c r="AO41" s="26">
        <f>'calc-Weights'!AO$2*'calc-Weights'!$B41*'calc-CovarMatrix'!AO41</f>
        <v>0</v>
      </c>
      <c r="AP41" s="26">
        <f>'calc-Weights'!AP$2*'calc-Weights'!$B41*'calc-CovarMatrix'!AP41</f>
        <v>0</v>
      </c>
      <c r="AQ41" s="26">
        <f>'calc-Weights'!AQ$2*'calc-Weights'!$B41*'calc-CovarMatrix'!AQ41</f>
        <v>0</v>
      </c>
      <c r="AR41" s="26">
        <f>'calc-Weights'!AR$2*'calc-Weights'!$B41*'calc-CovarMatrix'!AR41</f>
        <v>0</v>
      </c>
      <c r="AS41" s="26">
        <f>'calc-Weights'!AS$2*'calc-Weights'!$B41*'calc-CovarMatrix'!AS41</f>
        <v>0</v>
      </c>
      <c r="AT41" s="26">
        <f>'calc-Weights'!AT$2*'calc-Weights'!$B41*'calc-CovarMatrix'!AT41</f>
        <v>0</v>
      </c>
      <c r="AU41" s="26">
        <f>'calc-Weights'!AU$2*'calc-Weights'!$B41*'calc-CovarMatrix'!AU41</f>
        <v>0</v>
      </c>
      <c r="AV41" s="26">
        <f>'calc-Weights'!AV$2*'calc-Weights'!$B41*'calc-CovarMatrix'!AV41</f>
        <v>0</v>
      </c>
    </row>
    <row r="42" spans="1:48" x14ac:dyDescent="0.2">
      <c r="A42" s="26" t="s">
        <v>121</v>
      </c>
      <c r="B42" s="26">
        <f>'calc-Weights'!B$2*'calc-Weights'!$B42*'calc-CovarMatrix'!B42</f>
        <v>0</v>
      </c>
      <c r="C42" s="26">
        <f>'calc-Weights'!C$2*'calc-Weights'!$B42*'calc-CovarMatrix'!C42</f>
        <v>0</v>
      </c>
      <c r="D42" s="26">
        <f>'calc-Weights'!D$2*'calc-Weights'!$B42*'calc-CovarMatrix'!D42</f>
        <v>-1.3147942503705956E-7</v>
      </c>
      <c r="E42" s="26">
        <f>'calc-Weights'!E$2*'calc-Weights'!$B42*'calc-CovarMatrix'!E42</f>
        <v>0</v>
      </c>
      <c r="F42" s="26">
        <f>'calc-Weights'!F$2*'calc-Weights'!$B42*'calc-CovarMatrix'!F42</f>
        <v>0</v>
      </c>
      <c r="G42" s="26">
        <f>'calc-Weights'!G$2*'calc-Weights'!$B42*'calc-CovarMatrix'!G42</f>
        <v>0</v>
      </c>
      <c r="H42" s="26">
        <f>'calc-Weights'!H$2*'calc-Weights'!$B42*'calc-CovarMatrix'!H42</f>
        <v>0</v>
      </c>
      <c r="I42" s="26">
        <f>'calc-Weights'!I$2*'calc-Weights'!$B42*'calc-CovarMatrix'!I42</f>
        <v>-5.1204883471396612E-7</v>
      </c>
      <c r="J42" s="26">
        <f>'calc-Weights'!J$2*'calc-Weights'!$B42*'calc-CovarMatrix'!J42</f>
        <v>-5.0337864483904027E-8</v>
      </c>
      <c r="K42" s="26">
        <f>'calc-Weights'!K$2*'calc-Weights'!$B42*'calc-CovarMatrix'!K42</f>
        <v>0</v>
      </c>
      <c r="L42" s="26">
        <f>'calc-Weights'!L$2*'calc-Weights'!$B42*'calc-CovarMatrix'!L42</f>
        <v>0</v>
      </c>
      <c r="M42" s="26">
        <f>'calc-Weights'!M$2*'calc-Weights'!$B42*'calc-CovarMatrix'!M42</f>
        <v>1.1553109785973829E-8</v>
      </c>
      <c r="N42" s="26">
        <f>'calc-Weights'!N$2*'calc-Weights'!$B42*'calc-CovarMatrix'!N42</f>
        <v>0</v>
      </c>
      <c r="O42" s="26">
        <f>'calc-Weights'!O$2*'calc-Weights'!$B42*'calc-CovarMatrix'!O42</f>
        <v>0</v>
      </c>
      <c r="P42" s="26">
        <f>'calc-Weights'!P$2*'calc-Weights'!$B42*'calc-CovarMatrix'!P42</f>
        <v>0</v>
      </c>
      <c r="Q42" s="26">
        <f>'calc-Weights'!Q$2*'calc-Weights'!$B42*'calc-CovarMatrix'!Q42</f>
        <v>0</v>
      </c>
      <c r="R42" s="26">
        <f>'calc-Weights'!R$2*'calc-Weights'!$B42*'calc-CovarMatrix'!R42</f>
        <v>0</v>
      </c>
      <c r="S42" s="26">
        <f>'calc-Weights'!S$2*'calc-Weights'!$B42*'calc-CovarMatrix'!S42</f>
        <v>0</v>
      </c>
      <c r="T42" s="26">
        <f>'calc-Weights'!T$2*'calc-Weights'!$B42*'calc-CovarMatrix'!T42</f>
        <v>0</v>
      </c>
      <c r="U42" s="26">
        <f>'calc-Weights'!U$2*'calc-Weights'!$B42*'calc-CovarMatrix'!U42</f>
        <v>1.740957332069651E-6</v>
      </c>
      <c r="V42" s="26">
        <f>'calc-Weights'!V$2*'calc-Weights'!$B42*'calc-CovarMatrix'!V42</f>
        <v>0</v>
      </c>
      <c r="W42" s="26">
        <f>'calc-Weights'!W$2*'calc-Weights'!$B42*'calc-CovarMatrix'!W42</f>
        <v>0</v>
      </c>
      <c r="X42" s="26">
        <f>'calc-Weights'!X$2*'calc-Weights'!$B42*'calc-CovarMatrix'!X42</f>
        <v>0</v>
      </c>
      <c r="Y42" s="26">
        <f>'calc-Weights'!Y$2*'calc-Weights'!$B42*'calc-CovarMatrix'!Y42</f>
        <v>0</v>
      </c>
      <c r="Z42" s="26">
        <f>'calc-Weights'!Z$2*'calc-Weights'!$B42*'calc-CovarMatrix'!Z42</f>
        <v>0</v>
      </c>
      <c r="AA42" s="26">
        <f>'calc-Weights'!AA$2*'calc-Weights'!$B42*'calc-CovarMatrix'!AA42</f>
        <v>0</v>
      </c>
      <c r="AB42" s="26">
        <f>'calc-Weights'!AB$2*'calc-Weights'!$B42*'calc-CovarMatrix'!AB42</f>
        <v>0</v>
      </c>
      <c r="AC42" s="26">
        <f>'calc-Weights'!AC$2*'calc-Weights'!$B42*'calc-CovarMatrix'!AC42</f>
        <v>0</v>
      </c>
      <c r="AD42" s="26">
        <f>'calc-Weights'!AD$2*'calc-Weights'!$B42*'calc-CovarMatrix'!AD42</f>
        <v>0</v>
      </c>
      <c r="AE42" s="26">
        <f>'calc-Weights'!AE$2*'calc-Weights'!$B42*'calc-CovarMatrix'!AE42</f>
        <v>0</v>
      </c>
      <c r="AF42" s="26">
        <f>'calc-Weights'!AF$2*'calc-Weights'!$B42*'calc-CovarMatrix'!AF42</f>
        <v>0</v>
      </c>
      <c r="AG42" s="26">
        <f>'calc-Weights'!AG$2*'calc-Weights'!$B42*'calc-CovarMatrix'!AG42</f>
        <v>2.1796470225357637E-7</v>
      </c>
      <c r="AH42" s="26">
        <f>'calc-Weights'!AH$2*'calc-Weights'!$B42*'calc-CovarMatrix'!AH42</f>
        <v>3.047011057283882E-7</v>
      </c>
      <c r="AI42" s="26">
        <f>'calc-Weights'!AI$2*'calc-Weights'!$B42*'calc-CovarMatrix'!AI42</f>
        <v>0</v>
      </c>
      <c r="AJ42" s="26">
        <f>'calc-Weights'!AJ$2*'calc-Weights'!$B42*'calc-CovarMatrix'!AJ42</f>
        <v>2.5811450374943212E-6</v>
      </c>
      <c r="AK42" s="26">
        <f>'calc-Weights'!AK$2*'calc-Weights'!$B42*'calc-CovarMatrix'!AK42</f>
        <v>0</v>
      </c>
      <c r="AL42" s="26">
        <f>'calc-Weights'!AL$2*'calc-Weights'!$B42*'calc-CovarMatrix'!AL42</f>
        <v>0</v>
      </c>
      <c r="AM42" s="26">
        <f>'calc-Weights'!AM$2*'calc-Weights'!$B42*'calc-CovarMatrix'!AM42</f>
        <v>0</v>
      </c>
      <c r="AN42" s="26">
        <f>'calc-Weights'!AN$2*'calc-Weights'!$B42*'calc-CovarMatrix'!AN42</f>
        <v>0</v>
      </c>
      <c r="AO42" s="26">
        <f>'calc-Weights'!AO$2*'calc-Weights'!$B42*'calc-CovarMatrix'!AO42</f>
        <v>0</v>
      </c>
      <c r="AP42" s="26">
        <f>'calc-Weights'!AP$2*'calc-Weights'!$B42*'calc-CovarMatrix'!AP42</f>
        <v>1.0958146156574747E-6</v>
      </c>
      <c r="AQ42" s="26">
        <f>'calc-Weights'!AQ$2*'calc-Weights'!$B42*'calc-CovarMatrix'!AQ42</f>
        <v>0</v>
      </c>
      <c r="AR42" s="26">
        <f>'calc-Weights'!AR$2*'calc-Weights'!$B42*'calc-CovarMatrix'!AR42</f>
        <v>0</v>
      </c>
      <c r="AS42" s="26">
        <f>'calc-Weights'!AS$2*'calc-Weights'!$B42*'calc-CovarMatrix'!AS42</f>
        <v>0</v>
      </c>
      <c r="AT42" s="26">
        <f>'calc-Weights'!AT$2*'calc-Weights'!$B42*'calc-CovarMatrix'!AT42</f>
        <v>0</v>
      </c>
      <c r="AU42" s="26">
        <f>'calc-Weights'!AU$2*'calc-Weights'!$B42*'calc-CovarMatrix'!AU42</f>
        <v>0</v>
      </c>
      <c r="AV42" s="26">
        <f>'calc-Weights'!AV$2*'calc-Weights'!$B42*'calc-CovarMatrix'!AV42</f>
        <v>5.2876822375236098E-7</v>
      </c>
    </row>
    <row r="43" spans="1:48" x14ac:dyDescent="0.2">
      <c r="A43" s="26" t="s">
        <v>122</v>
      </c>
      <c r="B43" s="26">
        <f>'calc-Weights'!B$2*'calc-Weights'!$B43*'calc-CovarMatrix'!B43</f>
        <v>0</v>
      </c>
      <c r="C43" s="26">
        <f>'calc-Weights'!C$2*'calc-Weights'!$B43*'calc-CovarMatrix'!C43</f>
        <v>0</v>
      </c>
      <c r="D43" s="26">
        <f>'calc-Weights'!D$2*'calc-Weights'!$B43*'calc-CovarMatrix'!D43</f>
        <v>0</v>
      </c>
      <c r="E43" s="26">
        <f>'calc-Weights'!E$2*'calc-Weights'!$B43*'calc-CovarMatrix'!E43</f>
        <v>0</v>
      </c>
      <c r="F43" s="26">
        <f>'calc-Weights'!F$2*'calc-Weights'!$B43*'calc-CovarMatrix'!F43</f>
        <v>0</v>
      </c>
      <c r="G43" s="26">
        <f>'calc-Weights'!G$2*'calc-Weights'!$B43*'calc-CovarMatrix'!G43</f>
        <v>0</v>
      </c>
      <c r="H43" s="26">
        <f>'calc-Weights'!H$2*'calc-Weights'!$B43*'calc-CovarMatrix'!H43</f>
        <v>0</v>
      </c>
      <c r="I43" s="26">
        <f>'calc-Weights'!I$2*'calc-Weights'!$B43*'calc-CovarMatrix'!I43</f>
        <v>0</v>
      </c>
      <c r="J43" s="26">
        <f>'calc-Weights'!J$2*'calc-Weights'!$B43*'calc-CovarMatrix'!J43</f>
        <v>0</v>
      </c>
      <c r="K43" s="26">
        <f>'calc-Weights'!K$2*'calc-Weights'!$B43*'calc-CovarMatrix'!K43</f>
        <v>0</v>
      </c>
      <c r="L43" s="26">
        <f>'calc-Weights'!L$2*'calc-Weights'!$B43*'calc-CovarMatrix'!L43</f>
        <v>0</v>
      </c>
      <c r="M43" s="26">
        <f>'calc-Weights'!M$2*'calc-Weights'!$B43*'calc-CovarMatrix'!M43</f>
        <v>0</v>
      </c>
      <c r="N43" s="26">
        <f>'calc-Weights'!N$2*'calc-Weights'!$B43*'calc-CovarMatrix'!N43</f>
        <v>0</v>
      </c>
      <c r="O43" s="26">
        <f>'calc-Weights'!O$2*'calc-Weights'!$B43*'calc-CovarMatrix'!O43</f>
        <v>0</v>
      </c>
      <c r="P43" s="26">
        <f>'calc-Weights'!P$2*'calc-Weights'!$B43*'calc-CovarMatrix'!P43</f>
        <v>0</v>
      </c>
      <c r="Q43" s="26">
        <f>'calc-Weights'!Q$2*'calc-Weights'!$B43*'calc-CovarMatrix'!Q43</f>
        <v>0</v>
      </c>
      <c r="R43" s="26">
        <f>'calc-Weights'!R$2*'calc-Weights'!$B43*'calc-CovarMatrix'!R43</f>
        <v>0</v>
      </c>
      <c r="S43" s="26">
        <f>'calc-Weights'!S$2*'calc-Weights'!$B43*'calc-CovarMatrix'!S43</f>
        <v>0</v>
      </c>
      <c r="T43" s="26">
        <f>'calc-Weights'!T$2*'calc-Weights'!$B43*'calc-CovarMatrix'!T43</f>
        <v>0</v>
      </c>
      <c r="U43" s="26">
        <f>'calc-Weights'!U$2*'calc-Weights'!$B43*'calc-CovarMatrix'!U43</f>
        <v>0</v>
      </c>
      <c r="V43" s="26">
        <f>'calc-Weights'!V$2*'calc-Weights'!$B43*'calc-CovarMatrix'!V43</f>
        <v>0</v>
      </c>
      <c r="W43" s="26">
        <f>'calc-Weights'!W$2*'calc-Weights'!$B43*'calc-CovarMatrix'!W43</f>
        <v>0</v>
      </c>
      <c r="X43" s="26">
        <f>'calc-Weights'!X$2*'calc-Weights'!$B43*'calc-CovarMatrix'!X43</f>
        <v>0</v>
      </c>
      <c r="Y43" s="26">
        <f>'calc-Weights'!Y$2*'calc-Weights'!$B43*'calc-CovarMatrix'!Y43</f>
        <v>0</v>
      </c>
      <c r="Z43" s="26">
        <f>'calc-Weights'!Z$2*'calc-Weights'!$B43*'calc-CovarMatrix'!Z43</f>
        <v>0</v>
      </c>
      <c r="AA43" s="26">
        <f>'calc-Weights'!AA$2*'calc-Weights'!$B43*'calc-CovarMatrix'!AA43</f>
        <v>0</v>
      </c>
      <c r="AB43" s="26">
        <f>'calc-Weights'!AB$2*'calc-Weights'!$B43*'calc-CovarMatrix'!AB43</f>
        <v>0</v>
      </c>
      <c r="AC43" s="26">
        <f>'calc-Weights'!AC$2*'calc-Weights'!$B43*'calc-CovarMatrix'!AC43</f>
        <v>0</v>
      </c>
      <c r="AD43" s="26">
        <f>'calc-Weights'!AD$2*'calc-Weights'!$B43*'calc-CovarMatrix'!AD43</f>
        <v>0</v>
      </c>
      <c r="AE43" s="26">
        <f>'calc-Weights'!AE$2*'calc-Weights'!$B43*'calc-CovarMatrix'!AE43</f>
        <v>0</v>
      </c>
      <c r="AF43" s="26">
        <f>'calc-Weights'!AF$2*'calc-Weights'!$B43*'calc-CovarMatrix'!AF43</f>
        <v>0</v>
      </c>
      <c r="AG43" s="26">
        <f>'calc-Weights'!AG$2*'calc-Weights'!$B43*'calc-CovarMatrix'!AG43</f>
        <v>0</v>
      </c>
      <c r="AH43" s="26">
        <f>'calc-Weights'!AH$2*'calc-Weights'!$B43*'calc-CovarMatrix'!AH43</f>
        <v>0</v>
      </c>
      <c r="AI43" s="26">
        <f>'calc-Weights'!AI$2*'calc-Weights'!$B43*'calc-CovarMatrix'!AI43</f>
        <v>0</v>
      </c>
      <c r="AJ43" s="26">
        <f>'calc-Weights'!AJ$2*'calc-Weights'!$B43*'calc-CovarMatrix'!AJ43</f>
        <v>0</v>
      </c>
      <c r="AK43" s="26">
        <f>'calc-Weights'!AK$2*'calc-Weights'!$B43*'calc-CovarMatrix'!AK43</f>
        <v>0</v>
      </c>
      <c r="AL43" s="26">
        <f>'calc-Weights'!AL$2*'calc-Weights'!$B43*'calc-CovarMatrix'!AL43</f>
        <v>0</v>
      </c>
      <c r="AM43" s="26">
        <f>'calc-Weights'!AM$2*'calc-Weights'!$B43*'calc-CovarMatrix'!AM43</f>
        <v>0</v>
      </c>
      <c r="AN43" s="26">
        <f>'calc-Weights'!AN$2*'calc-Weights'!$B43*'calc-CovarMatrix'!AN43</f>
        <v>0</v>
      </c>
      <c r="AO43" s="26">
        <f>'calc-Weights'!AO$2*'calc-Weights'!$B43*'calc-CovarMatrix'!AO43</f>
        <v>0</v>
      </c>
      <c r="AP43" s="26">
        <f>'calc-Weights'!AP$2*'calc-Weights'!$B43*'calc-CovarMatrix'!AP43</f>
        <v>0</v>
      </c>
      <c r="AQ43" s="26">
        <f>'calc-Weights'!AQ$2*'calc-Weights'!$B43*'calc-CovarMatrix'!AQ43</f>
        <v>0</v>
      </c>
      <c r="AR43" s="26">
        <f>'calc-Weights'!AR$2*'calc-Weights'!$B43*'calc-CovarMatrix'!AR43</f>
        <v>0</v>
      </c>
      <c r="AS43" s="26">
        <f>'calc-Weights'!AS$2*'calc-Weights'!$B43*'calc-CovarMatrix'!AS43</f>
        <v>0</v>
      </c>
      <c r="AT43" s="26">
        <f>'calc-Weights'!AT$2*'calc-Weights'!$B43*'calc-CovarMatrix'!AT43</f>
        <v>0</v>
      </c>
      <c r="AU43" s="26">
        <f>'calc-Weights'!AU$2*'calc-Weights'!$B43*'calc-CovarMatrix'!AU43</f>
        <v>0</v>
      </c>
      <c r="AV43" s="26">
        <f>'calc-Weights'!AV$2*'calc-Weights'!$B43*'calc-CovarMatrix'!AV43</f>
        <v>0</v>
      </c>
    </row>
    <row r="44" spans="1:48" x14ac:dyDescent="0.2">
      <c r="A44" s="26" t="s">
        <v>123</v>
      </c>
      <c r="B44" s="26">
        <f>'calc-Weights'!B$2*'calc-Weights'!$B44*'calc-CovarMatrix'!B44</f>
        <v>0</v>
      </c>
      <c r="C44" s="26">
        <f>'calc-Weights'!C$2*'calc-Weights'!$B44*'calc-CovarMatrix'!C44</f>
        <v>0</v>
      </c>
      <c r="D44" s="26">
        <f>'calc-Weights'!D$2*'calc-Weights'!$B44*'calc-CovarMatrix'!D44</f>
        <v>0</v>
      </c>
      <c r="E44" s="26">
        <f>'calc-Weights'!E$2*'calc-Weights'!$B44*'calc-CovarMatrix'!E44</f>
        <v>0</v>
      </c>
      <c r="F44" s="26">
        <f>'calc-Weights'!F$2*'calc-Weights'!$B44*'calc-CovarMatrix'!F44</f>
        <v>0</v>
      </c>
      <c r="G44" s="26">
        <f>'calc-Weights'!G$2*'calc-Weights'!$B44*'calc-CovarMatrix'!G44</f>
        <v>0</v>
      </c>
      <c r="H44" s="26">
        <f>'calc-Weights'!H$2*'calc-Weights'!$B44*'calc-CovarMatrix'!H44</f>
        <v>0</v>
      </c>
      <c r="I44" s="26">
        <f>'calc-Weights'!I$2*'calc-Weights'!$B44*'calc-CovarMatrix'!I44</f>
        <v>0</v>
      </c>
      <c r="J44" s="26">
        <f>'calc-Weights'!J$2*'calc-Weights'!$B44*'calc-CovarMatrix'!J44</f>
        <v>0</v>
      </c>
      <c r="K44" s="26">
        <f>'calc-Weights'!K$2*'calc-Weights'!$B44*'calc-CovarMatrix'!K44</f>
        <v>0</v>
      </c>
      <c r="L44" s="26">
        <f>'calc-Weights'!L$2*'calc-Weights'!$B44*'calc-CovarMatrix'!L44</f>
        <v>0</v>
      </c>
      <c r="M44" s="26">
        <f>'calc-Weights'!M$2*'calc-Weights'!$B44*'calc-CovarMatrix'!M44</f>
        <v>0</v>
      </c>
      <c r="N44" s="26">
        <f>'calc-Weights'!N$2*'calc-Weights'!$B44*'calc-CovarMatrix'!N44</f>
        <v>0</v>
      </c>
      <c r="O44" s="26">
        <f>'calc-Weights'!O$2*'calc-Weights'!$B44*'calc-CovarMatrix'!O44</f>
        <v>0</v>
      </c>
      <c r="P44" s="26">
        <f>'calc-Weights'!P$2*'calc-Weights'!$B44*'calc-CovarMatrix'!P44</f>
        <v>0</v>
      </c>
      <c r="Q44" s="26">
        <f>'calc-Weights'!Q$2*'calc-Weights'!$B44*'calc-CovarMatrix'!Q44</f>
        <v>0</v>
      </c>
      <c r="R44" s="26">
        <f>'calc-Weights'!R$2*'calc-Weights'!$B44*'calc-CovarMatrix'!R44</f>
        <v>0</v>
      </c>
      <c r="S44" s="26">
        <f>'calc-Weights'!S$2*'calc-Weights'!$B44*'calc-CovarMatrix'!S44</f>
        <v>0</v>
      </c>
      <c r="T44" s="26">
        <f>'calc-Weights'!T$2*'calc-Weights'!$B44*'calc-CovarMatrix'!T44</f>
        <v>0</v>
      </c>
      <c r="U44" s="26">
        <f>'calc-Weights'!U$2*'calc-Weights'!$B44*'calc-CovarMatrix'!U44</f>
        <v>0</v>
      </c>
      <c r="V44" s="26">
        <f>'calc-Weights'!V$2*'calc-Weights'!$B44*'calc-CovarMatrix'!V44</f>
        <v>0</v>
      </c>
      <c r="W44" s="26">
        <f>'calc-Weights'!W$2*'calc-Weights'!$B44*'calc-CovarMatrix'!W44</f>
        <v>0</v>
      </c>
      <c r="X44" s="26">
        <f>'calc-Weights'!X$2*'calc-Weights'!$B44*'calc-CovarMatrix'!X44</f>
        <v>0</v>
      </c>
      <c r="Y44" s="26">
        <f>'calc-Weights'!Y$2*'calc-Weights'!$B44*'calc-CovarMatrix'!Y44</f>
        <v>0</v>
      </c>
      <c r="Z44" s="26">
        <f>'calc-Weights'!Z$2*'calc-Weights'!$B44*'calc-CovarMatrix'!Z44</f>
        <v>0</v>
      </c>
      <c r="AA44" s="26">
        <f>'calc-Weights'!AA$2*'calc-Weights'!$B44*'calc-CovarMatrix'!AA44</f>
        <v>0</v>
      </c>
      <c r="AB44" s="26">
        <f>'calc-Weights'!AB$2*'calc-Weights'!$B44*'calc-CovarMatrix'!AB44</f>
        <v>0</v>
      </c>
      <c r="AC44" s="26">
        <f>'calc-Weights'!AC$2*'calc-Weights'!$B44*'calc-CovarMatrix'!AC44</f>
        <v>0</v>
      </c>
      <c r="AD44" s="26">
        <f>'calc-Weights'!AD$2*'calc-Weights'!$B44*'calc-CovarMatrix'!AD44</f>
        <v>0</v>
      </c>
      <c r="AE44" s="26">
        <f>'calc-Weights'!AE$2*'calc-Weights'!$B44*'calc-CovarMatrix'!AE44</f>
        <v>0</v>
      </c>
      <c r="AF44" s="26">
        <f>'calc-Weights'!AF$2*'calc-Weights'!$B44*'calc-CovarMatrix'!AF44</f>
        <v>0</v>
      </c>
      <c r="AG44" s="26">
        <f>'calc-Weights'!AG$2*'calc-Weights'!$B44*'calc-CovarMatrix'!AG44</f>
        <v>0</v>
      </c>
      <c r="AH44" s="26">
        <f>'calc-Weights'!AH$2*'calc-Weights'!$B44*'calc-CovarMatrix'!AH44</f>
        <v>0</v>
      </c>
      <c r="AI44" s="26">
        <f>'calc-Weights'!AI$2*'calc-Weights'!$B44*'calc-CovarMatrix'!AI44</f>
        <v>0</v>
      </c>
      <c r="AJ44" s="26">
        <f>'calc-Weights'!AJ$2*'calc-Weights'!$B44*'calc-CovarMatrix'!AJ44</f>
        <v>0</v>
      </c>
      <c r="AK44" s="26">
        <f>'calc-Weights'!AK$2*'calc-Weights'!$B44*'calc-CovarMatrix'!AK44</f>
        <v>0</v>
      </c>
      <c r="AL44" s="26">
        <f>'calc-Weights'!AL$2*'calc-Weights'!$B44*'calc-CovarMatrix'!AL44</f>
        <v>0</v>
      </c>
      <c r="AM44" s="26">
        <f>'calc-Weights'!AM$2*'calc-Weights'!$B44*'calc-CovarMatrix'!AM44</f>
        <v>0</v>
      </c>
      <c r="AN44" s="26">
        <f>'calc-Weights'!AN$2*'calc-Weights'!$B44*'calc-CovarMatrix'!AN44</f>
        <v>0</v>
      </c>
      <c r="AO44" s="26">
        <f>'calc-Weights'!AO$2*'calc-Weights'!$B44*'calc-CovarMatrix'!AO44</f>
        <v>0</v>
      </c>
      <c r="AP44" s="26">
        <f>'calc-Weights'!AP$2*'calc-Weights'!$B44*'calc-CovarMatrix'!AP44</f>
        <v>0</v>
      </c>
      <c r="AQ44" s="26">
        <f>'calc-Weights'!AQ$2*'calc-Weights'!$B44*'calc-CovarMatrix'!AQ44</f>
        <v>0</v>
      </c>
      <c r="AR44" s="26">
        <f>'calc-Weights'!AR$2*'calc-Weights'!$B44*'calc-CovarMatrix'!AR44</f>
        <v>0</v>
      </c>
      <c r="AS44" s="26">
        <f>'calc-Weights'!AS$2*'calc-Weights'!$B44*'calc-CovarMatrix'!AS44</f>
        <v>0</v>
      </c>
      <c r="AT44" s="26">
        <f>'calc-Weights'!AT$2*'calc-Weights'!$B44*'calc-CovarMatrix'!AT44</f>
        <v>0</v>
      </c>
      <c r="AU44" s="26">
        <f>'calc-Weights'!AU$2*'calc-Weights'!$B44*'calc-CovarMatrix'!AU44</f>
        <v>0</v>
      </c>
      <c r="AV44" s="26">
        <f>'calc-Weights'!AV$2*'calc-Weights'!$B44*'calc-CovarMatrix'!AV44</f>
        <v>0</v>
      </c>
    </row>
    <row r="45" spans="1:48" x14ac:dyDescent="0.2">
      <c r="A45" s="26" t="s">
        <v>124</v>
      </c>
      <c r="B45" s="26">
        <f>'calc-Weights'!B$2*'calc-Weights'!$B45*'calc-CovarMatrix'!B45</f>
        <v>0</v>
      </c>
      <c r="C45" s="26">
        <f>'calc-Weights'!C$2*'calc-Weights'!$B45*'calc-CovarMatrix'!C45</f>
        <v>0</v>
      </c>
      <c r="D45" s="26">
        <f>'calc-Weights'!D$2*'calc-Weights'!$B45*'calc-CovarMatrix'!D45</f>
        <v>0</v>
      </c>
      <c r="E45" s="26">
        <f>'calc-Weights'!E$2*'calc-Weights'!$B45*'calc-CovarMatrix'!E45</f>
        <v>0</v>
      </c>
      <c r="F45" s="26">
        <f>'calc-Weights'!F$2*'calc-Weights'!$B45*'calc-CovarMatrix'!F45</f>
        <v>0</v>
      </c>
      <c r="G45" s="26">
        <f>'calc-Weights'!G$2*'calc-Weights'!$B45*'calc-CovarMatrix'!G45</f>
        <v>0</v>
      </c>
      <c r="H45" s="26">
        <f>'calc-Weights'!H$2*'calc-Weights'!$B45*'calc-CovarMatrix'!H45</f>
        <v>0</v>
      </c>
      <c r="I45" s="26">
        <f>'calc-Weights'!I$2*'calc-Weights'!$B45*'calc-CovarMatrix'!I45</f>
        <v>0</v>
      </c>
      <c r="J45" s="26">
        <f>'calc-Weights'!J$2*'calc-Weights'!$B45*'calc-CovarMatrix'!J45</f>
        <v>0</v>
      </c>
      <c r="K45" s="26">
        <f>'calc-Weights'!K$2*'calc-Weights'!$B45*'calc-CovarMatrix'!K45</f>
        <v>0</v>
      </c>
      <c r="L45" s="26">
        <f>'calc-Weights'!L$2*'calc-Weights'!$B45*'calc-CovarMatrix'!L45</f>
        <v>0</v>
      </c>
      <c r="M45" s="26">
        <f>'calc-Weights'!M$2*'calc-Weights'!$B45*'calc-CovarMatrix'!M45</f>
        <v>0</v>
      </c>
      <c r="N45" s="26">
        <f>'calc-Weights'!N$2*'calc-Weights'!$B45*'calc-CovarMatrix'!N45</f>
        <v>0</v>
      </c>
      <c r="O45" s="26">
        <f>'calc-Weights'!O$2*'calc-Weights'!$B45*'calc-CovarMatrix'!O45</f>
        <v>0</v>
      </c>
      <c r="P45" s="26">
        <f>'calc-Weights'!P$2*'calc-Weights'!$B45*'calc-CovarMatrix'!P45</f>
        <v>0</v>
      </c>
      <c r="Q45" s="26">
        <f>'calc-Weights'!Q$2*'calc-Weights'!$B45*'calc-CovarMatrix'!Q45</f>
        <v>0</v>
      </c>
      <c r="R45" s="26">
        <f>'calc-Weights'!R$2*'calc-Weights'!$B45*'calc-CovarMatrix'!R45</f>
        <v>0</v>
      </c>
      <c r="S45" s="26">
        <f>'calc-Weights'!S$2*'calc-Weights'!$B45*'calc-CovarMatrix'!S45</f>
        <v>0</v>
      </c>
      <c r="T45" s="26">
        <f>'calc-Weights'!T$2*'calc-Weights'!$B45*'calc-CovarMatrix'!T45</f>
        <v>0</v>
      </c>
      <c r="U45" s="26">
        <f>'calc-Weights'!U$2*'calc-Weights'!$B45*'calc-CovarMatrix'!U45</f>
        <v>0</v>
      </c>
      <c r="V45" s="26">
        <f>'calc-Weights'!V$2*'calc-Weights'!$B45*'calc-CovarMatrix'!V45</f>
        <v>0</v>
      </c>
      <c r="W45" s="26">
        <f>'calc-Weights'!W$2*'calc-Weights'!$B45*'calc-CovarMatrix'!W45</f>
        <v>0</v>
      </c>
      <c r="X45" s="26">
        <f>'calc-Weights'!X$2*'calc-Weights'!$B45*'calc-CovarMatrix'!X45</f>
        <v>0</v>
      </c>
      <c r="Y45" s="26">
        <f>'calc-Weights'!Y$2*'calc-Weights'!$B45*'calc-CovarMatrix'!Y45</f>
        <v>0</v>
      </c>
      <c r="Z45" s="26">
        <f>'calc-Weights'!Z$2*'calc-Weights'!$B45*'calc-CovarMatrix'!Z45</f>
        <v>0</v>
      </c>
      <c r="AA45" s="26">
        <f>'calc-Weights'!AA$2*'calc-Weights'!$B45*'calc-CovarMatrix'!AA45</f>
        <v>0</v>
      </c>
      <c r="AB45" s="26">
        <f>'calc-Weights'!AB$2*'calc-Weights'!$B45*'calc-CovarMatrix'!AB45</f>
        <v>0</v>
      </c>
      <c r="AC45" s="26">
        <f>'calc-Weights'!AC$2*'calc-Weights'!$B45*'calc-CovarMatrix'!AC45</f>
        <v>0</v>
      </c>
      <c r="AD45" s="26">
        <f>'calc-Weights'!AD$2*'calc-Weights'!$B45*'calc-CovarMatrix'!AD45</f>
        <v>0</v>
      </c>
      <c r="AE45" s="26">
        <f>'calc-Weights'!AE$2*'calc-Weights'!$B45*'calc-CovarMatrix'!AE45</f>
        <v>0</v>
      </c>
      <c r="AF45" s="26">
        <f>'calc-Weights'!AF$2*'calc-Weights'!$B45*'calc-CovarMatrix'!AF45</f>
        <v>0</v>
      </c>
      <c r="AG45" s="26">
        <f>'calc-Weights'!AG$2*'calc-Weights'!$B45*'calc-CovarMatrix'!AG45</f>
        <v>0</v>
      </c>
      <c r="AH45" s="26">
        <f>'calc-Weights'!AH$2*'calc-Weights'!$B45*'calc-CovarMatrix'!AH45</f>
        <v>0</v>
      </c>
      <c r="AI45" s="26">
        <f>'calc-Weights'!AI$2*'calc-Weights'!$B45*'calc-CovarMatrix'!AI45</f>
        <v>0</v>
      </c>
      <c r="AJ45" s="26">
        <f>'calc-Weights'!AJ$2*'calc-Weights'!$B45*'calc-CovarMatrix'!AJ45</f>
        <v>0</v>
      </c>
      <c r="AK45" s="26">
        <f>'calc-Weights'!AK$2*'calc-Weights'!$B45*'calc-CovarMatrix'!AK45</f>
        <v>0</v>
      </c>
      <c r="AL45" s="26">
        <f>'calc-Weights'!AL$2*'calc-Weights'!$B45*'calc-CovarMatrix'!AL45</f>
        <v>0</v>
      </c>
      <c r="AM45" s="26">
        <f>'calc-Weights'!AM$2*'calc-Weights'!$B45*'calc-CovarMatrix'!AM45</f>
        <v>0</v>
      </c>
      <c r="AN45" s="26">
        <f>'calc-Weights'!AN$2*'calc-Weights'!$B45*'calc-CovarMatrix'!AN45</f>
        <v>0</v>
      </c>
      <c r="AO45" s="26">
        <f>'calc-Weights'!AO$2*'calc-Weights'!$B45*'calc-CovarMatrix'!AO45</f>
        <v>0</v>
      </c>
      <c r="AP45" s="26">
        <f>'calc-Weights'!AP$2*'calc-Weights'!$B45*'calc-CovarMatrix'!AP45</f>
        <v>0</v>
      </c>
      <c r="AQ45" s="26">
        <f>'calc-Weights'!AQ$2*'calc-Weights'!$B45*'calc-CovarMatrix'!AQ45</f>
        <v>0</v>
      </c>
      <c r="AR45" s="26">
        <f>'calc-Weights'!AR$2*'calc-Weights'!$B45*'calc-CovarMatrix'!AR45</f>
        <v>0</v>
      </c>
      <c r="AS45" s="26">
        <f>'calc-Weights'!AS$2*'calc-Weights'!$B45*'calc-CovarMatrix'!AS45</f>
        <v>0</v>
      </c>
      <c r="AT45" s="26">
        <f>'calc-Weights'!AT$2*'calc-Weights'!$B45*'calc-CovarMatrix'!AT45</f>
        <v>0</v>
      </c>
      <c r="AU45" s="26">
        <f>'calc-Weights'!AU$2*'calc-Weights'!$B45*'calc-CovarMatrix'!AU45</f>
        <v>0</v>
      </c>
      <c r="AV45" s="26">
        <f>'calc-Weights'!AV$2*'calc-Weights'!$B45*'calc-CovarMatrix'!AV45</f>
        <v>0</v>
      </c>
    </row>
    <row r="46" spans="1:48" x14ac:dyDescent="0.2">
      <c r="A46" s="26" t="s">
        <v>125</v>
      </c>
      <c r="B46" s="26">
        <f>'calc-Weights'!B$2*'calc-Weights'!$B46*'calc-CovarMatrix'!B46</f>
        <v>0</v>
      </c>
      <c r="C46" s="26">
        <f>'calc-Weights'!C$2*'calc-Weights'!$B46*'calc-CovarMatrix'!C46</f>
        <v>0</v>
      </c>
      <c r="D46" s="26">
        <f>'calc-Weights'!D$2*'calc-Weights'!$B46*'calc-CovarMatrix'!D46</f>
        <v>0</v>
      </c>
      <c r="E46" s="26">
        <f>'calc-Weights'!E$2*'calc-Weights'!$B46*'calc-CovarMatrix'!E46</f>
        <v>0</v>
      </c>
      <c r="F46" s="26">
        <f>'calc-Weights'!F$2*'calc-Weights'!$B46*'calc-CovarMatrix'!F46</f>
        <v>0</v>
      </c>
      <c r="G46" s="26">
        <f>'calc-Weights'!G$2*'calc-Weights'!$B46*'calc-CovarMatrix'!G46</f>
        <v>0</v>
      </c>
      <c r="H46" s="26">
        <f>'calc-Weights'!H$2*'calc-Weights'!$B46*'calc-CovarMatrix'!H46</f>
        <v>0</v>
      </c>
      <c r="I46" s="26">
        <f>'calc-Weights'!I$2*'calc-Weights'!$B46*'calc-CovarMatrix'!I46</f>
        <v>0</v>
      </c>
      <c r="J46" s="26">
        <f>'calc-Weights'!J$2*'calc-Weights'!$B46*'calc-CovarMatrix'!J46</f>
        <v>0</v>
      </c>
      <c r="K46" s="26">
        <f>'calc-Weights'!K$2*'calc-Weights'!$B46*'calc-CovarMatrix'!K46</f>
        <v>0</v>
      </c>
      <c r="L46" s="26">
        <f>'calc-Weights'!L$2*'calc-Weights'!$B46*'calc-CovarMatrix'!L46</f>
        <v>0</v>
      </c>
      <c r="M46" s="26">
        <f>'calc-Weights'!M$2*'calc-Weights'!$B46*'calc-CovarMatrix'!M46</f>
        <v>0</v>
      </c>
      <c r="N46" s="26">
        <f>'calc-Weights'!N$2*'calc-Weights'!$B46*'calc-CovarMatrix'!N46</f>
        <v>0</v>
      </c>
      <c r="O46" s="26">
        <f>'calc-Weights'!O$2*'calc-Weights'!$B46*'calc-CovarMatrix'!O46</f>
        <v>0</v>
      </c>
      <c r="P46" s="26">
        <f>'calc-Weights'!P$2*'calc-Weights'!$B46*'calc-CovarMatrix'!P46</f>
        <v>0</v>
      </c>
      <c r="Q46" s="26">
        <f>'calc-Weights'!Q$2*'calc-Weights'!$B46*'calc-CovarMatrix'!Q46</f>
        <v>0</v>
      </c>
      <c r="R46" s="26">
        <f>'calc-Weights'!R$2*'calc-Weights'!$B46*'calc-CovarMatrix'!R46</f>
        <v>0</v>
      </c>
      <c r="S46" s="26">
        <f>'calc-Weights'!S$2*'calc-Weights'!$B46*'calc-CovarMatrix'!S46</f>
        <v>0</v>
      </c>
      <c r="T46" s="26">
        <f>'calc-Weights'!T$2*'calc-Weights'!$B46*'calc-CovarMatrix'!T46</f>
        <v>0</v>
      </c>
      <c r="U46" s="26">
        <f>'calc-Weights'!U$2*'calc-Weights'!$B46*'calc-CovarMatrix'!U46</f>
        <v>0</v>
      </c>
      <c r="V46" s="26">
        <f>'calc-Weights'!V$2*'calc-Weights'!$B46*'calc-CovarMatrix'!V46</f>
        <v>0</v>
      </c>
      <c r="W46" s="26">
        <f>'calc-Weights'!W$2*'calc-Weights'!$B46*'calc-CovarMatrix'!W46</f>
        <v>0</v>
      </c>
      <c r="X46" s="26">
        <f>'calc-Weights'!X$2*'calc-Weights'!$B46*'calc-CovarMatrix'!X46</f>
        <v>0</v>
      </c>
      <c r="Y46" s="26">
        <f>'calc-Weights'!Y$2*'calc-Weights'!$B46*'calc-CovarMatrix'!Y46</f>
        <v>0</v>
      </c>
      <c r="Z46" s="26">
        <f>'calc-Weights'!Z$2*'calc-Weights'!$B46*'calc-CovarMatrix'!Z46</f>
        <v>0</v>
      </c>
      <c r="AA46" s="26">
        <f>'calc-Weights'!AA$2*'calc-Weights'!$B46*'calc-CovarMatrix'!AA46</f>
        <v>0</v>
      </c>
      <c r="AB46" s="26">
        <f>'calc-Weights'!AB$2*'calc-Weights'!$B46*'calc-CovarMatrix'!AB46</f>
        <v>0</v>
      </c>
      <c r="AC46" s="26">
        <f>'calc-Weights'!AC$2*'calc-Weights'!$B46*'calc-CovarMatrix'!AC46</f>
        <v>0</v>
      </c>
      <c r="AD46" s="26">
        <f>'calc-Weights'!AD$2*'calc-Weights'!$B46*'calc-CovarMatrix'!AD46</f>
        <v>0</v>
      </c>
      <c r="AE46" s="26">
        <f>'calc-Weights'!AE$2*'calc-Weights'!$B46*'calc-CovarMatrix'!AE46</f>
        <v>0</v>
      </c>
      <c r="AF46" s="26">
        <f>'calc-Weights'!AF$2*'calc-Weights'!$B46*'calc-CovarMatrix'!AF46</f>
        <v>0</v>
      </c>
      <c r="AG46" s="26">
        <f>'calc-Weights'!AG$2*'calc-Weights'!$B46*'calc-CovarMatrix'!AG46</f>
        <v>0</v>
      </c>
      <c r="AH46" s="26">
        <f>'calc-Weights'!AH$2*'calc-Weights'!$B46*'calc-CovarMatrix'!AH46</f>
        <v>0</v>
      </c>
      <c r="AI46" s="26">
        <f>'calc-Weights'!AI$2*'calc-Weights'!$B46*'calc-CovarMatrix'!AI46</f>
        <v>0</v>
      </c>
      <c r="AJ46" s="26">
        <f>'calc-Weights'!AJ$2*'calc-Weights'!$B46*'calc-CovarMatrix'!AJ46</f>
        <v>0</v>
      </c>
      <c r="AK46" s="26">
        <f>'calc-Weights'!AK$2*'calc-Weights'!$B46*'calc-CovarMatrix'!AK46</f>
        <v>0</v>
      </c>
      <c r="AL46" s="26">
        <f>'calc-Weights'!AL$2*'calc-Weights'!$B46*'calc-CovarMatrix'!AL46</f>
        <v>0</v>
      </c>
      <c r="AM46" s="26">
        <f>'calc-Weights'!AM$2*'calc-Weights'!$B46*'calc-CovarMatrix'!AM46</f>
        <v>0</v>
      </c>
      <c r="AN46" s="26">
        <f>'calc-Weights'!AN$2*'calc-Weights'!$B46*'calc-CovarMatrix'!AN46</f>
        <v>0</v>
      </c>
      <c r="AO46" s="26">
        <f>'calc-Weights'!AO$2*'calc-Weights'!$B46*'calc-CovarMatrix'!AO46</f>
        <v>0</v>
      </c>
      <c r="AP46" s="26">
        <f>'calc-Weights'!AP$2*'calc-Weights'!$B46*'calc-CovarMatrix'!AP46</f>
        <v>0</v>
      </c>
      <c r="AQ46" s="26">
        <f>'calc-Weights'!AQ$2*'calc-Weights'!$B46*'calc-CovarMatrix'!AQ46</f>
        <v>0</v>
      </c>
      <c r="AR46" s="26">
        <f>'calc-Weights'!AR$2*'calc-Weights'!$B46*'calc-CovarMatrix'!AR46</f>
        <v>0</v>
      </c>
      <c r="AS46" s="26">
        <f>'calc-Weights'!AS$2*'calc-Weights'!$B46*'calc-CovarMatrix'!AS46</f>
        <v>0</v>
      </c>
      <c r="AT46" s="26">
        <f>'calc-Weights'!AT$2*'calc-Weights'!$B46*'calc-CovarMatrix'!AT46</f>
        <v>0</v>
      </c>
      <c r="AU46" s="26">
        <f>'calc-Weights'!AU$2*'calc-Weights'!$B46*'calc-CovarMatrix'!AU46</f>
        <v>0</v>
      </c>
      <c r="AV46" s="26">
        <f>'calc-Weights'!AV$2*'calc-Weights'!$B46*'calc-CovarMatrix'!AV46</f>
        <v>0</v>
      </c>
    </row>
    <row r="47" spans="1:48" x14ac:dyDescent="0.2">
      <c r="A47" s="26" t="s">
        <v>126</v>
      </c>
      <c r="B47" s="26">
        <f>'calc-Weights'!B$2*'calc-Weights'!$B47*'calc-CovarMatrix'!B47</f>
        <v>0</v>
      </c>
      <c r="C47" s="26">
        <f>'calc-Weights'!C$2*'calc-Weights'!$B47*'calc-CovarMatrix'!C47</f>
        <v>0</v>
      </c>
      <c r="D47" s="26">
        <f>'calc-Weights'!D$2*'calc-Weights'!$B47*'calc-CovarMatrix'!D47</f>
        <v>0</v>
      </c>
      <c r="E47" s="26">
        <f>'calc-Weights'!E$2*'calc-Weights'!$B47*'calc-CovarMatrix'!E47</f>
        <v>0</v>
      </c>
      <c r="F47" s="26">
        <f>'calc-Weights'!F$2*'calc-Weights'!$B47*'calc-CovarMatrix'!F47</f>
        <v>0</v>
      </c>
      <c r="G47" s="26">
        <f>'calc-Weights'!G$2*'calc-Weights'!$B47*'calc-CovarMatrix'!G47</f>
        <v>0</v>
      </c>
      <c r="H47" s="26">
        <f>'calc-Weights'!H$2*'calc-Weights'!$B47*'calc-CovarMatrix'!H47</f>
        <v>0</v>
      </c>
      <c r="I47" s="26">
        <f>'calc-Weights'!I$2*'calc-Weights'!$B47*'calc-CovarMatrix'!I47</f>
        <v>0</v>
      </c>
      <c r="J47" s="26">
        <f>'calc-Weights'!J$2*'calc-Weights'!$B47*'calc-CovarMatrix'!J47</f>
        <v>0</v>
      </c>
      <c r="K47" s="26">
        <f>'calc-Weights'!K$2*'calc-Weights'!$B47*'calc-CovarMatrix'!K47</f>
        <v>0</v>
      </c>
      <c r="L47" s="26">
        <f>'calc-Weights'!L$2*'calc-Weights'!$B47*'calc-CovarMatrix'!L47</f>
        <v>0</v>
      </c>
      <c r="M47" s="26">
        <f>'calc-Weights'!M$2*'calc-Weights'!$B47*'calc-CovarMatrix'!M47</f>
        <v>0</v>
      </c>
      <c r="N47" s="26">
        <f>'calc-Weights'!N$2*'calc-Weights'!$B47*'calc-CovarMatrix'!N47</f>
        <v>0</v>
      </c>
      <c r="O47" s="26">
        <f>'calc-Weights'!O$2*'calc-Weights'!$B47*'calc-CovarMatrix'!O47</f>
        <v>0</v>
      </c>
      <c r="P47" s="26">
        <f>'calc-Weights'!P$2*'calc-Weights'!$B47*'calc-CovarMatrix'!P47</f>
        <v>0</v>
      </c>
      <c r="Q47" s="26">
        <f>'calc-Weights'!Q$2*'calc-Weights'!$B47*'calc-CovarMatrix'!Q47</f>
        <v>0</v>
      </c>
      <c r="R47" s="26">
        <f>'calc-Weights'!R$2*'calc-Weights'!$B47*'calc-CovarMatrix'!R47</f>
        <v>0</v>
      </c>
      <c r="S47" s="26">
        <f>'calc-Weights'!S$2*'calc-Weights'!$B47*'calc-CovarMatrix'!S47</f>
        <v>0</v>
      </c>
      <c r="T47" s="26">
        <f>'calc-Weights'!T$2*'calc-Weights'!$B47*'calc-CovarMatrix'!T47</f>
        <v>0</v>
      </c>
      <c r="U47" s="26">
        <f>'calc-Weights'!U$2*'calc-Weights'!$B47*'calc-CovarMatrix'!U47</f>
        <v>0</v>
      </c>
      <c r="V47" s="26">
        <f>'calc-Weights'!V$2*'calc-Weights'!$B47*'calc-CovarMatrix'!V47</f>
        <v>0</v>
      </c>
      <c r="W47" s="26">
        <f>'calc-Weights'!W$2*'calc-Weights'!$B47*'calc-CovarMatrix'!W47</f>
        <v>0</v>
      </c>
      <c r="X47" s="26">
        <f>'calc-Weights'!X$2*'calc-Weights'!$B47*'calc-CovarMatrix'!X47</f>
        <v>0</v>
      </c>
      <c r="Y47" s="26">
        <f>'calc-Weights'!Y$2*'calc-Weights'!$B47*'calc-CovarMatrix'!Y47</f>
        <v>0</v>
      </c>
      <c r="Z47" s="26">
        <f>'calc-Weights'!Z$2*'calc-Weights'!$B47*'calc-CovarMatrix'!Z47</f>
        <v>0</v>
      </c>
      <c r="AA47" s="26">
        <f>'calc-Weights'!AA$2*'calc-Weights'!$B47*'calc-CovarMatrix'!AA47</f>
        <v>0</v>
      </c>
      <c r="AB47" s="26">
        <f>'calc-Weights'!AB$2*'calc-Weights'!$B47*'calc-CovarMatrix'!AB47</f>
        <v>0</v>
      </c>
      <c r="AC47" s="26">
        <f>'calc-Weights'!AC$2*'calc-Weights'!$B47*'calc-CovarMatrix'!AC47</f>
        <v>0</v>
      </c>
      <c r="AD47" s="26">
        <f>'calc-Weights'!AD$2*'calc-Weights'!$B47*'calc-CovarMatrix'!AD47</f>
        <v>0</v>
      </c>
      <c r="AE47" s="26">
        <f>'calc-Weights'!AE$2*'calc-Weights'!$B47*'calc-CovarMatrix'!AE47</f>
        <v>0</v>
      </c>
      <c r="AF47" s="26">
        <f>'calc-Weights'!AF$2*'calc-Weights'!$B47*'calc-CovarMatrix'!AF47</f>
        <v>0</v>
      </c>
      <c r="AG47" s="26">
        <f>'calc-Weights'!AG$2*'calc-Weights'!$B47*'calc-CovarMatrix'!AG47</f>
        <v>0</v>
      </c>
      <c r="AH47" s="26">
        <f>'calc-Weights'!AH$2*'calc-Weights'!$B47*'calc-CovarMatrix'!AH47</f>
        <v>0</v>
      </c>
      <c r="AI47" s="26">
        <f>'calc-Weights'!AI$2*'calc-Weights'!$B47*'calc-CovarMatrix'!AI47</f>
        <v>0</v>
      </c>
      <c r="AJ47" s="26">
        <f>'calc-Weights'!AJ$2*'calc-Weights'!$B47*'calc-CovarMatrix'!AJ47</f>
        <v>0</v>
      </c>
      <c r="AK47" s="26">
        <f>'calc-Weights'!AK$2*'calc-Weights'!$B47*'calc-CovarMatrix'!AK47</f>
        <v>0</v>
      </c>
      <c r="AL47" s="26">
        <f>'calc-Weights'!AL$2*'calc-Weights'!$B47*'calc-CovarMatrix'!AL47</f>
        <v>0</v>
      </c>
      <c r="AM47" s="26">
        <f>'calc-Weights'!AM$2*'calc-Weights'!$B47*'calc-CovarMatrix'!AM47</f>
        <v>0</v>
      </c>
      <c r="AN47" s="26">
        <f>'calc-Weights'!AN$2*'calc-Weights'!$B47*'calc-CovarMatrix'!AN47</f>
        <v>0</v>
      </c>
      <c r="AO47" s="26">
        <f>'calc-Weights'!AO$2*'calc-Weights'!$B47*'calc-CovarMatrix'!AO47</f>
        <v>0</v>
      </c>
      <c r="AP47" s="26">
        <f>'calc-Weights'!AP$2*'calc-Weights'!$B47*'calc-CovarMatrix'!AP47</f>
        <v>0</v>
      </c>
      <c r="AQ47" s="26">
        <f>'calc-Weights'!AQ$2*'calc-Weights'!$B47*'calc-CovarMatrix'!AQ47</f>
        <v>0</v>
      </c>
      <c r="AR47" s="26">
        <f>'calc-Weights'!AR$2*'calc-Weights'!$B47*'calc-CovarMatrix'!AR47</f>
        <v>0</v>
      </c>
      <c r="AS47" s="26">
        <f>'calc-Weights'!AS$2*'calc-Weights'!$B47*'calc-CovarMatrix'!AS47</f>
        <v>0</v>
      </c>
      <c r="AT47" s="26">
        <f>'calc-Weights'!AT$2*'calc-Weights'!$B47*'calc-CovarMatrix'!AT47</f>
        <v>0</v>
      </c>
      <c r="AU47" s="26">
        <f>'calc-Weights'!AU$2*'calc-Weights'!$B47*'calc-CovarMatrix'!AU47</f>
        <v>0</v>
      </c>
      <c r="AV47" s="26">
        <f>'calc-Weights'!AV$2*'calc-Weights'!$B47*'calc-CovarMatrix'!AV47</f>
        <v>0</v>
      </c>
    </row>
    <row r="48" spans="1:48" ht="15" thickBot="1" x14ac:dyDescent="0.25">
      <c r="A48" s="27" t="s">
        <v>127</v>
      </c>
      <c r="B48" s="27">
        <f>'calc-Weights'!B$2*'calc-Weights'!$B48*'calc-CovarMatrix'!B48</f>
        <v>0</v>
      </c>
      <c r="C48" s="27">
        <f>'calc-Weights'!C$2*'calc-Weights'!$B48*'calc-CovarMatrix'!C48</f>
        <v>0</v>
      </c>
      <c r="D48" s="27">
        <f>'calc-Weights'!D$2*'calc-Weights'!$B48*'calc-CovarMatrix'!D48</f>
        <v>4.9689233515040277E-7</v>
      </c>
      <c r="E48" s="27">
        <f>'calc-Weights'!E$2*'calc-Weights'!$B48*'calc-CovarMatrix'!E48</f>
        <v>0</v>
      </c>
      <c r="F48" s="27">
        <f>'calc-Weights'!F$2*'calc-Weights'!$B48*'calc-CovarMatrix'!F48</f>
        <v>0</v>
      </c>
      <c r="G48" s="27">
        <f>'calc-Weights'!G$2*'calc-Weights'!$B48*'calc-CovarMatrix'!G48</f>
        <v>0</v>
      </c>
      <c r="H48" s="27">
        <f>'calc-Weights'!H$2*'calc-Weights'!$B48*'calc-CovarMatrix'!H48</f>
        <v>0</v>
      </c>
      <c r="I48" s="27">
        <f>'calc-Weights'!I$2*'calc-Weights'!$B48*'calc-CovarMatrix'!I48</f>
        <v>2.191865749025845E-6</v>
      </c>
      <c r="J48" s="27">
        <f>'calc-Weights'!J$2*'calc-Weights'!$B48*'calc-CovarMatrix'!J48</f>
        <v>2.9093139002322325E-7</v>
      </c>
      <c r="K48" s="27">
        <f>'calc-Weights'!K$2*'calc-Weights'!$B48*'calc-CovarMatrix'!K48</f>
        <v>0</v>
      </c>
      <c r="L48" s="27">
        <f>'calc-Weights'!L$2*'calc-Weights'!$B48*'calc-CovarMatrix'!L48</f>
        <v>0</v>
      </c>
      <c r="M48" s="27">
        <f>'calc-Weights'!M$2*'calc-Weights'!$B48*'calc-CovarMatrix'!M48</f>
        <v>1.5503194230900687E-7</v>
      </c>
      <c r="N48" s="27">
        <f>'calc-Weights'!N$2*'calc-Weights'!$B48*'calc-CovarMatrix'!N48</f>
        <v>0</v>
      </c>
      <c r="O48" s="27">
        <f>'calc-Weights'!O$2*'calc-Weights'!$B48*'calc-CovarMatrix'!O48</f>
        <v>0</v>
      </c>
      <c r="P48" s="27">
        <f>'calc-Weights'!P$2*'calc-Weights'!$B48*'calc-CovarMatrix'!P48</f>
        <v>0</v>
      </c>
      <c r="Q48" s="27">
        <f>'calc-Weights'!Q$2*'calc-Weights'!$B48*'calc-CovarMatrix'!Q48</f>
        <v>0</v>
      </c>
      <c r="R48" s="27">
        <f>'calc-Weights'!R$2*'calc-Weights'!$B48*'calc-CovarMatrix'!R48</f>
        <v>0</v>
      </c>
      <c r="S48" s="27">
        <f>'calc-Weights'!S$2*'calc-Weights'!$B48*'calc-CovarMatrix'!S48</f>
        <v>0</v>
      </c>
      <c r="T48" s="27">
        <f>'calc-Weights'!T$2*'calc-Weights'!$B48*'calc-CovarMatrix'!T48</f>
        <v>0</v>
      </c>
      <c r="U48" s="27">
        <f>'calc-Weights'!U$2*'calc-Weights'!$B48*'calc-CovarMatrix'!U48</f>
        <v>4.267368405625198E-6</v>
      </c>
      <c r="V48" s="27">
        <f>'calc-Weights'!V$2*'calc-Weights'!$B48*'calc-CovarMatrix'!V48</f>
        <v>0</v>
      </c>
      <c r="W48" s="27">
        <f>'calc-Weights'!W$2*'calc-Weights'!$B48*'calc-CovarMatrix'!W48</f>
        <v>0</v>
      </c>
      <c r="X48" s="27">
        <f>'calc-Weights'!X$2*'calc-Weights'!$B48*'calc-CovarMatrix'!X48</f>
        <v>0</v>
      </c>
      <c r="Y48" s="27">
        <f>'calc-Weights'!Y$2*'calc-Weights'!$B48*'calc-CovarMatrix'!Y48</f>
        <v>0</v>
      </c>
      <c r="Z48" s="27">
        <f>'calc-Weights'!Z$2*'calc-Weights'!$B48*'calc-CovarMatrix'!Z48</f>
        <v>0</v>
      </c>
      <c r="AA48" s="27">
        <f>'calc-Weights'!AA$2*'calc-Weights'!$B48*'calc-CovarMatrix'!AA48</f>
        <v>0</v>
      </c>
      <c r="AB48" s="27">
        <f>'calc-Weights'!AB$2*'calc-Weights'!$B48*'calc-CovarMatrix'!AB48</f>
        <v>0</v>
      </c>
      <c r="AC48" s="27">
        <f>'calc-Weights'!AC$2*'calc-Weights'!$B48*'calc-CovarMatrix'!AC48</f>
        <v>0</v>
      </c>
      <c r="AD48" s="27">
        <f>'calc-Weights'!AD$2*'calc-Weights'!$B48*'calc-CovarMatrix'!AD48</f>
        <v>0</v>
      </c>
      <c r="AE48" s="27">
        <f>'calc-Weights'!AE$2*'calc-Weights'!$B48*'calc-CovarMatrix'!AE48</f>
        <v>0</v>
      </c>
      <c r="AF48" s="27">
        <f>'calc-Weights'!AF$2*'calc-Weights'!$B48*'calc-CovarMatrix'!AF48</f>
        <v>0</v>
      </c>
      <c r="AG48" s="27">
        <f>'calc-Weights'!AG$2*'calc-Weights'!$B48*'calc-CovarMatrix'!AG48</f>
        <v>2.7949720894648803E-7</v>
      </c>
      <c r="AH48" s="27">
        <f>'calc-Weights'!AH$2*'calc-Weights'!$B48*'calc-CovarMatrix'!AH48</f>
        <v>3.5956000830663789E-7</v>
      </c>
      <c r="AI48" s="27">
        <f>'calc-Weights'!AI$2*'calc-Weights'!$B48*'calc-CovarMatrix'!AI48</f>
        <v>0</v>
      </c>
      <c r="AJ48" s="27">
        <f>'calc-Weights'!AJ$2*'calc-Weights'!$B48*'calc-CovarMatrix'!AJ48</f>
        <v>6.9032756346675932E-6</v>
      </c>
      <c r="AK48" s="27">
        <f>'calc-Weights'!AK$2*'calc-Weights'!$B48*'calc-CovarMatrix'!AK48</f>
        <v>0</v>
      </c>
      <c r="AL48" s="27">
        <f>'calc-Weights'!AL$2*'calc-Weights'!$B48*'calc-CovarMatrix'!AL48</f>
        <v>0</v>
      </c>
      <c r="AM48" s="27">
        <f>'calc-Weights'!AM$2*'calc-Weights'!$B48*'calc-CovarMatrix'!AM48</f>
        <v>0</v>
      </c>
      <c r="AN48" s="27">
        <f>'calc-Weights'!AN$2*'calc-Weights'!$B48*'calc-CovarMatrix'!AN48</f>
        <v>0</v>
      </c>
      <c r="AO48" s="27">
        <f>'calc-Weights'!AO$2*'calc-Weights'!$B48*'calc-CovarMatrix'!AO48</f>
        <v>0</v>
      </c>
      <c r="AP48" s="27">
        <f>'calc-Weights'!AP$2*'calc-Weights'!$B48*'calc-CovarMatrix'!AP48</f>
        <v>5.2876822375236098E-7</v>
      </c>
      <c r="AQ48" s="27">
        <f>'calc-Weights'!AQ$2*'calc-Weights'!$B48*'calc-CovarMatrix'!AQ48</f>
        <v>0</v>
      </c>
      <c r="AR48" s="27">
        <f>'calc-Weights'!AR$2*'calc-Weights'!$B48*'calc-CovarMatrix'!AR48</f>
        <v>0</v>
      </c>
      <c r="AS48" s="27">
        <f>'calc-Weights'!AS$2*'calc-Weights'!$B48*'calc-CovarMatrix'!AS48</f>
        <v>0</v>
      </c>
      <c r="AT48" s="27">
        <f>'calc-Weights'!AT$2*'calc-Weights'!$B48*'calc-CovarMatrix'!AT48</f>
        <v>0</v>
      </c>
      <c r="AU48" s="27">
        <f>'calc-Weights'!AU$2*'calc-Weights'!$B48*'calc-CovarMatrix'!AU48</f>
        <v>0</v>
      </c>
      <c r="AV48" s="27">
        <f>'calc-Weights'!AV$2*'calc-Weights'!$B48*'calc-CovarMatrix'!AV48</f>
        <v>2.2910200963691627E-5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79998168889431442"/>
  </sheetPr>
  <dimension ref="A1:M49"/>
  <sheetViews>
    <sheetView showGridLines="0" zoomScale="85" zoomScaleNormal="85" workbookViewId="0">
      <selection activeCell="D2" sqref="D2:D48"/>
    </sheetView>
  </sheetViews>
  <sheetFormatPr defaultRowHeight="14.25" x14ac:dyDescent="0.2"/>
  <cols>
    <col min="1" max="1" width="8.125" customWidth="1"/>
    <col min="2" max="2" width="12.375" customWidth="1"/>
    <col min="3" max="3" width="15.875" customWidth="1"/>
    <col min="4" max="4" width="13.5" customWidth="1"/>
    <col min="5" max="5" width="8.625" customWidth="1"/>
    <col min="6" max="6" width="6" customWidth="1"/>
    <col min="7" max="7" width="16.75" customWidth="1"/>
    <col min="9" max="9" width="21.5" bestFit="1" customWidth="1"/>
    <col min="12" max="12" width="14.25" bestFit="1" customWidth="1"/>
    <col min="13" max="13" width="5.125" bestFit="1" customWidth="1"/>
  </cols>
  <sheetData>
    <row r="1" spans="1:13" x14ac:dyDescent="0.2">
      <c r="A1" t="s">
        <v>172</v>
      </c>
      <c r="B1" t="s">
        <v>185</v>
      </c>
      <c r="C1" t="s">
        <v>186</v>
      </c>
      <c r="D1" t="s">
        <v>183</v>
      </c>
      <c r="E1" s="34" t="s">
        <v>173</v>
      </c>
      <c r="F1" t="s">
        <v>148</v>
      </c>
      <c r="G1" t="s">
        <v>174</v>
      </c>
      <c r="I1" t="s">
        <v>175</v>
      </c>
      <c r="L1" t="s">
        <v>178</v>
      </c>
    </row>
    <row r="2" spans="1:13" x14ac:dyDescent="0.2">
      <c r="A2" t="s">
        <v>73</v>
      </c>
      <c r="B2" s="36">
        <v>0</v>
      </c>
      <c r="C2" s="33">
        <v>113.46</v>
      </c>
      <c r="D2" s="33">
        <f>B2*C2</f>
        <v>0</v>
      </c>
      <c r="E2" s="35">
        <f>D2/$I$20</f>
        <v>0</v>
      </c>
      <c r="F2" s="16">
        <v>4.2137785753255337E-2</v>
      </c>
      <c r="G2" s="16">
        <f t="shared" ref="G2:G48" si="0">E2*F2</f>
        <v>0</v>
      </c>
      <c r="I2" s="16">
        <f>SUM(E2:E48)</f>
        <v>1.0104334842980141</v>
      </c>
      <c r="L2" t="s">
        <v>180</v>
      </c>
      <c r="M2" t="s">
        <v>179</v>
      </c>
    </row>
    <row r="3" spans="1:13" x14ac:dyDescent="0.2">
      <c r="A3" t="s">
        <v>74</v>
      </c>
      <c r="B3" s="36">
        <v>0</v>
      </c>
      <c r="C3" s="33">
        <v>81.290000000000006</v>
      </c>
      <c r="D3" s="33">
        <f t="shared" ref="D3:D48" si="1">B3*C3</f>
        <v>0</v>
      </c>
      <c r="E3" s="35">
        <f t="shared" ref="E3:E48" si="2">D3/$I$20</f>
        <v>0</v>
      </c>
      <c r="F3" s="16">
        <v>4.0294786958725216E-2</v>
      </c>
      <c r="G3" s="16">
        <f t="shared" si="0"/>
        <v>0</v>
      </c>
      <c r="L3">
        <v>4.1820822857089823E-2</v>
      </c>
      <c r="M3" s="16">
        <v>1.4999999999999999E-2</v>
      </c>
    </row>
    <row r="4" spans="1:13" x14ac:dyDescent="0.2">
      <c r="A4" t="s">
        <v>75</v>
      </c>
      <c r="B4" s="36">
        <v>2</v>
      </c>
      <c r="C4" s="33">
        <v>63.47</v>
      </c>
      <c r="D4" s="33">
        <f t="shared" si="1"/>
        <v>126.94</v>
      </c>
      <c r="E4" s="35">
        <f t="shared" si="2"/>
        <v>2.5270492211217837E-2</v>
      </c>
      <c r="F4" s="16">
        <v>4.4849800642427114E-2</v>
      </c>
      <c r="G4" s="16">
        <f t="shared" si="0"/>
        <v>1.1333765378091271E-3</v>
      </c>
      <c r="I4" t="s">
        <v>170</v>
      </c>
      <c r="L4">
        <v>3.8437143344045792E-2</v>
      </c>
      <c r="M4" s="16">
        <f t="shared" ref="M4:M11" si="3">M3+0.005</f>
        <v>0.02</v>
      </c>
    </row>
    <row r="5" spans="1:13" x14ac:dyDescent="0.2">
      <c r="A5" t="s">
        <v>76</v>
      </c>
      <c r="B5" s="36">
        <v>0</v>
      </c>
      <c r="C5" s="33">
        <v>87.51</v>
      </c>
      <c r="D5" s="33">
        <f t="shared" si="1"/>
        <v>0</v>
      </c>
      <c r="E5" s="35">
        <f t="shared" si="2"/>
        <v>0</v>
      </c>
      <c r="F5" s="16">
        <v>3.8740127687341842E-2</v>
      </c>
      <c r="G5" s="16">
        <f t="shared" si="0"/>
        <v>0</v>
      </c>
      <c r="I5">
        <f>SUM('calc-PortfolioVarCompos'!B2:AV48)</f>
        <v>1.3554193346465869E-4</v>
      </c>
      <c r="L5">
        <v>3.5961429085970775E-2</v>
      </c>
      <c r="M5" s="16">
        <f t="shared" si="3"/>
        <v>2.5000000000000001E-2</v>
      </c>
    </row>
    <row r="6" spans="1:13" x14ac:dyDescent="0.2">
      <c r="A6" t="s">
        <v>77</v>
      </c>
      <c r="B6" s="36">
        <v>0</v>
      </c>
      <c r="C6" s="33">
        <v>74.709999999999994</v>
      </c>
      <c r="D6" s="33">
        <f t="shared" si="1"/>
        <v>0</v>
      </c>
      <c r="E6" s="35">
        <f t="shared" si="2"/>
        <v>0</v>
      </c>
      <c r="F6" s="16">
        <v>4.384790199273926E-2</v>
      </c>
      <c r="G6" s="16">
        <f t="shared" si="0"/>
        <v>0</v>
      </c>
      <c r="L6">
        <v>3.4504349640592229E-2</v>
      </c>
      <c r="M6" s="16">
        <f t="shared" si="3"/>
        <v>3.0000000000000002E-2</v>
      </c>
    </row>
    <row r="7" spans="1:13" x14ac:dyDescent="0.2">
      <c r="A7" t="s">
        <v>78</v>
      </c>
      <c r="B7" s="36">
        <v>0</v>
      </c>
      <c r="C7" s="33">
        <v>51.49</v>
      </c>
      <c r="D7" s="33">
        <f t="shared" si="1"/>
        <v>0</v>
      </c>
      <c r="E7" s="35">
        <f t="shared" si="2"/>
        <v>0</v>
      </c>
      <c r="F7" s="16">
        <v>4.5017335793557774E-2</v>
      </c>
      <c r="G7" s="16">
        <f t="shared" si="0"/>
        <v>0</v>
      </c>
      <c r="I7" t="s">
        <v>171</v>
      </c>
      <c r="L7">
        <v>3.4039678522737135E-2</v>
      </c>
      <c r="M7" s="16">
        <f t="shared" si="3"/>
        <v>3.5000000000000003E-2</v>
      </c>
    </row>
    <row r="8" spans="1:13" x14ac:dyDescent="0.2">
      <c r="A8" t="s">
        <v>79</v>
      </c>
      <c r="B8" s="36">
        <v>0</v>
      </c>
      <c r="C8" s="33">
        <v>78.569999999999993</v>
      </c>
      <c r="D8" s="33">
        <f t="shared" si="1"/>
        <v>0</v>
      </c>
      <c r="E8" s="35">
        <f t="shared" si="2"/>
        <v>0</v>
      </c>
      <c r="F8" s="16">
        <v>4.5451621399489245E-2</v>
      </c>
      <c r="G8" s="16">
        <f t="shared" si="0"/>
        <v>0</v>
      </c>
      <c r="I8">
        <f>SQRT(I5)</f>
        <v>1.1642247784026016E-2</v>
      </c>
      <c r="L8">
        <v>3.4459913717676816E-2</v>
      </c>
      <c r="M8" s="16">
        <f t="shared" si="3"/>
        <v>0.04</v>
      </c>
    </row>
    <row r="9" spans="1:13" x14ac:dyDescent="0.2">
      <c r="A9" t="s">
        <v>80</v>
      </c>
      <c r="B9" s="36">
        <v>52</v>
      </c>
      <c r="C9" s="33">
        <v>60.12</v>
      </c>
      <c r="D9" s="33">
        <f t="shared" si="1"/>
        <v>3126.24</v>
      </c>
      <c r="E9" s="35">
        <f t="shared" si="2"/>
        <v>0.62235405365052499</v>
      </c>
      <c r="F9" s="16">
        <v>4.8026346961265003E-2</v>
      </c>
      <c r="G9" s="16">
        <f t="shared" si="0"/>
        <v>2.9889391713369847E-2</v>
      </c>
      <c r="L9">
        <v>3.56549881328743E-2</v>
      </c>
      <c r="M9" s="16">
        <f t="shared" si="3"/>
        <v>4.4999999999999998E-2</v>
      </c>
    </row>
    <row r="10" spans="1:13" x14ac:dyDescent="0.2">
      <c r="A10" t="s">
        <v>81</v>
      </c>
      <c r="B10" s="36">
        <v>1</v>
      </c>
      <c r="C10" s="33">
        <v>79.209999999999994</v>
      </c>
      <c r="D10" s="33">
        <f t="shared" si="1"/>
        <v>79.209999999999994</v>
      </c>
      <c r="E10" s="35">
        <f t="shared" si="2"/>
        <v>1.5768675658189419E-2</v>
      </c>
      <c r="F10" s="16">
        <v>4.2979150763403424E-2</v>
      </c>
      <c r="G10" s="16">
        <f t="shared" si="0"/>
        <v>6.7772428845253279E-4</v>
      </c>
      <c r="I10" t="s">
        <v>176</v>
      </c>
      <c r="L10">
        <v>3.7989438521846865E-2</v>
      </c>
      <c r="M10" s="16">
        <f t="shared" si="3"/>
        <v>4.9999999999999996E-2</v>
      </c>
    </row>
    <row r="11" spans="1:13" x14ac:dyDescent="0.2">
      <c r="A11" t="s">
        <v>82</v>
      </c>
      <c r="B11" s="36">
        <v>0</v>
      </c>
      <c r="C11" s="33">
        <v>82.86</v>
      </c>
      <c r="D11" s="33">
        <f t="shared" si="1"/>
        <v>0</v>
      </c>
      <c r="E11" s="35">
        <f t="shared" si="2"/>
        <v>0</v>
      </c>
      <c r="F11" s="16">
        <v>3.9712686715927314E-2</v>
      </c>
      <c r="G11" s="16">
        <f t="shared" si="0"/>
        <v>0</v>
      </c>
      <c r="I11" s="31">
        <f>SUM(G2:G48)</f>
        <v>4.0417076044916941E-2</v>
      </c>
      <c r="L11">
        <v>4.1629523644585505E-2</v>
      </c>
      <c r="M11" s="16">
        <f t="shared" si="3"/>
        <v>5.4999999999999993E-2</v>
      </c>
    </row>
    <row r="12" spans="1:13" x14ac:dyDescent="0.2">
      <c r="A12" t="s">
        <v>83</v>
      </c>
      <c r="B12" s="36">
        <v>0</v>
      </c>
      <c r="C12" s="33">
        <v>85.18</v>
      </c>
      <c r="D12" s="33">
        <f t="shared" si="1"/>
        <v>0</v>
      </c>
      <c r="E12" s="35">
        <f t="shared" si="2"/>
        <v>0</v>
      </c>
      <c r="F12" s="16">
        <v>3.5357269308316924E-2</v>
      </c>
      <c r="G12" s="16">
        <f t="shared" si="0"/>
        <v>0</v>
      </c>
    </row>
    <row r="13" spans="1:13" x14ac:dyDescent="0.2">
      <c r="A13" t="s">
        <v>84</v>
      </c>
      <c r="B13" s="36">
        <v>1</v>
      </c>
      <c r="C13" s="33">
        <v>77.94</v>
      </c>
      <c r="D13" s="33">
        <f t="shared" si="1"/>
        <v>77.94</v>
      </c>
      <c r="E13" s="35">
        <f t="shared" si="2"/>
        <v>1.551585129149455E-2</v>
      </c>
      <c r="F13" s="16">
        <v>4.427722054490435E-2</v>
      </c>
      <c r="G13" s="16">
        <f t="shared" si="0"/>
        <v>6.8699876957544316E-4</v>
      </c>
      <c r="I13" t="s">
        <v>147</v>
      </c>
      <c r="L13" s="16"/>
    </row>
    <row r="14" spans="1:13" x14ac:dyDescent="0.2">
      <c r="A14" t="s">
        <v>86</v>
      </c>
      <c r="B14" s="36">
        <v>0</v>
      </c>
      <c r="C14" s="33">
        <v>97.95</v>
      </c>
      <c r="D14" s="33">
        <f t="shared" si="1"/>
        <v>0</v>
      </c>
      <c r="E14" s="35">
        <f t="shared" si="2"/>
        <v>0</v>
      </c>
      <c r="F14" s="16">
        <v>3.6546706741254466E-2</v>
      </c>
      <c r="G14" s="16">
        <f t="shared" si="0"/>
        <v>0</v>
      </c>
      <c r="I14" s="32">
        <v>2.7E-2</v>
      </c>
    </row>
    <row r="15" spans="1:13" x14ac:dyDescent="0.2">
      <c r="A15" t="s">
        <v>88</v>
      </c>
      <c r="B15" s="36">
        <v>0</v>
      </c>
      <c r="C15" s="33">
        <v>134.33000000000001</v>
      </c>
      <c r="D15" s="33">
        <f t="shared" si="1"/>
        <v>0</v>
      </c>
      <c r="E15" s="35">
        <f t="shared" si="2"/>
        <v>0</v>
      </c>
      <c r="F15" s="16">
        <v>4.0231761975178526E-2</v>
      </c>
      <c r="G15" s="16">
        <f t="shared" si="0"/>
        <v>0</v>
      </c>
    </row>
    <row r="16" spans="1:13" x14ac:dyDescent="0.2">
      <c r="A16" t="s">
        <v>89</v>
      </c>
      <c r="B16" s="36">
        <v>0</v>
      </c>
      <c r="C16" s="33">
        <v>77.989999999999995</v>
      </c>
      <c r="D16" s="33">
        <f t="shared" si="1"/>
        <v>0</v>
      </c>
      <c r="E16" s="35">
        <f t="shared" si="2"/>
        <v>0</v>
      </c>
      <c r="F16" s="16">
        <v>4.1467799565947483E-2</v>
      </c>
      <c r="G16" s="16">
        <f t="shared" si="0"/>
        <v>0</v>
      </c>
      <c r="I16" t="s">
        <v>177</v>
      </c>
    </row>
    <row r="17" spans="1:9" x14ac:dyDescent="0.2">
      <c r="A17" t="s">
        <v>90</v>
      </c>
      <c r="B17" s="36">
        <v>0</v>
      </c>
      <c r="C17" s="33">
        <v>114.86</v>
      </c>
      <c r="D17" s="33">
        <f t="shared" si="1"/>
        <v>0</v>
      </c>
      <c r="E17" s="35">
        <f t="shared" si="2"/>
        <v>0</v>
      </c>
      <c r="F17" s="16">
        <v>4.2449113514324725E-2</v>
      </c>
      <c r="G17" s="16">
        <f t="shared" si="0"/>
        <v>0</v>
      </c>
      <c r="I17">
        <f>(I11-I14)/I8</f>
        <v>1.1524472158483103</v>
      </c>
    </row>
    <row r="18" spans="1:9" x14ac:dyDescent="0.2">
      <c r="A18" t="s">
        <v>91</v>
      </c>
      <c r="B18" s="36">
        <v>0</v>
      </c>
      <c r="C18" s="33">
        <v>86.88</v>
      </c>
      <c r="D18" s="33">
        <f t="shared" si="1"/>
        <v>0</v>
      </c>
      <c r="E18" s="35">
        <f t="shared" si="2"/>
        <v>0</v>
      </c>
      <c r="F18" s="16">
        <v>4.3280979879593111E-2</v>
      </c>
      <c r="G18" s="16">
        <f t="shared" si="0"/>
        <v>0</v>
      </c>
    </row>
    <row r="19" spans="1:9" x14ac:dyDescent="0.2">
      <c r="A19" t="s">
        <v>92</v>
      </c>
      <c r="B19" s="36">
        <v>0</v>
      </c>
      <c r="C19" s="33">
        <v>107.01</v>
      </c>
      <c r="D19" s="33">
        <f t="shared" si="1"/>
        <v>0</v>
      </c>
      <c r="E19" s="35">
        <f t="shared" si="2"/>
        <v>0</v>
      </c>
      <c r="F19" s="16">
        <v>3.843012292706377E-2</v>
      </c>
      <c r="G19" s="16">
        <f t="shared" si="0"/>
        <v>0</v>
      </c>
      <c r="I19" t="s">
        <v>182</v>
      </c>
    </row>
    <row r="20" spans="1:9" x14ac:dyDescent="0.2">
      <c r="A20" t="s">
        <v>93</v>
      </c>
      <c r="B20" s="36">
        <v>0</v>
      </c>
      <c r="C20" s="33">
        <v>71.47</v>
      </c>
      <c r="D20" s="33">
        <f t="shared" si="1"/>
        <v>0</v>
      </c>
      <c r="E20" s="35">
        <f t="shared" si="2"/>
        <v>0</v>
      </c>
      <c r="F20" s="16">
        <v>4.5127629151839904E-2</v>
      </c>
      <c r="G20" s="16">
        <f t="shared" si="0"/>
        <v>0</v>
      </c>
      <c r="I20" s="17">
        <v>5023.25</v>
      </c>
    </row>
    <row r="21" spans="1:9" x14ac:dyDescent="0.2">
      <c r="A21" t="s">
        <v>94</v>
      </c>
      <c r="B21" s="36">
        <v>1</v>
      </c>
      <c r="C21" s="33">
        <v>229.81</v>
      </c>
      <c r="D21" s="33">
        <f t="shared" si="1"/>
        <v>229.81</v>
      </c>
      <c r="E21" s="35">
        <f t="shared" si="2"/>
        <v>4.5749265913502216E-2</v>
      </c>
      <c r="F21" s="16">
        <v>2.0812766629929917E-2</v>
      </c>
      <c r="G21" s="16">
        <f t="shared" si="0"/>
        <v>9.5216879494832915E-4</v>
      </c>
    </row>
    <row r="22" spans="1:9" x14ac:dyDescent="0.2">
      <c r="A22" t="s">
        <v>95</v>
      </c>
      <c r="B22" s="36">
        <v>0</v>
      </c>
      <c r="C22" s="33">
        <v>127.63</v>
      </c>
      <c r="D22" s="33">
        <f t="shared" si="1"/>
        <v>0</v>
      </c>
      <c r="E22" s="35">
        <f t="shared" si="2"/>
        <v>0</v>
      </c>
      <c r="F22" s="16">
        <v>4.5069349791569541E-2</v>
      </c>
      <c r="G22" s="16">
        <f t="shared" si="0"/>
        <v>0</v>
      </c>
    </row>
    <row r="23" spans="1:9" x14ac:dyDescent="0.2">
      <c r="A23" t="s">
        <v>96</v>
      </c>
      <c r="B23" s="36">
        <v>0</v>
      </c>
      <c r="C23" s="33">
        <v>97.95</v>
      </c>
      <c r="D23" s="33">
        <f t="shared" si="1"/>
        <v>0</v>
      </c>
      <c r="E23" s="35">
        <f t="shared" si="2"/>
        <v>0</v>
      </c>
      <c r="F23" s="16">
        <v>4.6639847930557567E-2</v>
      </c>
      <c r="G23" s="16">
        <f t="shared" si="0"/>
        <v>0</v>
      </c>
    </row>
    <row r="24" spans="1:9" x14ac:dyDescent="0.2">
      <c r="A24" t="s">
        <v>97</v>
      </c>
      <c r="B24" s="36">
        <v>0</v>
      </c>
      <c r="C24" s="33">
        <v>99.81</v>
      </c>
      <c r="D24" s="33">
        <f t="shared" si="1"/>
        <v>0</v>
      </c>
      <c r="E24" s="35">
        <f t="shared" si="2"/>
        <v>0</v>
      </c>
      <c r="F24" s="16">
        <v>5.092601410484654E-2</v>
      </c>
      <c r="G24" s="16">
        <f t="shared" si="0"/>
        <v>0</v>
      </c>
    </row>
    <row r="25" spans="1:9" x14ac:dyDescent="0.2">
      <c r="A25" t="s">
        <v>98</v>
      </c>
      <c r="B25" s="36">
        <v>0</v>
      </c>
      <c r="C25" s="33">
        <v>119.69</v>
      </c>
      <c r="D25" s="33">
        <f t="shared" si="1"/>
        <v>0</v>
      </c>
      <c r="E25" s="35">
        <f t="shared" si="2"/>
        <v>0</v>
      </c>
      <c r="F25" s="16">
        <v>3.6647063095525817E-2</v>
      </c>
      <c r="G25" s="16">
        <f t="shared" si="0"/>
        <v>0</v>
      </c>
    </row>
    <row r="26" spans="1:9" x14ac:dyDescent="0.2">
      <c r="A26" t="s">
        <v>99</v>
      </c>
      <c r="B26" s="36">
        <v>0</v>
      </c>
      <c r="C26" s="33">
        <v>95.26</v>
      </c>
      <c r="D26" s="33">
        <f t="shared" si="1"/>
        <v>0</v>
      </c>
      <c r="E26" s="35">
        <f t="shared" si="2"/>
        <v>0</v>
      </c>
      <c r="F26" s="16">
        <v>4.1696347009617267E-2</v>
      </c>
      <c r="G26" s="16">
        <f t="shared" si="0"/>
        <v>0</v>
      </c>
    </row>
    <row r="27" spans="1:9" x14ac:dyDescent="0.2">
      <c r="A27" t="s">
        <v>100</v>
      </c>
      <c r="B27" s="36">
        <v>0</v>
      </c>
      <c r="C27" s="33">
        <v>131.99</v>
      </c>
      <c r="D27" s="33">
        <f t="shared" si="1"/>
        <v>0</v>
      </c>
      <c r="E27" s="35">
        <f t="shared" si="2"/>
        <v>0</v>
      </c>
      <c r="F27" s="16">
        <v>5.2224657878177122E-2</v>
      </c>
      <c r="G27" s="16">
        <f t="shared" si="0"/>
        <v>0</v>
      </c>
    </row>
    <row r="28" spans="1:9" x14ac:dyDescent="0.2">
      <c r="A28" t="s">
        <v>101</v>
      </c>
      <c r="B28" s="36">
        <v>0</v>
      </c>
      <c r="C28" s="33">
        <v>150.59</v>
      </c>
      <c r="D28" s="33">
        <f t="shared" si="1"/>
        <v>0</v>
      </c>
      <c r="E28" s="35">
        <f t="shared" si="2"/>
        <v>0</v>
      </c>
      <c r="F28" s="16">
        <v>5.217485998601322E-2</v>
      </c>
      <c r="G28" s="16">
        <f t="shared" si="0"/>
        <v>0</v>
      </c>
    </row>
    <row r="29" spans="1:9" x14ac:dyDescent="0.2">
      <c r="A29" t="s">
        <v>102</v>
      </c>
      <c r="B29" s="36">
        <v>0</v>
      </c>
      <c r="C29" s="33">
        <v>114.06</v>
      </c>
      <c r="D29" s="33">
        <f t="shared" si="1"/>
        <v>0</v>
      </c>
      <c r="E29" s="35">
        <f t="shared" si="2"/>
        <v>0</v>
      </c>
      <c r="F29" s="16">
        <v>5.3362810029663546E-2</v>
      </c>
      <c r="G29" s="16">
        <f t="shared" si="0"/>
        <v>0</v>
      </c>
    </row>
    <row r="30" spans="1:9" x14ac:dyDescent="0.2">
      <c r="A30" t="s">
        <v>106</v>
      </c>
      <c r="B30" s="36">
        <v>0</v>
      </c>
      <c r="C30" s="33">
        <v>65.459999999999994</v>
      </c>
      <c r="D30" s="33">
        <f t="shared" si="1"/>
        <v>0</v>
      </c>
      <c r="E30" s="35">
        <f t="shared" si="2"/>
        <v>0</v>
      </c>
      <c r="F30" s="16">
        <v>3.7050260166730971E-2</v>
      </c>
      <c r="G30" s="16">
        <f t="shared" si="0"/>
        <v>0</v>
      </c>
    </row>
    <row r="31" spans="1:9" x14ac:dyDescent="0.2">
      <c r="A31" t="s">
        <v>108</v>
      </c>
      <c r="B31" s="36">
        <v>0</v>
      </c>
      <c r="C31" s="33">
        <v>45.58</v>
      </c>
      <c r="D31" s="33">
        <f t="shared" si="1"/>
        <v>0</v>
      </c>
      <c r="E31" s="35">
        <f t="shared" si="2"/>
        <v>0</v>
      </c>
      <c r="F31" s="16">
        <v>2.8332533714445048E-2</v>
      </c>
      <c r="G31" s="16">
        <f t="shared" si="0"/>
        <v>0</v>
      </c>
    </row>
    <row r="32" spans="1:9" x14ac:dyDescent="0.2">
      <c r="A32" t="s">
        <v>109</v>
      </c>
      <c r="B32" s="36">
        <v>0</v>
      </c>
      <c r="C32" s="33">
        <v>94.68</v>
      </c>
      <c r="D32" s="33">
        <f t="shared" si="1"/>
        <v>0</v>
      </c>
      <c r="E32" s="35">
        <f t="shared" si="2"/>
        <v>0</v>
      </c>
      <c r="F32" s="16">
        <v>2.8342113810750066E-2</v>
      </c>
      <c r="G32" s="16">
        <f t="shared" si="0"/>
        <v>0</v>
      </c>
    </row>
    <row r="33" spans="1:7" x14ac:dyDescent="0.2">
      <c r="A33" t="s">
        <v>110</v>
      </c>
      <c r="B33" s="36">
        <v>1</v>
      </c>
      <c r="C33" s="33">
        <v>37.1</v>
      </c>
      <c r="D33" s="33">
        <f t="shared" si="1"/>
        <v>37.1</v>
      </c>
      <c r="E33" s="35">
        <f t="shared" si="2"/>
        <v>7.3856566963619178E-3</v>
      </c>
      <c r="F33" s="16">
        <v>3.1747705204401358E-2</v>
      </c>
      <c r="G33" s="16">
        <f t="shared" si="0"/>
        <v>2.34477651537011E-4</v>
      </c>
    </row>
    <row r="34" spans="1:7" x14ac:dyDescent="0.2">
      <c r="A34" t="s">
        <v>111</v>
      </c>
      <c r="B34" s="36">
        <v>1</v>
      </c>
      <c r="C34" s="33">
        <v>48.62</v>
      </c>
      <c r="D34" s="33">
        <f t="shared" si="1"/>
        <v>48.62</v>
      </c>
      <c r="E34" s="35">
        <f t="shared" si="2"/>
        <v>9.6789926840193091E-3</v>
      </c>
      <c r="F34" s="16">
        <v>2.3279325850807882E-2</v>
      </c>
      <c r="G34" s="16">
        <f t="shared" si="0"/>
        <v>2.2532042459887108E-4</v>
      </c>
    </row>
    <row r="35" spans="1:7" x14ac:dyDescent="0.2">
      <c r="A35" t="s">
        <v>112</v>
      </c>
      <c r="B35" s="36">
        <v>0</v>
      </c>
      <c r="C35" s="33">
        <v>60.63</v>
      </c>
      <c r="D35" s="33">
        <f t="shared" si="1"/>
        <v>0</v>
      </c>
      <c r="E35" s="35">
        <f t="shared" si="2"/>
        <v>0</v>
      </c>
      <c r="F35" s="16">
        <v>4.6309783930074171E-2</v>
      </c>
      <c r="G35" s="16">
        <f t="shared" si="0"/>
        <v>0</v>
      </c>
    </row>
    <row r="36" spans="1:7" x14ac:dyDescent="0.2">
      <c r="A36" t="s">
        <v>113</v>
      </c>
      <c r="B36" s="36">
        <v>10</v>
      </c>
      <c r="C36" s="33">
        <v>52.41</v>
      </c>
      <c r="D36" s="33">
        <f t="shared" si="1"/>
        <v>524.09999999999991</v>
      </c>
      <c r="E36" s="35">
        <f t="shared" si="2"/>
        <v>0.10433484298014233</v>
      </c>
      <c r="F36" s="16">
        <v>1.2616372275481767E-2</v>
      </c>
      <c r="G36" s="16">
        <f t="shared" si="0"/>
        <v>1.3163272203414111E-3</v>
      </c>
    </row>
    <row r="37" spans="1:7" x14ac:dyDescent="0.2">
      <c r="A37" t="s">
        <v>116</v>
      </c>
      <c r="B37" s="36">
        <v>0</v>
      </c>
      <c r="C37" s="33">
        <v>47.22</v>
      </c>
      <c r="D37" s="33">
        <f t="shared" si="1"/>
        <v>0</v>
      </c>
      <c r="E37" s="35">
        <f t="shared" si="2"/>
        <v>0</v>
      </c>
      <c r="F37" s="16">
        <v>3.0895070444591395E-2</v>
      </c>
      <c r="G37" s="16">
        <f t="shared" si="0"/>
        <v>0</v>
      </c>
    </row>
    <row r="38" spans="1:7" x14ac:dyDescent="0.2">
      <c r="A38" t="s">
        <v>117</v>
      </c>
      <c r="B38" s="36">
        <v>0</v>
      </c>
      <c r="C38" s="33">
        <v>74.069999999999993</v>
      </c>
      <c r="D38" s="33">
        <f t="shared" si="1"/>
        <v>0</v>
      </c>
      <c r="E38" s="35">
        <f t="shared" si="2"/>
        <v>0</v>
      </c>
      <c r="F38" s="16">
        <v>2.9678441296888493E-2</v>
      </c>
      <c r="G38" s="16">
        <f t="shared" si="0"/>
        <v>0</v>
      </c>
    </row>
    <row r="39" spans="1:7" x14ac:dyDescent="0.2">
      <c r="A39" t="s">
        <v>118</v>
      </c>
      <c r="B39" s="36">
        <v>0</v>
      </c>
      <c r="C39" s="33">
        <v>150.52000000000001</v>
      </c>
      <c r="D39" s="33">
        <f t="shared" si="1"/>
        <v>0</v>
      </c>
      <c r="E39" s="35">
        <f t="shared" si="2"/>
        <v>0</v>
      </c>
      <c r="F39" s="16">
        <v>4.6531606988200885E-2</v>
      </c>
      <c r="G39" s="16">
        <f t="shared" si="0"/>
        <v>0</v>
      </c>
    </row>
    <row r="40" spans="1:7" x14ac:dyDescent="0.2">
      <c r="A40" t="s">
        <v>119</v>
      </c>
      <c r="B40" s="36">
        <v>0</v>
      </c>
      <c r="C40" s="33">
        <v>131.16999999999999</v>
      </c>
      <c r="D40" s="33">
        <f t="shared" si="1"/>
        <v>0</v>
      </c>
      <c r="E40" s="35">
        <f t="shared" si="2"/>
        <v>0</v>
      </c>
      <c r="F40" s="16">
        <v>2.6742373270268387E-2</v>
      </c>
      <c r="G40" s="16">
        <f t="shared" si="0"/>
        <v>0</v>
      </c>
    </row>
    <row r="41" spans="1:7" x14ac:dyDescent="0.2">
      <c r="A41" t="s">
        <v>120</v>
      </c>
      <c r="B41" s="36">
        <v>0</v>
      </c>
      <c r="C41" s="33">
        <v>77.11</v>
      </c>
      <c r="D41" s="33">
        <f t="shared" si="1"/>
        <v>0</v>
      </c>
      <c r="E41" s="35">
        <f t="shared" si="2"/>
        <v>0</v>
      </c>
      <c r="F41" s="16">
        <v>6.1599878290702362E-2</v>
      </c>
      <c r="G41" s="16">
        <f t="shared" si="0"/>
        <v>0</v>
      </c>
    </row>
    <row r="42" spans="1:7" x14ac:dyDescent="0.2">
      <c r="A42" t="s">
        <v>121</v>
      </c>
      <c r="B42" s="36">
        <v>2</v>
      </c>
      <c r="C42" s="33">
        <v>59.36</v>
      </c>
      <c r="D42" s="33">
        <f t="shared" si="1"/>
        <v>118.72</v>
      </c>
      <c r="E42" s="35">
        <f t="shared" si="2"/>
        <v>2.3634101428358135E-2</v>
      </c>
      <c r="F42" s="16">
        <v>5.8566532883379249E-2</v>
      </c>
      <c r="G42" s="16">
        <f t="shared" si="0"/>
        <v>1.3841673784730571E-3</v>
      </c>
    </row>
    <row r="43" spans="1:7" x14ac:dyDescent="0.2">
      <c r="A43" t="s">
        <v>122</v>
      </c>
      <c r="B43" s="36">
        <v>0</v>
      </c>
      <c r="C43" s="33">
        <v>160.6</v>
      </c>
      <c r="D43" s="33">
        <f t="shared" si="1"/>
        <v>0</v>
      </c>
      <c r="E43" s="35">
        <f t="shared" si="2"/>
        <v>0</v>
      </c>
      <c r="F43" s="16">
        <v>5.3617811059197884E-2</v>
      </c>
      <c r="G43" s="16">
        <f t="shared" si="0"/>
        <v>0</v>
      </c>
    </row>
    <row r="44" spans="1:7" x14ac:dyDescent="0.2">
      <c r="A44" t="s">
        <v>123</v>
      </c>
      <c r="B44" s="36">
        <v>0</v>
      </c>
      <c r="C44" s="33">
        <v>120.41</v>
      </c>
      <c r="D44" s="33">
        <f t="shared" si="1"/>
        <v>0</v>
      </c>
      <c r="E44" s="35">
        <f t="shared" si="2"/>
        <v>0</v>
      </c>
      <c r="F44" s="16">
        <v>3.6314268482881149E-2</v>
      </c>
      <c r="G44" s="16">
        <f t="shared" si="0"/>
        <v>0</v>
      </c>
    </row>
    <row r="45" spans="1:7" x14ac:dyDescent="0.2">
      <c r="A45" t="s">
        <v>124</v>
      </c>
      <c r="B45" s="36">
        <v>0</v>
      </c>
      <c r="C45" s="33">
        <v>166.83</v>
      </c>
      <c r="D45" s="33">
        <f t="shared" si="1"/>
        <v>0</v>
      </c>
      <c r="E45" s="35">
        <f t="shared" si="2"/>
        <v>0</v>
      </c>
      <c r="F45" s="16">
        <v>3.5632323615885142E-2</v>
      </c>
      <c r="G45" s="16">
        <f t="shared" si="0"/>
        <v>0</v>
      </c>
    </row>
    <row r="46" spans="1:7" x14ac:dyDescent="0.2">
      <c r="A46" t="s">
        <v>125</v>
      </c>
      <c r="B46" s="36">
        <v>0</v>
      </c>
      <c r="C46" s="33">
        <v>110.83</v>
      </c>
      <c r="D46" s="33">
        <f t="shared" si="1"/>
        <v>0</v>
      </c>
      <c r="E46" s="35">
        <f t="shared" si="2"/>
        <v>0</v>
      </c>
      <c r="F46" s="16">
        <v>3.9716143230521965E-2</v>
      </c>
      <c r="G46" s="16">
        <f t="shared" si="0"/>
        <v>0</v>
      </c>
    </row>
    <row r="47" spans="1:7" x14ac:dyDescent="0.2">
      <c r="A47" t="s">
        <v>126</v>
      </c>
      <c r="B47" s="36">
        <v>0</v>
      </c>
      <c r="C47" s="33">
        <v>74.569999999999993</v>
      </c>
      <c r="D47" s="33">
        <f t="shared" si="1"/>
        <v>0</v>
      </c>
      <c r="E47" s="35">
        <f t="shared" si="2"/>
        <v>0</v>
      </c>
      <c r="F47" s="16">
        <v>3.4141652706560319E-2</v>
      </c>
      <c r="G47" s="16">
        <f t="shared" si="0"/>
        <v>0</v>
      </c>
    </row>
    <row r="48" spans="1:7" x14ac:dyDescent="0.2">
      <c r="A48" t="s">
        <v>127</v>
      </c>
      <c r="B48" s="36">
        <v>6</v>
      </c>
      <c r="C48" s="33">
        <v>117.83</v>
      </c>
      <c r="D48" s="33">
        <f t="shared" si="1"/>
        <v>706.98</v>
      </c>
      <c r="E48" s="35">
        <f t="shared" si="2"/>
        <v>0.14074155178420344</v>
      </c>
      <c r="F48" s="16">
        <v>2.783203123848868E-2</v>
      </c>
      <c r="G48" s="16">
        <f t="shared" si="0"/>
        <v>3.9171232658113224E-3</v>
      </c>
    </row>
    <row r="49" spans="1:7" ht="15" x14ac:dyDescent="0.25">
      <c r="A49" s="20" t="s">
        <v>184</v>
      </c>
      <c r="B49" s="37">
        <f>SUBTOTAL(109,Table1['# of Shares])</f>
        <v>77</v>
      </c>
      <c r="C49" s="37">
        <f>SUBTOTAL(109,Table1[Most Recent Px])</f>
        <v>4488.09</v>
      </c>
      <c r="D49" s="37">
        <f>SUBTOTAL(109,Table1[Dollar Terms])</f>
        <v>5075.66</v>
      </c>
      <c r="E49" s="37">
        <f>SUBTOTAL(109,Table1[Weight])</f>
        <v>1.0104334842980141</v>
      </c>
      <c r="F49" s="37">
        <f>SUBTOTAL(109,Table1[CoE])</f>
        <v>1.8867260931927123</v>
      </c>
      <c r="G49" s="38">
        <f>SUBTOTAL(109,Table1[Weighted Return])</f>
        <v>4.0417076044916941E-2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M49"/>
  <sheetViews>
    <sheetView showGridLines="0" zoomScale="85" zoomScaleNormal="85" workbookViewId="0">
      <selection activeCell="I5" sqref="I5"/>
    </sheetView>
  </sheetViews>
  <sheetFormatPr defaultRowHeight="14.25" x14ac:dyDescent="0.2"/>
  <cols>
    <col min="1" max="1" width="8.125" customWidth="1"/>
    <col min="2" max="2" width="12.375" customWidth="1"/>
    <col min="3" max="3" width="15.875" customWidth="1"/>
    <col min="4" max="4" width="13.5" customWidth="1"/>
    <col min="5" max="5" width="8.625" customWidth="1"/>
    <col min="6" max="6" width="6" customWidth="1"/>
    <col min="7" max="7" width="16.75" customWidth="1"/>
    <col min="9" max="9" width="21.5" bestFit="1" customWidth="1"/>
    <col min="12" max="12" width="14.25" bestFit="1" customWidth="1"/>
    <col min="13" max="13" width="5.125" bestFit="1" customWidth="1"/>
  </cols>
  <sheetData>
    <row r="1" spans="1:13" x14ac:dyDescent="0.2">
      <c r="A1" t="s">
        <v>172</v>
      </c>
      <c r="B1" t="s">
        <v>185</v>
      </c>
      <c r="C1" t="s">
        <v>186</v>
      </c>
      <c r="D1" t="s">
        <v>183</v>
      </c>
      <c r="E1" s="34" t="s">
        <v>173</v>
      </c>
      <c r="F1" t="s">
        <v>148</v>
      </c>
      <c r="G1" t="s">
        <v>174</v>
      </c>
      <c r="I1" t="s">
        <v>175</v>
      </c>
      <c r="L1" t="s">
        <v>178</v>
      </c>
    </row>
    <row r="2" spans="1:13" x14ac:dyDescent="0.2">
      <c r="A2" t="s">
        <v>73</v>
      </c>
      <c r="B2" s="36">
        <v>0</v>
      </c>
      <c r="C2" s="33">
        <v>113.46</v>
      </c>
      <c r="D2" s="33">
        <f>B2*C2</f>
        <v>0</v>
      </c>
      <c r="E2" s="35">
        <f>D2/$I$20</f>
        <v>0</v>
      </c>
      <c r="F2" s="16">
        <v>4.2137785753255337E-2</v>
      </c>
      <c r="G2" s="16">
        <f t="shared" ref="G2:G48" si="0">E2*F2</f>
        <v>0</v>
      </c>
      <c r="I2" s="16">
        <f>SUM(E2:E48)</f>
        <v>0.99999999999999989</v>
      </c>
      <c r="L2" t="s">
        <v>180</v>
      </c>
      <c r="M2" t="s">
        <v>179</v>
      </c>
    </row>
    <row r="3" spans="1:13" x14ac:dyDescent="0.2">
      <c r="A3" t="s">
        <v>74</v>
      </c>
      <c r="B3" s="36">
        <v>0</v>
      </c>
      <c r="C3" s="33">
        <v>81.290000000000006</v>
      </c>
      <c r="D3" s="33">
        <f t="shared" ref="D3:D48" si="1">B3*C3</f>
        <v>0</v>
      </c>
      <c r="E3" s="35">
        <f t="shared" ref="E3:E48" si="2">D3/$I$20</f>
        <v>0</v>
      </c>
      <c r="F3" s="16">
        <v>4.0294786958725216E-2</v>
      </c>
      <c r="G3" s="16">
        <f t="shared" si="0"/>
        <v>0</v>
      </c>
      <c r="L3">
        <v>4.1820822857089823E-2</v>
      </c>
      <c r="M3" s="16">
        <v>1.4999999999999999E-2</v>
      </c>
    </row>
    <row r="4" spans="1:13" x14ac:dyDescent="0.2">
      <c r="A4" t="s">
        <v>75</v>
      </c>
      <c r="B4" s="36">
        <v>2</v>
      </c>
      <c r="C4" s="33">
        <v>63.47</v>
      </c>
      <c r="D4" s="33">
        <f t="shared" si="1"/>
        <v>126.94</v>
      </c>
      <c r="E4" s="35">
        <f t="shared" si="2"/>
        <v>2.5270492211217837E-2</v>
      </c>
      <c r="F4" s="16">
        <v>4.4849800642427114E-2</v>
      </c>
      <c r="G4" s="16">
        <f t="shared" si="0"/>
        <v>1.1333765378091271E-3</v>
      </c>
      <c r="I4" t="s">
        <v>170</v>
      </c>
      <c r="L4">
        <v>3.8437143344045792E-2</v>
      </c>
      <c r="M4" s="16">
        <f t="shared" ref="M4:M11" si="3">M3+0.005</f>
        <v>0.02</v>
      </c>
    </row>
    <row r="5" spans="1:13" x14ac:dyDescent="0.2">
      <c r="A5" t="s">
        <v>76</v>
      </c>
      <c r="B5" s="36">
        <v>0</v>
      </c>
      <c r="C5" s="33">
        <v>87.51</v>
      </c>
      <c r="D5" s="33">
        <f t="shared" si="1"/>
        <v>0</v>
      </c>
      <c r="E5" s="35">
        <f t="shared" si="2"/>
        <v>0</v>
      </c>
      <c r="F5" s="16">
        <v>3.8740127687341842E-2</v>
      </c>
      <c r="G5" s="16">
        <f t="shared" si="0"/>
        <v>0</v>
      </c>
      <c r="I5">
        <f>SUM('calc-PortfolioVarCompos'!B2:AV48)</f>
        <v>1.3554193346465869E-4</v>
      </c>
      <c r="L5">
        <v>3.5961429085970775E-2</v>
      </c>
      <c r="M5" s="16">
        <f t="shared" si="3"/>
        <v>2.5000000000000001E-2</v>
      </c>
    </row>
    <row r="6" spans="1:13" x14ac:dyDescent="0.2">
      <c r="A6" t="s">
        <v>77</v>
      </c>
      <c r="B6" s="36">
        <v>0</v>
      </c>
      <c r="C6" s="33">
        <v>74.709999999999994</v>
      </c>
      <c r="D6" s="33">
        <f t="shared" si="1"/>
        <v>0</v>
      </c>
      <c r="E6" s="35">
        <f t="shared" si="2"/>
        <v>0</v>
      </c>
      <c r="F6" s="16">
        <v>4.384790199273926E-2</v>
      </c>
      <c r="G6" s="16">
        <f t="shared" si="0"/>
        <v>0</v>
      </c>
      <c r="L6">
        <v>3.4504349640592229E-2</v>
      </c>
      <c r="M6" s="16">
        <f t="shared" si="3"/>
        <v>3.0000000000000002E-2</v>
      </c>
    </row>
    <row r="7" spans="1:13" x14ac:dyDescent="0.2">
      <c r="A7" t="s">
        <v>78</v>
      </c>
      <c r="B7" s="36">
        <v>0</v>
      </c>
      <c r="C7" s="33">
        <v>51.49</v>
      </c>
      <c r="D7" s="33">
        <f t="shared" si="1"/>
        <v>0</v>
      </c>
      <c r="E7" s="35">
        <f t="shared" si="2"/>
        <v>0</v>
      </c>
      <c r="F7" s="16">
        <v>4.5017335793557774E-2</v>
      </c>
      <c r="G7" s="16">
        <f t="shared" si="0"/>
        <v>0</v>
      </c>
      <c r="I7" t="s">
        <v>171</v>
      </c>
      <c r="L7">
        <v>3.4039678522737135E-2</v>
      </c>
      <c r="M7" s="16">
        <f t="shared" si="3"/>
        <v>3.5000000000000003E-2</v>
      </c>
    </row>
    <row r="8" spans="1:13" x14ac:dyDescent="0.2">
      <c r="A8" t="s">
        <v>79</v>
      </c>
      <c r="B8" s="36">
        <v>0</v>
      </c>
      <c r="C8" s="33">
        <v>78.569999999999993</v>
      </c>
      <c r="D8" s="33">
        <f t="shared" si="1"/>
        <v>0</v>
      </c>
      <c r="E8" s="35">
        <f t="shared" si="2"/>
        <v>0</v>
      </c>
      <c r="F8" s="16">
        <v>4.5451621399489245E-2</v>
      </c>
      <c r="G8" s="16">
        <f t="shared" si="0"/>
        <v>0</v>
      </c>
      <c r="I8">
        <f>SQRT(I5)</f>
        <v>1.1642247784026016E-2</v>
      </c>
      <c r="L8">
        <v>3.4459913717676816E-2</v>
      </c>
      <c r="M8" s="16">
        <f t="shared" si="3"/>
        <v>0.04</v>
      </c>
    </row>
    <row r="9" spans="1:13" x14ac:dyDescent="0.2">
      <c r="A9" t="s">
        <v>80</v>
      </c>
      <c r="B9" s="36">
        <v>52</v>
      </c>
      <c r="C9" s="33">
        <v>60.12</v>
      </c>
      <c r="D9" s="33">
        <f t="shared" si="1"/>
        <v>3126.24</v>
      </c>
      <c r="E9" s="35">
        <f t="shared" si="2"/>
        <v>0.62235405365052499</v>
      </c>
      <c r="F9" s="16">
        <v>4.8026346961265003E-2</v>
      </c>
      <c r="G9" s="16">
        <f t="shared" si="0"/>
        <v>2.9889391713369847E-2</v>
      </c>
      <c r="L9">
        <v>3.56549881328743E-2</v>
      </c>
      <c r="M9" s="16">
        <f t="shared" si="3"/>
        <v>4.4999999999999998E-2</v>
      </c>
    </row>
    <row r="10" spans="1:13" x14ac:dyDescent="0.2">
      <c r="A10" t="s">
        <v>81</v>
      </c>
      <c r="B10" s="36">
        <v>1</v>
      </c>
      <c r="C10" s="33">
        <v>79.209999999999994</v>
      </c>
      <c r="D10" s="33">
        <f t="shared" si="1"/>
        <v>79.209999999999994</v>
      </c>
      <c r="E10" s="35">
        <f t="shared" si="2"/>
        <v>1.5768675658189419E-2</v>
      </c>
      <c r="F10" s="16">
        <v>4.2979150763403424E-2</v>
      </c>
      <c r="G10" s="16">
        <f t="shared" si="0"/>
        <v>6.7772428845253279E-4</v>
      </c>
      <c r="I10" t="s">
        <v>176</v>
      </c>
      <c r="L10">
        <v>3.7989438521846865E-2</v>
      </c>
      <c r="M10" s="16">
        <f t="shared" si="3"/>
        <v>4.9999999999999996E-2</v>
      </c>
    </row>
    <row r="11" spans="1:13" x14ac:dyDescent="0.2">
      <c r="A11" t="s">
        <v>82</v>
      </c>
      <c r="B11" s="36">
        <v>0</v>
      </c>
      <c r="C11" s="33">
        <v>82.86</v>
      </c>
      <c r="D11" s="33">
        <f t="shared" si="1"/>
        <v>0</v>
      </c>
      <c r="E11" s="35">
        <f t="shared" si="2"/>
        <v>0</v>
      </c>
      <c r="F11" s="16">
        <v>3.9712686715927314E-2</v>
      </c>
      <c r="G11" s="16">
        <f t="shared" si="0"/>
        <v>0</v>
      </c>
      <c r="I11" s="31">
        <f>SUM(G2:G48)</f>
        <v>4.0285443322882808E-2</v>
      </c>
      <c r="L11">
        <v>4.1629523644585505E-2</v>
      </c>
      <c r="M11" s="16">
        <f t="shared" si="3"/>
        <v>5.4999999999999993E-2</v>
      </c>
    </row>
    <row r="12" spans="1:13" x14ac:dyDescent="0.2">
      <c r="A12" t="s">
        <v>83</v>
      </c>
      <c r="B12" s="36">
        <v>0</v>
      </c>
      <c r="C12" s="33">
        <v>85.18</v>
      </c>
      <c r="D12" s="33">
        <f t="shared" si="1"/>
        <v>0</v>
      </c>
      <c r="E12" s="35">
        <f t="shared" si="2"/>
        <v>0</v>
      </c>
      <c r="F12" s="16">
        <v>3.5357269308316924E-2</v>
      </c>
      <c r="G12" s="16">
        <f t="shared" si="0"/>
        <v>0</v>
      </c>
    </row>
    <row r="13" spans="1:13" x14ac:dyDescent="0.2">
      <c r="A13" t="s">
        <v>84</v>
      </c>
      <c r="B13" s="36">
        <v>1</v>
      </c>
      <c r="C13" s="33">
        <v>77.94</v>
      </c>
      <c r="D13" s="33">
        <f t="shared" si="1"/>
        <v>77.94</v>
      </c>
      <c r="E13" s="35">
        <f t="shared" si="2"/>
        <v>1.551585129149455E-2</v>
      </c>
      <c r="F13" s="16">
        <v>4.427722054490435E-2</v>
      </c>
      <c r="G13" s="16">
        <f t="shared" si="0"/>
        <v>6.8699876957544316E-4</v>
      </c>
      <c r="I13" t="s">
        <v>147</v>
      </c>
      <c r="L13" s="16"/>
    </row>
    <row r="14" spans="1:13" x14ac:dyDescent="0.2">
      <c r="A14" t="s">
        <v>86</v>
      </c>
      <c r="B14" s="36">
        <v>0</v>
      </c>
      <c r="C14" s="33">
        <v>97.95</v>
      </c>
      <c r="D14" s="33">
        <f t="shared" si="1"/>
        <v>0</v>
      </c>
      <c r="E14" s="35">
        <f t="shared" si="2"/>
        <v>0</v>
      </c>
      <c r="F14" s="16">
        <v>3.6546706741254466E-2</v>
      </c>
      <c r="G14" s="16">
        <f t="shared" si="0"/>
        <v>0</v>
      </c>
      <c r="I14" s="32">
        <v>2.7E-2</v>
      </c>
    </row>
    <row r="15" spans="1:13" x14ac:dyDescent="0.2">
      <c r="A15" t="s">
        <v>88</v>
      </c>
      <c r="B15" s="36">
        <v>0</v>
      </c>
      <c r="C15" s="33">
        <v>134.33000000000001</v>
      </c>
      <c r="D15" s="33">
        <f t="shared" si="1"/>
        <v>0</v>
      </c>
      <c r="E15" s="35">
        <f t="shared" si="2"/>
        <v>0</v>
      </c>
      <c r="F15" s="16">
        <v>4.0231761975178526E-2</v>
      </c>
      <c r="G15" s="16">
        <f t="shared" si="0"/>
        <v>0</v>
      </c>
    </row>
    <row r="16" spans="1:13" x14ac:dyDescent="0.2">
      <c r="A16" t="s">
        <v>89</v>
      </c>
      <c r="B16" s="36">
        <v>0</v>
      </c>
      <c r="C16" s="33">
        <v>77.989999999999995</v>
      </c>
      <c r="D16" s="33">
        <f t="shared" si="1"/>
        <v>0</v>
      </c>
      <c r="E16" s="35">
        <f t="shared" si="2"/>
        <v>0</v>
      </c>
      <c r="F16" s="16">
        <v>4.1467799565947483E-2</v>
      </c>
      <c r="G16" s="16">
        <f t="shared" si="0"/>
        <v>0</v>
      </c>
      <c r="I16" t="s">
        <v>177</v>
      </c>
    </row>
    <row r="17" spans="1:9" x14ac:dyDescent="0.2">
      <c r="A17" t="s">
        <v>90</v>
      </c>
      <c r="B17" s="36">
        <v>0</v>
      </c>
      <c r="C17" s="33">
        <v>114.86</v>
      </c>
      <c r="D17" s="33">
        <f t="shared" si="1"/>
        <v>0</v>
      </c>
      <c r="E17" s="35">
        <f t="shared" si="2"/>
        <v>0</v>
      </c>
      <c r="F17" s="16">
        <v>4.2449113514324725E-2</v>
      </c>
      <c r="G17" s="16">
        <f t="shared" si="0"/>
        <v>0</v>
      </c>
      <c r="I17">
        <f>(I11-I14)/I8</f>
        <v>1.141140746129057</v>
      </c>
    </row>
    <row r="18" spans="1:9" x14ac:dyDescent="0.2">
      <c r="A18" t="s">
        <v>91</v>
      </c>
      <c r="B18" s="36">
        <v>0</v>
      </c>
      <c r="C18" s="33">
        <v>86.88</v>
      </c>
      <c r="D18" s="33">
        <f t="shared" si="1"/>
        <v>0</v>
      </c>
      <c r="E18" s="35">
        <f t="shared" si="2"/>
        <v>0</v>
      </c>
      <c r="F18" s="16">
        <v>4.3280979879593111E-2</v>
      </c>
      <c r="G18" s="16">
        <f t="shared" si="0"/>
        <v>0</v>
      </c>
    </row>
    <row r="19" spans="1:9" x14ac:dyDescent="0.2">
      <c r="A19" t="s">
        <v>92</v>
      </c>
      <c r="B19" s="36">
        <v>0</v>
      </c>
      <c r="C19" s="33">
        <v>107.01</v>
      </c>
      <c r="D19" s="33">
        <f t="shared" si="1"/>
        <v>0</v>
      </c>
      <c r="E19" s="35">
        <f t="shared" si="2"/>
        <v>0</v>
      </c>
      <c r="F19" s="16">
        <v>3.843012292706377E-2</v>
      </c>
      <c r="G19" s="16">
        <f t="shared" si="0"/>
        <v>0</v>
      </c>
      <c r="I19" t="s">
        <v>182</v>
      </c>
    </row>
    <row r="20" spans="1:9" x14ac:dyDescent="0.2">
      <c r="A20" t="s">
        <v>93</v>
      </c>
      <c r="B20" s="36">
        <v>0</v>
      </c>
      <c r="C20" s="33">
        <v>71.47</v>
      </c>
      <c r="D20" s="33">
        <f t="shared" si="1"/>
        <v>0</v>
      </c>
      <c r="E20" s="35">
        <f t="shared" si="2"/>
        <v>0</v>
      </c>
      <c r="F20" s="16">
        <v>4.5127629151839904E-2</v>
      </c>
      <c r="G20" s="16">
        <f t="shared" si="0"/>
        <v>0</v>
      </c>
      <c r="I20" s="17">
        <v>5023.25</v>
      </c>
    </row>
    <row r="21" spans="1:9" x14ac:dyDescent="0.2">
      <c r="A21" t="s">
        <v>94</v>
      </c>
      <c r="B21" s="36">
        <v>1</v>
      </c>
      <c r="C21" s="33">
        <v>229.81</v>
      </c>
      <c r="D21" s="33">
        <f t="shared" si="1"/>
        <v>229.81</v>
      </c>
      <c r="E21" s="35">
        <f t="shared" si="2"/>
        <v>4.5749265913502216E-2</v>
      </c>
      <c r="F21" s="16">
        <v>2.0812766629929917E-2</v>
      </c>
      <c r="G21" s="16">
        <f t="shared" si="0"/>
        <v>9.5216879494832915E-4</v>
      </c>
    </row>
    <row r="22" spans="1:9" x14ac:dyDescent="0.2">
      <c r="A22" t="s">
        <v>95</v>
      </c>
      <c r="B22" s="36">
        <v>0</v>
      </c>
      <c r="C22" s="33">
        <v>127.63</v>
      </c>
      <c r="D22" s="33">
        <f t="shared" si="1"/>
        <v>0</v>
      </c>
      <c r="E22" s="35">
        <f t="shared" si="2"/>
        <v>0</v>
      </c>
      <c r="F22" s="16">
        <v>4.5069349791569541E-2</v>
      </c>
      <c r="G22" s="16">
        <f t="shared" si="0"/>
        <v>0</v>
      </c>
    </row>
    <row r="23" spans="1:9" x14ac:dyDescent="0.2">
      <c r="A23" t="s">
        <v>96</v>
      </c>
      <c r="B23" s="36">
        <v>0</v>
      </c>
      <c r="C23" s="33">
        <v>97.95</v>
      </c>
      <c r="D23" s="33">
        <f t="shared" si="1"/>
        <v>0</v>
      </c>
      <c r="E23" s="35">
        <f t="shared" si="2"/>
        <v>0</v>
      </c>
      <c r="F23" s="16">
        <v>4.6639847930557567E-2</v>
      </c>
      <c r="G23" s="16">
        <f t="shared" si="0"/>
        <v>0</v>
      </c>
    </row>
    <row r="24" spans="1:9" x14ac:dyDescent="0.2">
      <c r="A24" t="s">
        <v>97</v>
      </c>
      <c r="B24" s="36">
        <v>0</v>
      </c>
      <c r="C24" s="33">
        <v>99.81</v>
      </c>
      <c r="D24" s="33">
        <f t="shared" si="1"/>
        <v>0</v>
      </c>
      <c r="E24" s="35">
        <f t="shared" si="2"/>
        <v>0</v>
      </c>
      <c r="F24" s="16">
        <v>5.092601410484654E-2</v>
      </c>
      <c r="G24" s="16">
        <f t="shared" si="0"/>
        <v>0</v>
      </c>
    </row>
    <row r="25" spans="1:9" x14ac:dyDescent="0.2">
      <c r="A25" t="s">
        <v>98</v>
      </c>
      <c r="B25" s="36">
        <v>0</v>
      </c>
      <c r="C25" s="33">
        <v>119.69</v>
      </c>
      <c r="D25" s="33">
        <f t="shared" si="1"/>
        <v>0</v>
      </c>
      <c r="E25" s="35">
        <f t="shared" si="2"/>
        <v>0</v>
      </c>
      <c r="F25" s="16">
        <v>3.6647063095525817E-2</v>
      </c>
      <c r="G25" s="16">
        <f t="shared" si="0"/>
        <v>0</v>
      </c>
    </row>
    <row r="26" spans="1:9" x14ac:dyDescent="0.2">
      <c r="A26" t="s">
        <v>99</v>
      </c>
      <c r="B26" s="36">
        <v>0</v>
      </c>
      <c r="C26" s="33">
        <v>95.26</v>
      </c>
      <c r="D26" s="33">
        <f t="shared" si="1"/>
        <v>0</v>
      </c>
      <c r="E26" s="35">
        <f t="shared" si="2"/>
        <v>0</v>
      </c>
      <c r="F26" s="16">
        <v>4.1696347009617267E-2</v>
      </c>
      <c r="G26" s="16">
        <f t="shared" si="0"/>
        <v>0</v>
      </c>
    </row>
    <row r="27" spans="1:9" x14ac:dyDescent="0.2">
      <c r="A27" t="s">
        <v>100</v>
      </c>
      <c r="B27" s="36">
        <v>0</v>
      </c>
      <c r="C27" s="33">
        <v>131.99</v>
      </c>
      <c r="D27" s="33">
        <f t="shared" si="1"/>
        <v>0</v>
      </c>
      <c r="E27" s="35">
        <f t="shared" si="2"/>
        <v>0</v>
      </c>
      <c r="F27" s="16">
        <v>5.2224657878177122E-2</v>
      </c>
      <c r="G27" s="16">
        <f t="shared" si="0"/>
        <v>0</v>
      </c>
    </row>
    <row r="28" spans="1:9" x14ac:dyDescent="0.2">
      <c r="A28" t="s">
        <v>101</v>
      </c>
      <c r="B28" s="36">
        <v>0</v>
      </c>
      <c r="C28" s="33">
        <v>150.59</v>
      </c>
      <c r="D28" s="33">
        <f t="shared" si="1"/>
        <v>0</v>
      </c>
      <c r="E28" s="35">
        <f t="shared" si="2"/>
        <v>0</v>
      </c>
      <c r="F28" s="16">
        <v>5.217485998601322E-2</v>
      </c>
      <c r="G28" s="16">
        <f t="shared" si="0"/>
        <v>0</v>
      </c>
    </row>
    <row r="29" spans="1:9" x14ac:dyDescent="0.2">
      <c r="A29" t="s">
        <v>102</v>
      </c>
      <c r="B29" s="36">
        <v>0</v>
      </c>
      <c r="C29" s="33">
        <v>114.06</v>
      </c>
      <c r="D29" s="33">
        <f t="shared" si="1"/>
        <v>0</v>
      </c>
      <c r="E29" s="35">
        <f t="shared" si="2"/>
        <v>0</v>
      </c>
      <c r="F29" s="16">
        <v>5.3362810029663546E-2</v>
      </c>
      <c r="G29" s="16">
        <f t="shared" si="0"/>
        <v>0</v>
      </c>
    </row>
    <row r="30" spans="1:9" x14ac:dyDescent="0.2">
      <c r="A30" t="s">
        <v>106</v>
      </c>
      <c r="B30" s="36">
        <v>0</v>
      </c>
      <c r="C30" s="33">
        <v>65.459999999999994</v>
      </c>
      <c r="D30" s="33">
        <f t="shared" si="1"/>
        <v>0</v>
      </c>
      <c r="E30" s="35">
        <f t="shared" si="2"/>
        <v>0</v>
      </c>
      <c r="F30" s="16">
        <v>3.7050260166730971E-2</v>
      </c>
      <c r="G30" s="16">
        <f t="shared" si="0"/>
        <v>0</v>
      </c>
    </row>
    <row r="31" spans="1:9" x14ac:dyDescent="0.2">
      <c r="A31" t="s">
        <v>108</v>
      </c>
      <c r="B31" s="36">
        <v>0</v>
      </c>
      <c r="C31" s="33">
        <v>45.58</v>
      </c>
      <c r="D31" s="33">
        <f t="shared" si="1"/>
        <v>0</v>
      </c>
      <c r="E31" s="35">
        <f t="shared" si="2"/>
        <v>0</v>
      </c>
      <c r="F31" s="16">
        <v>2.8332533714445048E-2</v>
      </c>
      <c r="G31" s="16">
        <f t="shared" si="0"/>
        <v>0</v>
      </c>
    </row>
    <row r="32" spans="1:9" x14ac:dyDescent="0.2">
      <c r="A32" t="s">
        <v>109</v>
      </c>
      <c r="B32" s="36">
        <v>0</v>
      </c>
      <c r="C32" s="33">
        <v>94.68</v>
      </c>
      <c r="D32" s="33">
        <f t="shared" si="1"/>
        <v>0</v>
      </c>
      <c r="E32" s="35">
        <f t="shared" si="2"/>
        <v>0</v>
      </c>
      <c r="F32" s="16">
        <v>2.8342113810750066E-2</v>
      </c>
      <c r="G32" s="16">
        <f t="shared" si="0"/>
        <v>0</v>
      </c>
    </row>
    <row r="33" spans="1:7" x14ac:dyDescent="0.2">
      <c r="A33" t="s">
        <v>110</v>
      </c>
      <c r="B33" s="36">
        <v>1</v>
      </c>
      <c r="C33" s="33">
        <v>37.1</v>
      </c>
      <c r="D33" s="33">
        <f t="shared" si="1"/>
        <v>37.1</v>
      </c>
      <c r="E33" s="35">
        <f t="shared" si="2"/>
        <v>7.3856566963619178E-3</v>
      </c>
      <c r="F33" s="16">
        <v>3.1747705204401358E-2</v>
      </c>
      <c r="G33" s="16">
        <f t="shared" si="0"/>
        <v>2.34477651537011E-4</v>
      </c>
    </row>
    <row r="34" spans="1:7" x14ac:dyDescent="0.2">
      <c r="A34" t="s">
        <v>111</v>
      </c>
      <c r="B34" s="36">
        <v>1</v>
      </c>
      <c r="C34" s="33">
        <v>48.62</v>
      </c>
      <c r="D34" s="33">
        <f t="shared" si="1"/>
        <v>48.62</v>
      </c>
      <c r="E34" s="35">
        <f t="shared" si="2"/>
        <v>9.6789926840193091E-3</v>
      </c>
      <c r="F34" s="16">
        <v>2.3279325850807882E-2</v>
      </c>
      <c r="G34" s="16">
        <f t="shared" si="0"/>
        <v>2.2532042459887108E-4</v>
      </c>
    </row>
    <row r="35" spans="1:7" x14ac:dyDescent="0.2">
      <c r="A35" t="s">
        <v>112</v>
      </c>
      <c r="B35" s="36">
        <v>0</v>
      </c>
      <c r="C35" s="33">
        <v>60.63</v>
      </c>
      <c r="D35" s="33">
        <f t="shared" si="1"/>
        <v>0</v>
      </c>
      <c r="E35" s="35">
        <f t="shared" si="2"/>
        <v>0</v>
      </c>
      <c r="F35" s="16">
        <v>4.6309783930074171E-2</v>
      </c>
      <c r="G35" s="16">
        <f t="shared" si="0"/>
        <v>0</v>
      </c>
    </row>
    <row r="36" spans="1:7" x14ac:dyDescent="0.2">
      <c r="A36" t="s">
        <v>113</v>
      </c>
      <c r="B36" s="36">
        <v>9</v>
      </c>
      <c r="C36" s="33">
        <v>52.41</v>
      </c>
      <c r="D36" s="33">
        <f t="shared" si="1"/>
        <v>471.68999999999994</v>
      </c>
      <c r="E36" s="35">
        <f t="shared" si="2"/>
        <v>9.3901358682128094E-2</v>
      </c>
      <c r="F36" s="16">
        <v>1.2616372275481767E-2</v>
      </c>
      <c r="G36" s="16">
        <f t="shared" si="0"/>
        <v>1.18469449830727E-3</v>
      </c>
    </row>
    <row r="37" spans="1:7" x14ac:dyDescent="0.2">
      <c r="A37" t="s">
        <v>116</v>
      </c>
      <c r="B37" s="36">
        <v>0</v>
      </c>
      <c r="C37" s="33">
        <v>47.22</v>
      </c>
      <c r="D37" s="33">
        <f t="shared" si="1"/>
        <v>0</v>
      </c>
      <c r="E37" s="35">
        <f t="shared" si="2"/>
        <v>0</v>
      </c>
      <c r="F37" s="16">
        <v>3.0895070444591395E-2</v>
      </c>
      <c r="G37" s="16">
        <f t="shared" si="0"/>
        <v>0</v>
      </c>
    </row>
    <row r="38" spans="1:7" x14ac:dyDescent="0.2">
      <c r="A38" t="s">
        <v>117</v>
      </c>
      <c r="B38" s="36">
        <v>0</v>
      </c>
      <c r="C38" s="33">
        <v>74.069999999999993</v>
      </c>
      <c r="D38" s="33">
        <f t="shared" si="1"/>
        <v>0</v>
      </c>
      <c r="E38" s="35">
        <f t="shared" si="2"/>
        <v>0</v>
      </c>
      <c r="F38" s="16">
        <v>2.9678441296888493E-2</v>
      </c>
      <c r="G38" s="16">
        <f t="shared" si="0"/>
        <v>0</v>
      </c>
    </row>
    <row r="39" spans="1:7" x14ac:dyDescent="0.2">
      <c r="A39" t="s">
        <v>118</v>
      </c>
      <c r="B39" s="36">
        <v>0</v>
      </c>
      <c r="C39" s="33">
        <v>150.52000000000001</v>
      </c>
      <c r="D39" s="33">
        <f t="shared" si="1"/>
        <v>0</v>
      </c>
      <c r="E39" s="35">
        <f t="shared" si="2"/>
        <v>0</v>
      </c>
      <c r="F39" s="16">
        <v>4.6531606988200885E-2</v>
      </c>
      <c r="G39" s="16">
        <f t="shared" si="0"/>
        <v>0</v>
      </c>
    </row>
    <row r="40" spans="1:7" x14ac:dyDescent="0.2">
      <c r="A40" t="s">
        <v>119</v>
      </c>
      <c r="B40" s="36">
        <v>0</v>
      </c>
      <c r="C40" s="33">
        <v>131.16999999999999</v>
      </c>
      <c r="D40" s="33">
        <f t="shared" si="1"/>
        <v>0</v>
      </c>
      <c r="E40" s="35">
        <f t="shared" si="2"/>
        <v>0</v>
      </c>
      <c r="F40" s="16">
        <v>2.6742373270268387E-2</v>
      </c>
      <c r="G40" s="16">
        <f t="shared" si="0"/>
        <v>0</v>
      </c>
    </row>
    <row r="41" spans="1:7" x14ac:dyDescent="0.2">
      <c r="A41" t="s">
        <v>120</v>
      </c>
      <c r="B41" s="36">
        <v>0</v>
      </c>
      <c r="C41" s="33">
        <v>77.11</v>
      </c>
      <c r="D41" s="33">
        <f t="shared" si="1"/>
        <v>0</v>
      </c>
      <c r="E41" s="35">
        <f t="shared" si="2"/>
        <v>0</v>
      </c>
      <c r="F41" s="16">
        <v>6.1599878290702362E-2</v>
      </c>
      <c r="G41" s="16">
        <f t="shared" si="0"/>
        <v>0</v>
      </c>
    </row>
    <row r="42" spans="1:7" x14ac:dyDescent="0.2">
      <c r="A42" t="s">
        <v>121</v>
      </c>
      <c r="B42" s="36">
        <v>2</v>
      </c>
      <c r="C42" s="33">
        <v>59.36</v>
      </c>
      <c r="D42" s="33">
        <f t="shared" si="1"/>
        <v>118.72</v>
      </c>
      <c r="E42" s="35">
        <f t="shared" si="2"/>
        <v>2.3634101428358135E-2</v>
      </c>
      <c r="F42" s="16">
        <v>5.8566532883379249E-2</v>
      </c>
      <c r="G42" s="16">
        <f t="shared" si="0"/>
        <v>1.3841673784730571E-3</v>
      </c>
    </row>
    <row r="43" spans="1:7" x14ac:dyDescent="0.2">
      <c r="A43" t="s">
        <v>122</v>
      </c>
      <c r="B43" s="36">
        <v>0</v>
      </c>
      <c r="C43" s="33">
        <v>160.6</v>
      </c>
      <c r="D43" s="33">
        <f t="shared" si="1"/>
        <v>0</v>
      </c>
      <c r="E43" s="35">
        <f t="shared" si="2"/>
        <v>0</v>
      </c>
      <c r="F43" s="16">
        <v>5.3617811059197884E-2</v>
      </c>
      <c r="G43" s="16">
        <f t="shared" si="0"/>
        <v>0</v>
      </c>
    </row>
    <row r="44" spans="1:7" x14ac:dyDescent="0.2">
      <c r="A44" t="s">
        <v>123</v>
      </c>
      <c r="B44" s="36">
        <v>0</v>
      </c>
      <c r="C44" s="33">
        <v>120.41</v>
      </c>
      <c r="D44" s="33">
        <f t="shared" si="1"/>
        <v>0</v>
      </c>
      <c r="E44" s="35">
        <f t="shared" si="2"/>
        <v>0</v>
      </c>
      <c r="F44" s="16">
        <v>3.6314268482881149E-2</v>
      </c>
      <c r="G44" s="16">
        <f t="shared" si="0"/>
        <v>0</v>
      </c>
    </row>
    <row r="45" spans="1:7" x14ac:dyDescent="0.2">
      <c r="A45" t="s">
        <v>124</v>
      </c>
      <c r="B45" s="36">
        <v>0</v>
      </c>
      <c r="C45" s="33">
        <v>166.83</v>
      </c>
      <c r="D45" s="33">
        <f t="shared" si="1"/>
        <v>0</v>
      </c>
      <c r="E45" s="35">
        <f t="shared" si="2"/>
        <v>0</v>
      </c>
      <c r="F45" s="16">
        <v>3.5632323615885142E-2</v>
      </c>
      <c r="G45" s="16">
        <f t="shared" si="0"/>
        <v>0</v>
      </c>
    </row>
    <row r="46" spans="1:7" x14ac:dyDescent="0.2">
      <c r="A46" t="s">
        <v>125</v>
      </c>
      <c r="B46" s="36">
        <v>0</v>
      </c>
      <c r="C46" s="33">
        <v>110.83</v>
      </c>
      <c r="D46" s="33">
        <f t="shared" si="1"/>
        <v>0</v>
      </c>
      <c r="E46" s="35">
        <f t="shared" si="2"/>
        <v>0</v>
      </c>
      <c r="F46" s="16">
        <v>3.9716143230521965E-2</v>
      </c>
      <c r="G46" s="16">
        <f t="shared" si="0"/>
        <v>0</v>
      </c>
    </row>
    <row r="47" spans="1:7" x14ac:dyDescent="0.2">
      <c r="A47" t="s">
        <v>126</v>
      </c>
      <c r="B47" s="36">
        <v>0</v>
      </c>
      <c r="C47" s="33">
        <v>74.569999999999993</v>
      </c>
      <c r="D47" s="33">
        <f t="shared" si="1"/>
        <v>0</v>
      </c>
      <c r="E47" s="35">
        <f t="shared" si="2"/>
        <v>0</v>
      </c>
      <c r="F47" s="16">
        <v>3.4141652706560319E-2</v>
      </c>
      <c r="G47" s="16">
        <f t="shared" si="0"/>
        <v>0</v>
      </c>
    </row>
    <row r="48" spans="1:7" x14ac:dyDescent="0.2">
      <c r="A48" t="s">
        <v>127</v>
      </c>
      <c r="B48" s="36">
        <v>6</v>
      </c>
      <c r="C48" s="33">
        <v>117.83</v>
      </c>
      <c r="D48" s="33">
        <f t="shared" si="1"/>
        <v>706.98</v>
      </c>
      <c r="E48" s="35">
        <f t="shared" si="2"/>
        <v>0.14074155178420344</v>
      </c>
      <c r="F48" s="16">
        <v>2.783203123848868E-2</v>
      </c>
      <c r="G48" s="16">
        <f t="shared" si="0"/>
        <v>3.9171232658113224E-3</v>
      </c>
    </row>
    <row r="49" spans="1:7" ht="15" x14ac:dyDescent="0.25">
      <c r="A49" s="20" t="s">
        <v>184</v>
      </c>
      <c r="B49" s="37">
        <f>SUBTOTAL(109,Table16['# of Shares])</f>
        <v>76</v>
      </c>
      <c r="C49" s="37">
        <f>SUBTOTAL(109,Table16[Most Recent Px])</f>
        <v>4488.09</v>
      </c>
      <c r="D49" s="37">
        <f>SUBTOTAL(109,Table16[Dollar Terms])</f>
        <v>5023.25</v>
      </c>
      <c r="E49" s="37">
        <f>SUBTOTAL(109,Table16[Weight])</f>
        <v>0.99999999999999989</v>
      </c>
      <c r="F49" s="37">
        <f>SUBTOTAL(109,Table16[CoE])</f>
        <v>1.8867260931927123</v>
      </c>
      <c r="G49" s="37">
        <f>SUBTOTAL(109,Table16[Weighted Return])</f>
        <v>4.0285443322882808E-2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CTRLPanel&amp;Overview</vt:lpstr>
      <vt:lpstr>raw-VanguardETFList</vt:lpstr>
      <vt:lpstr>raw-FFFactorsData</vt:lpstr>
      <vt:lpstr>raw-FFFactorsDecimalData</vt:lpstr>
      <vt:lpstr>raw-PriceList</vt:lpstr>
      <vt:lpstr>raw-Return</vt:lpstr>
      <vt:lpstr>raw-ExcessReturn</vt:lpstr>
      <vt:lpstr>calc-Regression</vt:lpstr>
      <vt:lpstr>calc-Stats</vt:lpstr>
      <vt:lpstr>calc-CorrelMatrix</vt:lpstr>
      <vt:lpstr>calc-CovarMatrix</vt:lpstr>
      <vt:lpstr>calc-Weights</vt:lpstr>
      <vt:lpstr>calc-PortfolioVarCompos</vt:lpstr>
      <vt:lpstr>prod-GMVP</vt:lpstr>
      <vt:lpstr>prod-GMVPValues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Newbegin, Alexander W</dc:creator>
  <cp:lastModifiedBy>Newbegin, Alexander W</cp:lastModifiedBy>
  <dcterms:created xsi:type="dcterms:W3CDTF">2018-10-20T14:59:42Z</dcterms:created>
  <dcterms:modified xsi:type="dcterms:W3CDTF">2019-03-31T22:05:24Z</dcterms:modified>
</cp:coreProperties>
</file>